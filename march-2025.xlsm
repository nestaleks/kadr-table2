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ЭтаКнига" defaultThemeVersion="124226"/>
  <bookViews>
    <workbookView xWindow="-120" yWindow="-120" windowWidth="20610" windowHeight="8250" tabRatio="736" firstSheet="1" activeTab="2"/>
  </bookViews>
  <sheets>
    <sheet name="АГД" sheetId="27" r:id="rId1"/>
    <sheet name="АДС" sheetId="28" r:id="rId2"/>
    <sheet name="ИТР" sheetId="29" r:id="rId3"/>
    <sheet name="РБД" sheetId="30" r:id="rId4"/>
    <sheet name="електропостач" sheetId="31" r:id="rId5"/>
    <sheet name="ТР1-1" sheetId="32" r:id="rId6"/>
    <sheet name="ТР1-2" sheetId="33" r:id="rId7"/>
    <sheet name="ТР1-3" sheetId="34" r:id="rId8"/>
    <sheet name="ТР1-4" sheetId="35" r:id="rId9"/>
    <sheet name="ТР2-1" sheetId="36" r:id="rId10"/>
    <sheet name="ТР2-2" sheetId="37" r:id="rId11"/>
    <sheet name="ТР2-3" sheetId="38" r:id="rId12"/>
    <sheet name="ТР2-4" sheetId="39" r:id="rId13"/>
    <sheet name="ТР3" sheetId="40" r:id="rId14"/>
    <sheet name="транспорт" sheetId="41" r:id="rId15"/>
    <sheet name="РАЗОМ" sheetId="42" r:id="rId16"/>
    <sheet name="ОБУЗА" sheetId="44" r:id="rId17"/>
  </sheets>
  <definedNames>
    <definedName name="_xlnm.Print_Titles" localSheetId="0">АГД!$12:$15</definedName>
    <definedName name="_xlnm.Print_Titles" localSheetId="1">АДС!$12:$15</definedName>
    <definedName name="_xlnm.Print_Titles" localSheetId="4">електропостач!$12:$15</definedName>
    <definedName name="_xlnm.Print_Titles" localSheetId="2">ИТР!$12:$15</definedName>
    <definedName name="_xlnm.Print_Titles" localSheetId="3">РБД!$12:$15</definedName>
    <definedName name="_xlnm.Print_Titles" localSheetId="5">'ТР1-1'!$12:$15</definedName>
    <definedName name="_xlnm.Print_Titles" localSheetId="6">'ТР1-2'!$12:$15</definedName>
    <definedName name="_xlnm.Print_Titles" localSheetId="7">'ТР1-3'!$12:$15</definedName>
    <definedName name="_xlnm.Print_Titles" localSheetId="8">'ТР1-4'!$12:$15</definedName>
    <definedName name="_xlnm.Print_Titles" localSheetId="9">'ТР2-1'!$12:$15</definedName>
    <definedName name="_xlnm.Print_Titles" localSheetId="10">'ТР2-2'!$12:$15</definedName>
    <definedName name="_xlnm.Print_Titles" localSheetId="11">'ТР2-3'!$12:$15</definedName>
    <definedName name="_xlnm.Print_Titles" localSheetId="12">'ТР2-4'!$12:$15</definedName>
    <definedName name="_xlnm.Print_Titles" localSheetId="13">ТР3!$12:$15</definedName>
    <definedName name="_xlnm.Print_Titles" localSheetId="14">транспорт!$12:$15</definedName>
    <definedName name="_xlnm.Print_Area" localSheetId="0">АГД!$A$1:$AZ$45</definedName>
    <definedName name="_xlnm.Print_Area" localSheetId="1">АДС!$A$1:$AZ$55</definedName>
    <definedName name="_xlnm.Print_Area" localSheetId="4">електропостач!$A$1:$AZ$47</definedName>
    <definedName name="_xlnm.Print_Area" localSheetId="2">ИТР!$A$1:$AZ$141</definedName>
    <definedName name="_xlnm.Print_Area" localSheetId="3">РБД!$A$1:$AZ$47</definedName>
    <definedName name="_xlnm.Print_Area" localSheetId="5">'ТР1-1'!$A$1:$AZ$77</definedName>
    <definedName name="_xlnm.Print_Area" localSheetId="6">'ТР1-2'!$A$1:$AZ$85</definedName>
    <definedName name="_xlnm.Print_Area" localSheetId="7">'ТР1-3'!$A$1:$AZ$87</definedName>
    <definedName name="_xlnm.Print_Area" localSheetId="8">'ТР1-4'!$A$1:$AZ$65</definedName>
    <definedName name="_xlnm.Print_Area" localSheetId="9">'ТР2-1'!$A$1:$AZ$59</definedName>
    <definedName name="_xlnm.Print_Area" localSheetId="10">'ТР2-2'!$A$1:$AZ$49</definedName>
    <definedName name="_xlnm.Print_Area" localSheetId="11">'ТР2-3'!$A$1:$AZ$61</definedName>
    <definedName name="_xlnm.Print_Area" localSheetId="12">'ТР2-4'!$A$1:$AZ$69</definedName>
    <definedName name="_xlnm.Print_Area" localSheetId="13">ТР3!$A$1:$AZ$191</definedName>
    <definedName name="_xlnm.Print_Area" localSheetId="14">транспорт!$A$1:$AZ$80</definedName>
  </definedNames>
  <calcPr calcId="144525"/>
</workbook>
</file>

<file path=xl/calcChain.xml><?xml version="1.0" encoding="utf-8"?>
<calcChain xmlns="http://schemas.openxmlformats.org/spreadsheetml/2006/main">
  <c r="AN165" i="40" l="1"/>
  <c r="AN157" i="40"/>
  <c r="AN147" i="40"/>
  <c r="AN105" i="40"/>
  <c r="AN103" i="40"/>
  <c r="AN101" i="40"/>
  <c r="AN95" i="40"/>
  <c r="AN67" i="40"/>
  <c r="AN63" i="40"/>
  <c r="AN49" i="40"/>
  <c r="AN47" i="40"/>
  <c r="AN41" i="40"/>
  <c r="AN29" i="40"/>
  <c r="AN27" i="40"/>
  <c r="AN19" i="40"/>
  <c r="AN25" i="40"/>
  <c r="AN23" i="40"/>
  <c r="A123" i="40" l="1"/>
  <c r="A125" i="40"/>
  <c r="A127" i="40" s="1"/>
  <c r="A129" i="40" s="1"/>
  <c r="A131" i="40" s="1"/>
  <c r="A133" i="40" s="1"/>
  <c r="A135" i="40" s="1"/>
  <c r="A137" i="40" s="1"/>
  <c r="A139" i="40" s="1"/>
  <c r="A141" i="40" s="1"/>
  <c r="A143" i="40" s="1"/>
  <c r="A145" i="40" s="1"/>
  <c r="A147" i="40" s="1"/>
  <c r="A149" i="40" s="1"/>
  <c r="A151" i="40" s="1"/>
  <c r="A153" i="40" s="1"/>
  <c r="A155" i="40" s="1"/>
  <c r="A157" i="40" s="1"/>
  <c r="A159" i="40" s="1"/>
  <c r="A161" i="40" s="1"/>
  <c r="A163" i="40" s="1"/>
  <c r="A165" i="40" s="1"/>
  <c r="A167" i="40" s="1"/>
  <c r="A169" i="40" s="1"/>
  <c r="A171" i="40" s="1"/>
  <c r="A173" i="40" s="1"/>
  <c r="AZ125" i="40"/>
  <c r="AY125" i="40"/>
  <c r="AX125" i="40"/>
  <c r="AW125" i="40"/>
  <c r="AV125" i="40"/>
  <c r="AU125" i="40"/>
  <c r="AT125" i="40"/>
  <c r="AS125" i="40"/>
  <c r="AR125" i="40"/>
  <c r="AQ125" i="40" s="1"/>
  <c r="AP125" i="40"/>
  <c r="AO125" i="40"/>
  <c r="AN125" i="40"/>
  <c r="AM125" i="40"/>
  <c r="AL125" i="40"/>
  <c r="AK125" i="40" s="1"/>
  <c r="AJ125" i="40"/>
  <c r="A21" i="35"/>
  <c r="A23" i="35" s="1"/>
  <c r="A25" i="35" s="1"/>
  <c r="A27" i="35" s="1"/>
  <c r="A29" i="35" s="1"/>
  <c r="A31" i="35" s="1"/>
  <c r="A33" i="35" s="1"/>
  <c r="A35" i="35" s="1"/>
  <c r="A37" i="35" s="1"/>
  <c r="A39" i="35" s="1"/>
  <c r="A41" i="35" s="1"/>
  <c r="A43" i="35" s="1"/>
  <c r="A45" i="35" s="1"/>
  <c r="A47" i="35" s="1"/>
  <c r="AZ21" i="35"/>
  <c r="AY21" i="35"/>
  <c r="AX21" i="35"/>
  <c r="AW21" i="35"/>
  <c r="AV21" i="35"/>
  <c r="AU21" i="35"/>
  <c r="AT21" i="35"/>
  <c r="AS21" i="35"/>
  <c r="AR21" i="35"/>
  <c r="AP21" i="35"/>
  <c r="AO21" i="35"/>
  <c r="AN21" i="35"/>
  <c r="AM21" i="35"/>
  <c r="AL21" i="35"/>
  <c r="AK21" i="35" s="1"/>
  <c r="AJ21" i="35"/>
  <c r="AQ21" i="35" l="1"/>
  <c r="AZ21" i="27"/>
  <c r="AY21" i="27"/>
  <c r="AX21" i="27"/>
  <c r="AW21" i="27"/>
  <c r="AV21" i="27"/>
  <c r="AU21" i="27"/>
  <c r="AT21" i="27"/>
  <c r="AS21" i="27"/>
  <c r="AR21" i="27"/>
  <c r="AQ21" i="27" s="1"/>
  <c r="AP21" i="27"/>
  <c r="AO21" i="27"/>
  <c r="AN21" i="27"/>
  <c r="AM21" i="27"/>
  <c r="AL21" i="27"/>
  <c r="AK21" i="27"/>
  <c r="AJ21" i="27"/>
  <c r="AN173" i="40" l="1"/>
  <c r="AN155" i="40"/>
  <c r="AN153" i="40"/>
  <c r="AN151" i="40"/>
  <c r="AN119" i="40"/>
  <c r="AN87" i="40"/>
  <c r="AN21" i="40"/>
  <c r="AN35" i="40"/>
  <c r="AJ25" i="36" l="1"/>
  <c r="A27" i="31"/>
  <c r="A29" i="31" s="1"/>
  <c r="AZ27" i="31"/>
  <c r="AY27" i="31"/>
  <c r="AX27" i="31"/>
  <c r="AW27" i="31"/>
  <c r="AV27" i="31"/>
  <c r="AU27" i="31"/>
  <c r="AT27" i="31"/>
  <c r="AS27" i="31"/>
  <c r="AR27" i="31"/>
  <c r="AP27" i="31"/>
  <c r="AO27" i="31"/>
  <c r="AN27" i="31"/>
  <c r="AM27" i="31"/>
  <c r="AL27" i="31"/>
  <c r="AK27" i="31" s="1"/>
  <c r="AJ27" i="31"/>
  <c r="AQ27" i="31" l="1"/>
  <c r="AZ21" i="41"/>
  <c r="AY21" i="41"/>
  <c r="AX21" i="41"/>
  <c r="AW21" i="41"/>
  <c r="AV21" i="41"/>
  <c r="AU21" i="41"/>
  <c r="AT21" i="41"/>
  <c r="AS21" i="41"/>
  <c r="AR21" i="41"/>
  <c r="AQ21" i="41" s="1"/>
  <c r="AP21" i="41"/>
  <c r="AO21" i="41"/>
  <c r="AN21" i="41"/>
  <c r="AM21" i="41"/>
  <c r="AL21" i="41"/>
  <c r="AK21" i="41" s="1"/>
  <c r="AJ21" i="41"/>
  <c r="A21" i="41"/>
  <c r="A29" i="37" l="1"/>
  <c r="A31" i="37" s="1"/>
  <c r="AZ29" i="37"/>
  <c r="AY29" i="37"/>
  <c r="AX29" i="37"/>
  <c r="AW29" i="37"/>
  <c r="AV29" i="37"/>
  <c r="AU29" i="37"/>
  <c r="AT29" i="37"/>
  <c r="AS29" i="37"/>
  <c r="AR29" i="37"/>
  <c r="AP29" i="37"/>
  <c r="AO29" i="37"/>
  <c r="AN29" i="37"/>
  <c r="AM29" i="37"/>
  <c r="AL29" i="37"/>
  <c r="AK29" i="37" s="1"/>
  <c r="AJ29" i="37"/>
  <c r="AQ29" i="37" l="1"/>
  <c r="A115" i="29"/>
  <c r="A117" i="29" s="1"/>
  <c r="A119" i="29" s="1"/>
  <c r="A121" i="29" s="1"/>
  <c r="A123" i="29" s="1"/>
  <c r="AZ115" i="29"/>
  <c r="AY115" i="29"/>
  <c r="AX115" i="29"/>
  <c r="AW115" i="29"/>
  <c r="AV115" i="29"/>
  <c r="AU115" i="29"/>
  <c r="AT115" i="29"/>
  <c r="AS115" i="29"/>
  <c r="AR115" i="29"/>
  <c r="AP115" i="29"/>
  <c r="AO115" i="29"/>
  <c r="AN115" i="29"/>
  <c r="AM115" i="29"/>
  <c r="AL115" i="29"/>
  <c r="AK115" i="29"/>
  <c r="AJ115" i="29"/>
  <c r="AQ115" i="29" l="1"/>
  <c r="A51" i="33"/>
  <c r="A53" i="33" s="1"/>
  <c r="A55" i="33" s="1"/>
  <c r="A57" i="33" s="1"/>
  <c r="A59" i="33" s="1"/>
  <c r="A61" i="33" s="1"/>
  <c r="A63" i="33" s="1"/>
  <c r="A65" i="33" s="1"/>
  <c r="A67" i="33" s="1"/>
  <c r="AZ25" i="27" l="1"/>
  <c r="AY25" i="27"/>
  <c r="AX25" i="27"/>
  <c r="AW25" i="27"/>
  <c r="AV25" i="27"/>
  <c r="AU25" i="27"/>
  <c r="AT25" i="27"/>
  <c r="AS25" i="27"/>
  <c r="AR25" i="27"/>
  <c r="AP25" i="27"/>
  <c r="AO25" i="27"/>
  <c r="AN25" i="27"/>
  <c r="AM25" i="27"/>
  <c r="AL25" i="27"/>
  <c r="AK25" i="27"/>
  <c r="AJ25" i="27"/>
  <c r="AQ25" i="27" l="1"/>
  <c r="AJ57" i="32" l="1"/>
  <c r="A29" i="32" l="1"/>
  <c r="A31" i="32" s="1"/>
  <c r="A33" i="32" s="1"/>
  <c r="A35" i="32" s="1"/>
  <c r="A37" i="32" s="1"/>
  <c r="A39" i="32" s="1"/>
  <c r="A41" i="32" s="1"/>
  <c r="A43" i="32" s="1"/>
  <c r="A45" i="32" s="1"/>
  <c r="A47" i="32" s="1"/>
  <c r="A49" i="32" s="1"/>
  <c r="A51" i="32" s="1"/>
  <c r="A53" i="32" s="1"/>
  <c r="A55" i="32" s="1"/>
  <c r="A57" i="32" s="1"/>
  <c r="A59" i="32" s="1"/>
  <c r="AZ29" i="32"/>
  <c r="AY29" i="32"/>
  <c r="AX29" i="32"/>
  <c r="AW29" i="32"/>
  <c r="AV29" i="32"/>
  <c r="AU29" i="32"/>
  <c r="AT29" i="32"/>
  <c r="AS29" i="32"/>
  <c r="AR29" i="32"/>
  <c r="AP29" i="32"/>
  <c r="AO29" i="32"/>
  <c r="AN29" i="32"/>
  <c r="AM29" i="32"/>
  <c r="AL29" i="32"/>
  <c r="AK29" i="32" s="1"/>
  <c r="AJ29" i="32"/>
  <c r="AQ29" i="32" l="1"/>
  <c r="A59" i="34"/>
  <c r="A61" i="34" s="1"/>
  <c r="A63" i="34" s="1"/>
  <c r="A65" i="34" s="1"/>
  <c r="A67" i="34" s="1"/>
  <c r="A69" i="34" s="1"/>
  <c r="AL47" i="35" l="1"/>
  <c r="AZ41" i="41"/>
  <c r="AY41" i="41"/>
  <c r="AX41" i="41"/>
  <c r="AW41" i="41"/>
  <c r="AV41" i="41"/>
  <c r="AU41" i="41"/>
  <c r="AT41" i="41"/>
  <c r="AS41" i="41"/>
  <c r="AR41" i="41"/>
  <c r="AP41" i="41"/>
  <c r="AO41" i="41"/>
  <c r="AN41" i="41"/>
  <c r="AM41" i="41"/>
  <c r="AL41" i="41"/>
  <c r="AK41" i="41" s="1"/>
  <c r="AJ41" i="41"/>
  <c r="AQ41" i="41" l="1"/>
  <c r="A23" i="41"/>
  <c r="A25" i="41" s="1"/>
  <c r="A27" i="41" s="1"/>
  <c r="A29" i="41" s="1"/>
  <c r="A31" i="41" s="1"/>
  <c r="A33" i="41" s="1"/>
  <c r="A35" i="41" s="1"/>
  <c r="A37" i="41" s="1"/>
  <c r="A39" i="41" s="1"/>
  <c r="A41" i="41" s="1"/>
  <c r="A43" i="41" s="1"/>
  <c r="A45" i="41" s="1"/>
  <c r="A47" i="41" s="1"/>
  <c r="A49" i="41" s="1"/>
  <c r="A51" i="41" s="1"/>
  <c r="A53" i="41" s="1"/>
  <c r="A55" i="41" s="1"/>
  <c r="A57" i="41" s="1"/>
  <c r="A59" i="41" s="1"/>
  <c r="A61" i="41" s="1"/>
  <c r="A19" i="41"/>
  <c r="A19" i="40"/>
  <c r="A21" i="40" s="1"/>
  <c r="A23" i="40" s="1"/>
  <c r="A25" i="40" s="1"/>
  <c r="A27" i="40" s="1"/>
  <c r="A29" i="40" s="1"/>
  <c r="A31" i="40" s="1"/>
  <c r="A33" i="40" s="1"/>
  <c r="A35" i="40" s="1"/>
  <c r="A37" i="40" s="1"/>
  <c r="A39" i="40" s="1"/>
  <c r="A41" i="40" s="1"/>
  <c r="A43" i="40" s="1"/>
  <c r="A45" i="40" s="1"/>
  <c r="A47" i="40" s="1"/>
  <c r="A49" i="40" s="1"/>
  <c r="A51" i="40" s="1"/>
  <c r="A53" i="40" s="1"/>
  <c r="A55" i="40" s="1"/>
  <c r="A57" i="40" s="1"/>
  <c r="A59" i="40" s="1"/>
  <c r="A61" i="40" s="1"/>
  <c r="A63" i="40" s="1"/>
  <c r="A65" i="40" s="1"/>
  <c r="A67" i="40" s="1"/>
  <c r="A69" i="40" s="1"/>
  <c r="A71" i="40" s="1"/>
  <c r="A73" i="40" s="1"/>
  <c r="A75" i="40" s="1"/>
  <c r="A77" i="40" s="1"/>
  <c r="A79" i="40" s="1"/>
  <c r="A81" i="40" s="1"/>
  <c r="A83" i="40" s="1"/>
  <c r="A85" i="40" s="1"/>
  <c r="A87" i="40" s="1"/>
  <c r="A89" i="40" s="1"/>
  <c r="A91" i="40" s="1"/>
  <c r="A93" i="40" s="1"/>
  <c r="A95" i="40" s="1"/>
  <c r="A97" i="40" s="1"/>
  <c r="A99" i="40" s="1"/>
  <c r="A101" i="40" s="1"/>
  <c r="A103" i="40" s="1"/>
  <c r="A105" i="40" s="1"/>
  <c r="A107" i="40" s="1"/>
  <c r="A109" i="40" s="1"/>
  <c r="A111" i="40" s="1"/>
  <c r="A113" i="40" s="1"/>
  <c r="A115" i="40" s="1"/>
  <c r="A117" i="40" s="1"/>
  <c r="A119" i="40" s="1"/>
  <c r="A121" i="40" s="1"/>
  <c r="A21" i="39"/>
  <c r="A23" i="39"/>
  <c r="A25" i="39" s="1"/>
  <c r="A27" i="39" s="1"/>
  <c r="A29" i="39" s="1"/>
  <c r="A31" i="39" s="1"/>
  <c r="A33" i="39" s="1"/>
  <c r="A35" i="39" s="1"/>
  <c r="A37" i="39" s="1"/>
  <c r="A39" i="39" s="1"/>
  <c r="A41" i="39" s="1"/>
  <c r="A43" i="39" s="1"/>
  <c r="A45" i="39" s="1"/>
  <c r="A47" i="39" s="1"/>
  <c r="A49" i="39" s="1"/>
  <c r="A51" i="39" s="1"/>
  <c r="A19" i="39"/>
  <c r="A21" i="38"/>
  <c r="A23" i="38" s="1"/>
  <c r="A25" i="38" s="1"/>
  <c r="A27" i="38" s="1"/>
  <c r="A29" i="38" s="1"/>
  <c r="A31" i="38" s="1"/>
  <c r="A33" i="38" s="1"/>
  <c r="A35" i="38" s="1"/>
  <c r="A37" i="38" s="1"/>
  <c r="A39" i="38" s="1"/>
  <c r="A41" i="38" s="1"/>
  <c r="A43" i="38" s="1"/>
  <c r="A19" i="38"/>
  <c r="A21" i="36"/>
  <c r="A23" i="36" s="1"/>
  <c r="A25" i="36" s="1"/>
  <c r="A27" i="36" s="1"/>
  <c r="A29" i="36" s="1"/>
  <c r="A31" i="36" s="1"/>
  <c r="A33" i="36" s="1"/>
  <c r="A35" i="36" s="1"/>
  <c r="A37" i="36" s="1"/>
  <c r="A39" i="36" s="1"/>
  <c r="A41" i="36" s="1"/>
  <c r="A19" i="36"/>
  <c r="A19" i="35"/>
  <c r="A21" i="34"/>
  <c r="A23" i="34" s="1"/>
  <c r="A25" i="34" s="1"/>
  <c r="A27" i="34" s="1"/>
  <c r="A29" i="34" s="1"/>
  <c r="A31" i="34" s="1"/>
  <c r="A33" i="34" s="1"/>
  <c r="A35" i="34" s="1"/>
  <c r="A37" i="34" s="1"/>
  <c r="A39" i="34" s="1"/>
  <c r="A41" i="34" s="1"/>
  <c r="A43" i="34" s="1"/>
  <c r="A45" i="34" s="1"/>
  <c r="A47" i="34" s="1"/>
  <c r="A49" i="34" s="1"/>
  <c r="A51" i="34" s="1"/>
  <c r="A53" i="34" s="1"/>
  <c r="A55" i="34" s="1"/>
  <c r="A57" i="34" s="1"/>
  <c r="A19" i="34"/>
  <c r="A19" i="33"/>
  <c r="A21" i="33" s="1"/>
  <c r="A23" i="33" s="1"/>
  <c r="A25" i="33" s="1"/>
  <c r="A27" i="33" s="1"/>
  <c r="A29" i="33" s="1"/>
  <c r="A31" i="33" s="1"/>
  <c r="A33" i="33" s="1"/>
  <c r="A35" i="33" s="1"/>
  <c r="A37" i="33" s="1"/>
  <c r="A39" i="33" s="1"/>
  <c r="A41" i="33" s="1"/>
  <c r="A43" i="33" s="1"/>
  <c r="A45" i="33" s="1"/>
  <c r="A47" i="33" s="1"/>
  <c r="A49" i="33" s="1"/>
  <c r="A21" i="32"/>
  <c r="A23" i="32" s="1"/>
  <c r="A25" i="32" s="1"/>
  <c r="A27" i="32" s="1"/>
  <c r="A19" i="32"/>
  <c r="A21" i="31"/>
  <c r="A23" i="31" s="1"/>
  <c r="A25" i="31" s="1"/>
  <c r="A19" i="31"/>
  <c r="A19" i="29"/>
  <c r="A21" i="29" s="1"/>
  <c r="A23" i="29" s="1"/>
  <c r="A25" i="29" s="1"/>
  <c r="A27" i="29" s="1"/>
  <c r="A29" i="29" s="1"/>
  <c r="A31" i="29" s="1"/>
  <c r="A33" i="29" s="1"/>
  <c r="A35" i="29" s="1"/>
  <c r="A37" i="29" s="1"/>
  <c r="A39" i="29" s="1"/>
  <c r="A41" i="29" s="1"/>
  <c r="A43" i="29" s="1"/>
  <c r="A45" i="29" s="1"/>
  <c r="A47" i="29" s="1"/>
  <c r="A49" i="29" s="1"/>
  <c r="A51" i="29" s="1"/>
  <c r="A53" i="29" s="1"/>
  <c r="A55" i="29" s="1"/>
  <c r="A57" i="29" s="1"/>
  <c r="A59" i="29" s="1"/>
  <c r="A61" i="29" s="1"/>
  <c r="A63" i="29" s="1"/>
  <c r="A65" i="29" s="1"/>
  <c r="A67" i="29" s="1"/>
  <c r="A69" i="29" s="1"/>
  <c r="A71" i="29" s="1"/>
  <c r="A73" i="29" s="1"/>
  <c r="A75" i="29" s="1"/>
  <c r="A77" i="29" s="1"/>
  <c r="A79" i="29" s="1"/>
  <c r="A81" i="29" s="1"/>
  <c r="A83" i="29" s="1"/>
  <c r="A85" i="29" s="1"/>
  <c r="A87" i="29" s="1"/>
  <c r="A89" i="29" s="1"/>
  <c r="A91" i="29" s="1"/>
  <c r="A93" i="29" s="1"/>
  <c r="A95" i="29" s="1"/>
  <c r="A97" i="29" s="1"/>
  <c r="A99" i="29" s="1"/>
  <c r="A101" i="29" s="1"/>
  <c r="A103" i="29" s="1"/>
  <c r="A105" i="29" s="1"/>
  <c r="A107" i="29" s="1"/>
  <c r="A109" i="29" s="1"/>
  <c r="A111" i="29" s="1"/>
  <c r="A113" i="29" s="1"/>
  <c r="AZ49" i="34"/>
  <c r="AY49" i="34"/>
  <c r="AX49" i="34"/>
  <c r="AW49" i="34"/>
  <c r="AV49" i="34"/>
  <c r="AU49" i="34"/>
  <c r="AT49" i="34"/>
  <c r="AS49" i="34"/>
  <c r="AR49" i="34"/>
  <c r="AP49" i="34"/>
  <c r="AO49" i="34"/>
  <c r="AN49" i="34"/>
  <c r="AM49" i="34"/>
  <c r="AL49" i="34"/>
  <c r="AK49" i="34" s="1"/>
  <c r="AJ49" i="34"/>
  <c r="AZ19" i="33"/>
  <c r="AY19" i="33"/>
  <c r="AX19" i="33"/>
  <c r="AW19" i="33"/>
  <c r="AV19" i="33"/>
  <c r="AU19" i="33"/>
  <c r="AT19" i="33"/>
  <c r="AS19" i="33"/>
  <c r="AR19" i="33"/>
  <c r="AP19" i="33"/>
  <c r="AO19" i="33"/>
  <c r="AN19" i="33"/>
  <c r="AM19" i="33"/>
  <c r="AL19" i="33"/>
  <c r="AK19" i="33" s="1"/>
  <c r="AJ19" i="33"/>
  <c r="AZ59" i="32"/>
  <c r="AY59" i="32"/>
  <c r="AX59" i="32"/>
  <c r="AW59" i="32"/>
  <c r="AV59" i="32"/>
  <c r="AU59" i="32"/>
  <c r="AT59" i="32"/>
  <c r="AS59" i="32"/>
  <c r="AR59" i="32"/>
  <c r="AP59" i="32"/>
  <c r="AO59" i="32"/>
  <c r="AN59" i="32"/>
  <c r="AM59" i="32"/>
  <c r="AL59" i="32"/>
  <c r="AK59" i="32" s="1"/>
  <c r="AJ59" i="32"/>
  <c r="AZ57" i="32"/>
  <c r="AY57" i="32"/>
  <c r="AX57" i="32"/>
  <c r="AW57" i="32"/>
  <c r="AV57" i="32"/>
  <c r="AU57" i="32"/>
  <c r="AT57" i="32"/>
  <c r="AS57" i="32"/>
  <c r="AR57" i="32"/>
  <c r="AP57" i="32"/>
  <c r="AO57" i="32"/>
  <c r="AN57" i="32"/>
  <c r="AM57" i="32"/>
  <c r="AL57" i="32"/>
  <c r="AK57" i="32" s="1"/>
  <c r="AZ115" i="40"/>
  <c r="AY115" i="40"/>
  <c r="AX115" i="40"/>
  <c r="AW115" i="40"/>
  <c r="AV115" i="40"/>
  <c r="AU115" i="40"/>
  <c r="AT115" i="40"/>
  <c r="AS115" i="40"/>
  <c r="AR115" i="40"/>
  <c r="AP115" i="40"/>
  <c r="AO115" i="40"/>
  <c r="AN115" i="40"/>
  <c r="AM115" i="40"/>
  <c r="AL115" i="40"/>
  <c r="AK115" i="40" s="1"/>
  <c r="AJ115" i="40"/>
  <c r="AZ65" i="33"/>
  <c r="AY65" i="33"/>
  <c r="AX65" i="33"/>
  <c r="AW65" i="33"/>
  <c r="AV65" i="33"/>
  <c r="AU65" i="33"/>
  <c r="AT65" i="33"/>
  <c r="AS65" i="33"/>
  <c r="AR65" i="33"/>
  <c r="AP65" i="33"/>
  <c r="AO65" i="33"/>
  <c r="AN65" i="33"/>
  <c r="AM65" i="33"/>
  <c r="AL65" i="33"/>
  <c r="AK65" i="33" s="1"/>
  <c r="AJ65" i="33"/>
  <c r="AZ167" i="40"/>
  <c r="AY167" i="40"/>
  <c r="AX167" i="40"/>
  <c r="AW167" i="40"/>
  <c r="AV167" i="40"/>
  <c r="AU167" i="40"/>
  <c r="AT167" i="40"/>
  <c r="AS167" i="40"/>
  <c r="AR167" i="40"/>
  <c r="AP167" i="40"/>
  <c r="AO167" i="40"/>
  <c r="AN167" i="40"/>
  <c r="AM167" i="40"/>
  <c r="AL167" i="40"/>
  <c r="AK167" i="40" s="1"/>
  <c r="AJ167" i="40"/>
  <c r="AZ165" i="40"/>
  <c r="AY165" i="40"/>
  <c r="AX165" i="40"/>
  <c r="AW165" i="40"/>
  <c r="AV165" i="40"/>
  <c r="AU165" i="40"/>
  <c r="AT165" i="40"/>
  <c r="AS165" i="40"/>
  <c r="AR165" i="40"/>
  <c r="AP165" i="40"/>
  <c r="AO165" i="40"/>
  <c r="AM165" i="40"/>
  <c r="AL165" i="40"/>
  <c r="AK165" i="40" s="1"/>
  <c r="AJ165" i="40"/>
  <c r="AZ67" i="33"/>
  <c r="AY67" i="33"/>
  <c r="AX67" i="33"/>
  <c r="AW67" i="33"/>
  <c r="AV67" i="33"/>
  <c r="AU67" i="33"/>
  <c r="AT67" i="33"/>
  <c r="AS67" i="33"/>
  <c r="AR67" i="33"/>
  <c r="AP67" i="33"/>
  <c r="AO67" i="33"/>
  <c r="AN67" i="33"/>
  <c r="AM67" i="33"/>
  <c r="AL67" i="33"/>
  <c r="AK67" i="33" s="1"/>
  <c r="AJ67" i="33"/>
  <c r="AZ63" i="33"/>
  <c r="AY63" i="33"/>
  <c r="AX63" i="33"/>
  <c r="AW63" i="33"/>
  <c r="AV63" i="33"/>
  <c r="AU63" i="33"/>
  <c r="AT63" i="33"/>
  <c r="AS63" i="33"/>
  <c r="AR63" i="33"/>
  <c r="AP63" i="33"/>
  <c r="AO63" i="33"/>
  <c r="AN63" i="33"/>
  <c r="AM63" i="33"/>
  <c r="AL63" i="33"/>
  <c r="AK63" i="33" s="1"/>
  <c r="AJ63" i="33"/>
  <c r="AZ159" i="40"/>
  <c r="AY159" i="40"/>
  <c r="AX159" i="40"/>
  <c r="AW159" i="40"/>
  <c r="AV159" i="40"/>
  <c r="AU159" i="40"/>
  <c r="AT159" i="40"/>
  <c r="AS159" i="40"/>
  <c r="AR159" i="40"/>
  <c r="AP159" i="40"/>
  <c r="AO159" i="40"/>
  <c r="AN159" i="40"/>
  <c r="AM159" i="40"/>
  <c r="AL159" i="40"/>
  <c r="AK159" i="40" s="1"/>
  <c r="AJ159" i="40"/>
  <c r="AZ67" i="34"/>
  <c r="AY67" i="34"/>
  <c r="AX67" i="34"/>
  <c r="AW67" i="34"/>
  <c r="AV67" i="34"/>
  <c r="AU67" i="34"/>
  <c r="AT67" i="34"/>
  <c r="AS67" i="34"/>
  <c r="AR67" i="34"/>
  <c r="AP67" i="34"/>
  <c r="AO67" i="34"/>
  <c r="AN67" i="34"/>
  <c r="AM67" i="34"/>
  <c r="AL67" i="34"/>
  <c r="AK67" i="34" s="1"/>
  <c r="AJ67" i="34"/>
  <c r="AZ157" i="40"/>
  <c r="AY157" i="40"/>
  <c r="AX157" i="40"/>
  <c r="AW157" i="40"/>
  <c r="AV157" i="40"/>
  <c r="AU157" i="40"/>
  <c r="AT157" i="40"/>
  <c r="AS157" i="40"/>
  <c r="AR157" i="40"/>
  <c r="AP157" i="40"/>
  <c r="AO157" i="40"/>
  <c r="AM157" i="40"/>
  <c r="AL157" i="40"/>
  <c r="AK157" i="40" s="1"/>
  <c r="AJ157" i="40"/>
  <c r="AZ65" i="34"/>
  <c r="AY65" i="34"/>
  <c r="AX65" i="34"/>
  <c r="AW65" i="34"/>
  <c r="AV65" i="34"/>
  <c r="AU65" i="34"/>
  <c r="AT65" i="34"/>
  <c r="AS65" i="34"/>
  <c r="AR65" i="34"/>
  <c r="AP65" i="34"/>
  <c r="AO65" i="34"/>
  <c r="AN65" i="34"/>
  <c r="AM65" i="34"/>
  <c r="AL65" i="34"/>
  <c r="AK65" i="34" s="1"/>
  <c r="AJ65" i="34"/>
  <c r="AZ61" i="33"/>
  <c r="AY61" i="33"/>
  <c r="AX61" i="33"/>
  <c r="AW61" i="33"/>
  <c r="AV61" i="33"/>
  <c r="AU61" i="33"/>
  <c r="AT61" i="33"/>
  <c r="AS61" i="33"/>
  <c r="AR61" i="33"/>
  <c r="AP61" i="33"/>
  <c r="AO61" i="33"/>
  <c r="AN61" i="33"/>
  <c r="AM61" i="33"/>
  <c r="AL61" i="33"/>
  <c r="AK61" i="33" s="1"/>
  <c r="AJ61" i="33"/>
  <c r="AZ59" i="33"/>
  <c r="AY59" i="33"/>
  <c r="AX59" i="33"/>
  <c r="AW59" i="33"/>
  <c r="AV59" i="33"/>
  <c r="AU59" i="33"/>
  <c r="AT59" i="33"/>
  <c r="AS59" i="33"/>
  <c r="AR59" i="33"/>
  <c r="AP59" i="33"/>
  <c r="AO59" i="33"/>
  <c r="AN59" i="33"/>
  <c r="AM59" i="33"/>
  <c r="AL59" i="33"/>
  <c r="AK59" i="33" s="1"/>
  <c r="AJ59" i="33"/>
  <c r="AZ57" i="33"/>
  <c r="AY57" i="33"/>
  <c r="AX57" i="33"/>
  <c r="AW57" i="33"/>
  <c r="AV57" i="33"/>
  <c r="AU57" i="33"/>
  <c r="AT57" i="33"/>
  <c r="AS57" i="33"/>
  <c r="AR57" i="33"/>
  <c r="AP57" i="33"/>
  <c r="AO57" i="33"/>
  <c r="AN57" i="33"/>
  <c r="AM57" i="33"/>
  <c r="AL57" i="33"/>
  <c r="AK57" i="33" s="1"/>
  <c r="AJ57" i="33"/>
  <c r="AZ149" i="40"/>
  <c r="AY149" i="40"/>
  <c r="AX149" i="40"/>
  <c r="AW149" i="40"/>
  <c r="AV149" i="40"/>
  <c r="AU149" i="40"/>
  <c r="AT149" i="40"/>
  <c r="AS149" i="40"/>
  <c r="AR149" i="40"/>
  <c r="AP149" i="40"/>
  <c r="AO149" i="40"/>
  <c r="AN149" i="40"/>
  <c r="AM149" i="40"/>
  <c r="AL149" i="40"/>
  <c r="AK149" i="40" s="1"/>
  <c r="AJ149" i="40"/>
  <c r="AZ43" i="35"/>
  <c r="AY43" i="35"/>
  <c r="AX43" i="35"/>
  <c r="AW43" i="35"/>
  <c r="AV43" i="35"/>
  <c r="AU43" i="35"/>
  <c r="AT43" i="35"/>
  <c r="AS43" i="35"/>
  <c r="AR43" i="35"/>
  <c r="AP43" i="35"/>
  <c r="AO43" i="35"/>
  <c r="AN43" i="35"/>
  <c r="AM43" i="35"/>
  <c r="AL43" i="35"/>
  <c r="AK43" i="35" s="1"/>
  <c r="AJ43" i="35"/>
  <c r="AZ55" i="33"/>
  <c r="AY55" i="33"/>
  <c r="AX55" i="33"/>
  <c r="AW55" i="33"/>
  <c r="AV55" i="33"/>
  <c r="AU55" i="33"/>
  <c r="AT55" i="33"/>
  <c r="AS55" i="33"/>
  <c r="AR55" i="33"/>
  <c r="AP55" i="33"/>
  <c r="AO55" i="33"/>
  <c r="AN55" i="33"/>
  <c r="AM55" i="33"/>
  <c r="AL55" i="33"/>
  <c r="AK55" i="33" s="1"/>
  <c r="AJ55" i="33"/>
  <c r="AZ61" i="34"/>
  <c r="AY61" i="34"/>
  <c r="AX61" i="34"/>
  <c r="AW61" i="34"/>
  <c r="AV61" i="34"/>
  <c r="AU61" i="34"/>
  <c r="AT61" i="34"/>
  <c r="AS61" i="34"/>
  <c r="AR61" i="34"/>
  <c r="AP61" i="34"/>
  <c r="AO61" i="34"/>
  <c r="AN61" i="34"/>
  <c r="AM61" i="34"/>
  <c r="AL61" i="34"/>
  <c r="AK61" i="34" s="1"/>
  <c r="AJ61" i="34"/>
  <c r="AZ63" i="34"/>
  <c r="AY63" i="34"/>
  <c r="AX63" i="34"/>
  <c r="AW63" i="34"/>
  <c r="AV63" i="34"/>
  <c r="AU63" i="34"/>
  <c r="AT63" i="34"/>
  <c r="AS63" i="34"/>
  <c r="AR63" i="34"/>
  <c r="AP63" i="34"/>
  <c r="AO63" i="34"/>
  <c r="AN63" i="34"/>
  <c r="AM63" i="34"/>
  <c r="AL63" i="34"/>
  <c r="AK63" i="34" s="1"/>
  <c r="AJ63" i="34"/>
  <c r="AZ147" i="40"/>
  <c r="AY147" i="40"/>
  <c r="AX147" i="40"/>
  <c r="AW147" i="40"/>
  <c r="AV147" i="40"/>
  <c r="AU147" i="40"/>
  <c r="AT147" i="40"/>
  <c r="AS147" i="40"/>
  <c r="AR147" i="40"/>
  <c r="AP147" i="40"/>
  <c r="AO147" i="40"/>
  <c r="AM147" i="40"/>
  <c r="AL147" i="40"/>
  <c r="AK147" i="40" s="1"/>
  <c r="AJ147" i="40"/>
  <c r="AZ145" i="40"/>
  <c r="AY145" i="40"/>
  <c r="AX145" i="40"/>
  <c r="AW145" i="40"/>
  <c r="AV145" i="40"/>
  <c r="AU145" i="40"/>
  <c r="AT145" i="40"/>
  <c r="AS145" i="40"/>
  <c r="AR145" i="40"/>
  <c r="AP145" i="40"/>
  <c r="AO145" i="40"/>
  <c r="AN145" i="40"/>
  <c r="AM145" i="40"/>
  <c r="AL145" i="40"/>
  <c r="AK145" i="40" s="1"/>
  <c r="AJ145" i="40"/>
  <c r="AZ59" i="34"/>
  <c r="AY59" i="34"/>
  <c r="AX59" i="34"/>
  <c r="AW59" i="34"/>
  <c r="AV59" i="34"/>
  <c r="AU59" i="34"/>
  <c r="AT59" i="34"/>
  <c r="AS59" i="34"/>
  <c r="AR59" i="34"/>
  <c r="AP59" i="34"/>
  <c r="AO59" i="34"/>
  <c r="AN59" i="34"/>
  <c r="AM59" i="34"/>
  <c r="AL59" i="34"/>
  <c r="AK59" i="34" s="1"/>
  <c r="AJ59" i="34"/>
  <c r="AZ47" i="34"/>
  <c r="AY47" i="34"/>
  <c r="AX47" i="34"/>
  <c r="AW47" i="34"/>
  <c r="AV47" i="34"/>
  <c r="AU47" i="34"/>
  <c r="AT47" i="34"/>
  <c r="AS47" i="34"/>
  <c r="AR47" i="34"/>
  <c r="AP47" i="34"/>
  <c r="AO47" i="34"/>
  <c r="AN47" i="34"/>
  <c r="AM47" i="34"/>
  <c r="AL47" i="34"/>
  <c r="AK47" i="34" s="1"/>
  <c r="AJ47" i="34"/>
  <c r="AZ39" i="35"/>
  <c r="AY39" i="35"/>
  <c r="AX39" i="35"/>
  <c r="AW39" i="35"/>
  <c r="AV39" i="35"/>
  <c r="AU39" i="35"/>
  <c r="AT39" i="35"/>
  <c r="AS39" i="35"/>
  <c r="AR39" i="35"/>
  <c r="AP39" i="35"/>
  <c r="AO39" i="35"/>
  <c r="AN39" i="35"/>
  <c r="AM39" i="35"/>
  <c r="AL39" i="35"/>
  <c r="AK39" i="35" s="1"/>
  <c r="AJ39" i="35"/>
  <c r="AZ131" i="40"/>
  <c r="AY131" i="40"/>
  <c r="AX131" i="40"/>
  <c r="AW131" i="40"/>
  <c r="AV131" i="40"/>
  <c r="AU131" i="40"/>
  <c r="AT131" i="40"/>
  <c r="AS131" i="40"/>
  <c r="AR131" i="40"/>
  <c r="AP131" i="40"/>
  <c r="AO131" i="40"/>
  <c r="AN131" i="40"/>
  <c r="AM131" i="40"/>
  <c r="AL131" i="40"/>
  <c r="AK131" i="40" s="1"/>
  <c r="AJ131" i="40"/>
  <c r="AZ123" i="40"/>
  <c r="AY123" i="40"/>
  <c r="AX123" i="40"/>
  <c r="AW123" i="40"/>
  <c r="AV123" i="40"/>
  <c r="AU123" i="40"/>
  <c r="AT123" i="40"/>
  <c r="AS123" i="40"/>
  <c r="AR123" i="40"/>
  <c r="AP123" i="40"/>
  <c r="AO123" i="40"/>
  <c r="AN123" i="40"/>
  <c r="AM123" i="40"/>
  <c r="AL123" i="40"/>
  <c r="AK123" i="40" s="1"/>
  <c r="AJ123" i="40"/>
  <c r="AZ117" i="40"/>
  <c r="AY117" i="40"/>
  <c r="AX117" i="40"/>
  <c r="AW117" i="40"/>
  <c r="AV117" i="40"/>
  <c r="AU117" i="40"/>
  <c r="AT117" i="40"/>
  <c r="AS117" i="40"/>
  <c r="AR117" i="40"/>
  <c r="AP117" i="40"/>
  <c r="AO117" i="40"/>
  <c r="AN117" i="40"/>
  <c r="AM117" i="40"/>
  <c r="AL117" i="40"/>
  <c r="AK117" i="40" s="1"/>
  <c r="AJ117" i="40"/>
  <c r="AZ45" i="32"/>
  <c r="AY45" i="32"/>
  <c r="AX45" i="32"/>
  <c r="AW45" i="32"/>
  <c r="AV45" i="32"/>
  <c r="AU45" i="32"/>
  <c r="AT45" i="32"/>
  <c r="AS45" i="32"/>
  <c r="AR45" i="32"/>
  <c r="AP45" i="32"/>
  <c r="AO45" i="32"/>
  <c r="AN45" i="32"/>
  <c r="AM45" i="32"/>
  <c r="AL45" i="32"/>
  <c r="AK45" i="32" s="1"/>
  <c r="AJ45" i="32"/>
  <c r="AZ51" i="34"/>
  <c r="AY51" i="34"/>
  <c r="AX51" i="34"/>
  <c r="AW51" i="34"/>
  <c r="AV51" i="34"/>
  <c r="AU51" i="34"/>
  <c r="AT51" i="34"/>
  <c r="AS51" i="34"/>
  <c r="AR51" i="34"/>
  <c r="AP51" i="34"/>
  <c r="AO51" i="34"/>
  <c r="AN51" i="34"/>
  <c r="AM51" i="34"/>
  <c r="AL51" i="34"/>
  <c r="AK51" i="34" s="1"/>
  <c r="AJ51" i="34"/>
  <c r="AZ45" i="34"/>
  <c r="AY45" i="34"/>
  <c r="AX45" i="34"/>
  <c r="AW45" i="34"/>
  <c r="AV45" i="34"/>
  <c r="AU45" i="34"/>
  <c r="AT45" i="34"/>
  <c r="AS45" i="34"/>
  <c r="AR45" i="34"/>
  <c r="AP45" i="34"/>
  <c r="AO45" i="34"/>
  <c r="AN45" i="34"/>
  <c r="AM45" i="34"/>
  <c r="AL45" i="34"/>
  <c r="AK45" i="34" s="1"/>
  <c r="AJ45" i="34"/>
  <c r="AZ41" i="32"/>
  <c r="AY41" i="32"/>
  <c r="AX41" i="32"/>
  <c r="AW41" i="32"/>
  <c r="AV41" i="32"/>
  <c r="AU41" i="32"/>
  <c r="AT41" i="32"/>
  <c r="AS41" i="32"/>
  <c r="AR41" i="32"/>
  <c r="AP41" i="32"/>
  <c r="AO41" i="32"/>
  <c r="AN41" i="32"/>
  <c r="AM41" i="32"/>
  <c r="AL41" i="32"/>
  <c r="AK41" i="32" s="1"/>
  <c r="AJ41" i="32"/>
  <c r="AZ53" i="33"/>
  <c r="AY53" i="33"/>
  <c r="AX53" i="33"/>
  <c r="AW53" i="33"/>
  <c r="AV53" i="33"/>
  <c r="AU53" i="33"/>
  <c r="AT53" i="33"/>
  <c r="AS53" i="33"/>
  <c r="AR53" i="33"/>
  <c r="AP53" i="33"/>
  <c r="AO53" i="33"/>
  <c r="AN53" i="33"/>
  <c r="AM53" i="33"/>
  <c r="AL53" i="33"/>
  <c r="AK53" i="33" s="1"/>
  <c r="AJ53" i="33"/>
  <c r="AZ35" i="32"/>
  <c r="AY35" i="32"/>
  <c r="AX35" i="32"/>
  <c r="AW35" i="32"/>
  <c r="AV35" i="32"/>
  <c r="AU35" i="32"/>
  <c r="AT35" i="32"/>
  <c r="AS35" i="32"/>
  <c r="AR35" i="32"/>
  <c r="AP35" i="32"/>
  <c r="AO35" i="32"/>
  <c r="AN35" i="32"/>
  <c r="AM35" i="32"/>
  <c r="AL35" i="32"/>
  <c r="AK35" i="32" s="1"/>
  <c r="AJ35" i="32"/>
  <c r="AZ39" i="34"/>
  <c r="AY39" i="34"/>
  <c r="AX39" i="34"/>
  <c r="AW39" i="34"/>
  <c r="AV39" i="34"/>
  <c r="AU39" i="34"/>
  <c r="AT39" i="34"/>
  <c r="AS39" i="34"/>
  <c r="AR39" i="34"/>
  <c r="AP39" i="34"/>
  <c r="AO39" i="34"/>
  <c r="AN39" i="34"/>
  <c r="AM39" i="34"/>
  <c r="AL39" i="34"/>
  <c r="AK39" i="34" s="1"/>
  <c r="AJ39" i="34"/>
  <c r="AZ49" i="33"/>
  <c r="AY49" i="33"/>
  <c r="AX49" i="33"/>
  <c r="AW49" i="33"/>
  <c r="AV49" i="33"/>
  <c r="AU49" i="33"/>
  <c r="AT49" i="33"/>
  <c r="AS49" i="33"/>
  <c r="AR49" i="33"/>
  <c r="AP49" i="33"/>
  <c r="AO49" i="33"/>
  <c r="AN49" i="33"/>
  <c r="AM49" i="33"/>
  <c r="AL49" i="33"/>
  <c r="AK49" i="33" s="1"/>
  <c r="AJ49" i="33"/>
  <c r="AZ43" i="34"/>
  <c r="AY43" i="34"/>
  <c r="AX43" i="34"/>
  <c r="AW43" i="34"/>
  <c r="AV43" i="34"/>
  <c r="AU43" i="34"/>
  <c r="AT43" i="34"/>
  <c r="AS43" i="34"/>
  <c r="AR43" i="34"/>
  <c r="AP43" i="34"/>
  <c r="AO43" i="34"/>
  <c r="AN43" i="34"/>
  <c r="AM43" i="34"/>
  <c r="AL43" i="34"/>
  <c r="AK43" i="34" s="1"/>
  <c r="AJ43" i="34"/>
  <c r="AZ113" i="40"/>
  <c r="AY113" i="40"/>
  <c r="AX113" i="40"/>
  <c r="AW113" i="40"/>
  <c r="AV113" i="40"/>
  <c r="AU113" i="40"/>
  <c r="AT113" i="40"/>
  <c r="AS113" i="40"/>
  <c r="AR113" i="40"/>
  <c r="AP113" i="40"/>
  <c r="AO113" i="40"/>
  <c r="AN113" i="40"/>
  <c r="AM113" i="40"/>
  <c r="AL113" i="40"/>
  <c r="AK113" i="40" s="1"/>
  <c r="AJ113" i="40"/>
  <c r="AZ33" i="35"/>
  <c r="AY33" i="35"/>
  <c r="AX33" i="35"/>
  <c r="AW33" i="35"/>
  <c r="AV33" i="35"/>
  <c r="AU33" i="35"/>
  <c r="AT33" i="35"/>
  <c r="AS33" i="35"/>
  <c r="AR33" i="35"/>
  <c r="AP33" i="35"/>
  <c r="AO33" i="35"/>
  <c r="AN33" i="35"/>
  <c r="AM33" i="35"/>
  <c r="AL33" i="35"/>
  <c r="AK33" i="35" s="1"/>
  <c r="AJ33" i="35"/>
  <c r="AZ109" i="40"/>
  <c r="AY109" i="40"/>
  <c r="AX109" i="40"/>
  <c r="AW109" i="40"/>
  <c r="AV109" i="40"/>
  <c r="AU109" i="40"/>
  <c r="AT109" i="40"/>
  <c r="AS109" i="40"/>
  <c r="AR109" i="40"/>
  <c r="AP109" i="40"/>
  <c r="AO109" i="40"/>
  <c r="AN109" i="40"/>
  <c r="AM109" i="40"/>
  <c r="AL109" i="40"/>
  <c r="AK109" i="40" s="1"/>
  <c r="AJ109" i="40"/>
  <c r="AZ37" i="34"/>
  <c r="AY37" i="34"/>
  <c r="AX37" i="34"/>
  <c r="AW37" i="34"/>
  <c r="AV37" i="34"/>
  <c r="AU37" i="34"/>
  <c r="AT37" i="34"/>
  <c r="AS37" i="34"/>
  <c r="AR37" i="34"/>
  <c r="AP37" i="34"/>
  <c r="AO37" i="34"/>
  <c r="AN37" i="34"/>
  <c r="AM37" i="34"/>
  <c r="AL37" i="34"/>
  <c r="AK37" i="34" s="1"/>
  <c r="AJ37" i="34"/>
  <c r="AZ33" i="32"/>
  <c r="AY33" i="32"/>
  <c r="AX33" i="32"/>
  <c r="AW33" i="32"/>
  <c r="AV33" i="32"/>
  <c r="AU33" i="32"/>
  <c r="AT33" i="32"/>
  <c r="AS33" i="32"/>
  <c r="AR33" i="32"/>
  <c r="AP33" i="32"/>
  <c r="AO33" i="32"/>
  <c r="AN33" i="32"/>
  <c r="AM33" i="32"/>
  <c r="AL33" i="32"/>
  <c r="AK33" i="32" s="1"/>
  <c r="AJ33" i="32"/>
  <c r="AZ45" i="33"/>
  <c r="AY45" i="33"/>
  <c r="AX45" i="33"/>
  <c r="AW45" i="33"/>
  <c r="AV45" i="33"/>
  <c r="AU45" i="33"/>
  <c r="AT45" i="33"/>
  <c r="AS45" i="33"/>
  <c r="AR45" i="33"/>
  <c r="AP45" i="33"/>
  <c r="AO45" i="33"/>
  <c r="AN45" i="33"/>
  <c r="AM45" i="33"/>
  <c r="AL45" i="33"/>
  <c r="AK45" i="33" s="1"/>
  <c r="AJ45" i="33"/>
  <c r="AZ105" i="40"/>
  <c r="AY105" i="40"/>
  <c r="AX105" i="40"/>
  <c r="AW105" i="40"/>
  <c r="AV105" i="40"/>
  <c r="AU105" i="40"/>
  <c r="AT105" i="40"/>
  <c r="AS105" i="40"/>
  <c r="AR105" i="40"/>
  <c r="AP105" i="40"/>
  <c r="AO105" i="40"/>
  <c r="AM105" i="40"/>
  <c r="AL105" i="40"/>
  <c r="AK105" i="40" s="1"/>
  <c r="AJ105" i="40"/>
  <c r="AZ103" i="40"/>
  <c r="AY103" i="40"/>
  <c r="AX103" i="40"/>
  <c r="AW103" i="40"/>
  <c r="AV103" i="40"/>
  <c r="AU103" i="40"/>
  <c r="AT103" i="40"/>
  <c r="AS103" i="40"/>
  <c r="AR103" i="40"/>
  <c r="AP103" i="40"/>
  <c r="AO103" i="40"/>
  <c r="AM103" i="40"/>
  <c r="AL103" i="40"/>
  <c r="AK103" i="40" s="1"/>
  <c r="AJ103" i="40"/>
  <c r="AZ29" i="35"/>
  <c r="AY29" i="35"/>
  <c r="AX29" i="35"/>
  <c r="AW29" i="35"/>
  <c r="AV29" i="35"/>
  <c r="AU29" i="35"/>
  <c r="AT29" i="35"/>
  <c r="AS29" i="35"/>
  <c r="AR29" i="35"/>
  <c r="AP29" i="35"/>
  <c r="AO29" i="35"/>
  <c r="AN29" i="35"/>
  <c r="AM29" i="35"/>
  <c r="AL29" i="35"/>
  <c r="AK29" i="35" s="1"/>
  <c r="AJ29" i="35"/>
  <c r="AZ27" i="35"/>
  <c r="AY27" i="35"/>
  <c r="AX27" i="35"/>
  <c r="AW27" i="35"/>
  <c r="AV27" i="35"/>
  <c r="AU27" i="35"/>
  <c r="AT27" i="35"/>
  <c r="AS27" i="35"/>
  <c r="AR27" i="35"/>
  <c r="AP27" i="35"/>
  <c r="AO27" i="35"/>
  <c r="AN27" i="35"/>
  <c r="AM27" i="35"/>
  <c r="AL27" i="35"/>
  <c r="AK27" i="35" s="1"/>
  <c r="AJ27" i="35"/>
  <c r="AZ101" i="40"/>
  <c r="AY101" i="40"/>
  <c r="AX101" i="40"/>
  <c r="AW101" i="40"/>
  <c r="AV101" i="40"/>
  <c r="AU101" i="40"/>
  <c r="AT101" i="40"/>
  <c r="AS101" i="40"/>
  <c r="AR101" i="40"/>
  <c r="AP101" i="40"/>
  <c r="AO101" i="40"/>
  <c r="AM101" i="40"/>
  <c r="AL101" i="40"/>
  <c r="AK101" i="40" s="1"/>
  <c r="AJ101" i="40"/>
  <c r="AZ39" i="33"/>
  <c r="AY39" i="33"/>
  <c r="AX39" i="33"/>
  <c r="AW39" i="33"/>
  <c r="AV39" i="33"/>
  <c r="AU39" i="33"/>
  <c r="AT39" i="33"/>
  <c r="AS39" i="33"/>
  <c r="AR39" i="33"/>
  <c r="AP39" i="33"/>
  <c r="AO39" i="33"/>
  <c r="AN39" i="33"/>
  <c r="AM39" i="33"/>
  <c r="AL39" i="33"/>
  <c r="AK39" i="33" s="1"/>
  <c r="AJ39" i="33"/>
  <c r="AZ35" i="34"/>
  <c r="AY35" i="34"/>
  <c r="AX35" i="34"/>
  <c r="AW35" i="34"/>
  <c r="AV35" i="34"/>
  <c r="AU35" i="34"/>
  <c r="AT35" i="34"/>
  <c r="AS35" i="34"/>
  <c r="AR35" i="34"/>
  <c r="AP35" i="34"/>
  <c r="AO35" i="34"/>
  <c r="AN35" i="34"/>
  <c r="AM35" i="34"/>
  <c r="AL35" i="34"/>
  <c r="AK35" i="34" s="1"/>
  <c r="AJ35" i="34"/>
  <c r="AZ33" i="34"/>
  <c r="AY33" i="34"/>
  <c r="AX33" i="34"/>
  <c r="AW33" i="34"/>
  <c r="AV33" i="34"/>
  <c r="AU33" i="34"/>
  <c r="AT33" i="34"/>
  <c r="AS33" i="34"/>
  <c r="AR33" i="34"/>
  <c r="AP33" i="34"/>
  <c r="AO33" i="34"/>
  <c r="AN33" i="34"/>
  <c r="AM33" i="34"/>
  <c r="AL33" i="34"/>
  <c r="AK33" i="34" s="1"/>
  <c r="AJ33" i="34"/>
  <c r="AZ89" i="40"/>
  <c r="AY89" i="40"/>
  <c r="AX89" i="40"/>
  <c r="AW89" i="40"/>
  <c r="AV89" i="40"/>
  <c r="AU89" i="40"/>
  <c r="AT89" i="40"/>
  <c r="AS89" i="40"/>
  <c r="AR89" i="40"/>
  <c r="AP89" i="40"/>
  <c r="AO89" i="40"/>
  <c r="AN89" i="40"/>
  <c r="AM89" i="40"/>
  <c r="AL89" i="40"/>
  <c r="AK89" i="40" s="1"/>
  <c r="AJ89" i="40"/>
  <c r="AZ83" i="40"/>
  <c r="AY83" i="40"/>
  <c r="AX83" i="40"/>
  <c r="AW83" i="40"/>
  <c r="AV83" i="40"/>
  <c r="AU83" i="40"/>
  <c r="AT83" i="40"/>
  <c r="AS83" i="40"/>
  <c r="AR83" i="40"/>
  <c r="AP83" i="40"/>
  <c r="AO83" i="40"/>
  <c r="AN83" i="40"/>
  <c r="AM83" i="40"/>
  <c r="AL83" i="40"/>
  <c r="AK83" i="40" s="1"/>
  <c r="AJ83" i="40"/>
  <c r="AZ95" i="40"/>
  <c r="AY95" i="40"/>
  <c r="AX95" i="40"/>
  <c r="AW95" i="40"/>
  <c r="AV95" i="40"/>
  <c r="AU95" i="40"/>
  <c r="AT95" i="40"/>
  <c r="AS95" i="40"/>
  <c r="AR95" i="40"/>
  <c r="AP95" i="40"/>
  <c r="AO95" i="40"/>
  <c r="AM95" i="40"/>
  <c r="AL95" i="40"/>
  <c r="AK95" i="40" s="1"/>
  <c r="AJ95" i="40"/>
  <c r="AZ35" i="33"/>
  <c r="AY35" i="33"/>
  <c r="AX35" i="33"/>
  <c r="AW35" i="33"/>
  <c r="AV35" i="33"/>
  <c r="AU35" i="33"/>
  <c r="AT35" i="33"/>
  <c r="AS35" i="33"/>
  <c r="AR35" i="33"/>
  <c r="AP35" i="33"/>
  <c r="AO35" i="33"/>
  <c r="AN35" i="33"/>
  <c r="AM35" i="33"/>
  <c r="AL35" i="33"/>
  <c r="AK35" i="33" s="1"/>
  <c r="AJ35" i="33"/>
  <c r="AZ77" i="40"/>
  <c r="AY77" i="40"/>
  <c r="AX77" i="40"/>
  <c r="AW77" i="40"/>
  <c r="AV77" i="40"/>
  <c r="AU77" i="40"/>
  <c r="AT77" i="40"/>
  <c r="AS77" i="40"/>
  <c r="AR77" i="40"/>
  <c r="AP77" i="40"/>
  <c r="AO77" i="40"/>
  <c r="AN77" i="40"/>
  <c r="AM77" i="40"/>
  <c r="AL77" i="40"/>
  <c r="AK77" i="40" s="1"/>
  <c r="AJ77" i="40"/>
  <c r="AZ31" i="34"/>
  <c r="AY31" i="34"/>
  <c r="AX31" i="34"/>
  <c r="AW31" i="34"/>
  <c r="AV31" i="34"/>
  <c r="AU31" i="34"/>
  <c r="AT31" i="34"/>
  <c r="AS31" i="34"/>
  <c r="AR31" i="34"/>
  <c r="AP31" i="34"/>
  <c r="AO31" i="34"/>
  <c r="AN31" i="34"/>
  <c r="AM31" i="34"/>
  <c r="AL31" i="34"/>
  <c r="AK31" i="34" s="1"/>
  <c r="AJ31" i="34"/>
  <c r="AZ31" i="33"/>
  <c r="AY31" i="33"/>
  <c r="AX31" i="33"/>
  <c r="AW31" i="33"/>
  <c r="AV31" i="33"/>
  <c r="AU31" i="33"/>
  <c r="AT31" i="33"/>
  <c r="AS31" i="33"/>
  <c r="AR31" i="33"/>
  <c r="AP31" i="33"/>
  <c r="AO31" i="33"/>
  <c r="AN31" i="33"/>
  <c r="AM31" i="33"/>
  <c r="AL31" i="33"/>
  <c r="AK31" i="33" s="1"/>
  <c r="AJ31" i="33"/>
  <c r="AZ71" i="40"/>
  <c r="AY71" i="40"/>
  <c r="AX71" i="40"/>
  <c r="AW71" i="40"/>
  <c r="AV71" i="40"/>
  <c r="AU71" i="40"/>
  <c r="AT71" i="40"/>
  <c r="AS71" i="40"/>
  <c r="AR71" i="40"/>
  <c r="AP71" i="40"/>
  <c r="AO71" i="40"/>
  <c r="AN71" i="40"/>
  <c r="AM71" i="40"/>
  <c r="AL71" i="40"/>
  <c r="AK71" i="40" s="1"/>
  <c r="AJ71" i="40"/>
  <c r="AZ67" i="40"/>
  <c r="AY67" i="40"/>
  <c r="AX67" i="40"/>
  <c r="AW67" i="40"/>
  <c r="AV67" i="40"/>
  <c r="AU67" i="40"/>
  <c r="AT67" i="40"/>
  <c r="AS67" i="40"/>
  <c r="AR67" i="40"/>
  <c r="AP67" i="40"/>
  <c r="AO67" i="40"/>
  <c r="AM67" i="40"/>
  <c r="AL67" i="40"/>
  <c r="AK67" i="40" s="1"/>
  <c r="AJ67" i="40"/>
  <c r="AZ63" i="40"/>
  <c r="AY63" i="40"/>
  <c r="AX63" i="40"/>
  <c r="AW63" i="40"/>
  <c r="AV63" i="40"/>
  <c r="AU63" i="40"/>
  <c r="AT63" i="40"/>
  <c r="AS63" i="40"/>
  <c r="AR63" i="40"/>
  <c r="AP63" i="40"/>
  <c r="AO63" i="40"/>
  <c r="AM63" i="40"/>
  <c r="AL63" i="40"/>
  <c r="AK63" i="40" s="1"/>
  <c r="AJ63" i="40"/>
  <c r="AZ29" i="33"/>
  <c r="AY29" i="33"/>
  <c r="AX29" i="33"/>
  <c r="AW29" i="33"/>
  <c r="AV29" i="33"/>
  <c r="AU29" i="33"/>
  <c r="AT29" i="33"/>
  <c r="AS29" i="33"/>
  <c r="AR29" i="33"/>
  <c r="AP29" i="33"/>
  <c r="AO29" i="33"/>
  <c r="AN29" i="33"/>
  <c r="AM29" i="33"/>
  <c r="AL29" i="33"/>
  <c r="AK29" i="33" s="1"/>
  <c r="AJ29" i="33"/>
  <c r="AZ27" i="33"/>
  <c r="AY27" i="33"/>
  <c r="AX27" i="33"/>
  <c r="AW27" i="33"/>
  <c r="AV27" i="33"/>
  <c r="AU27" i="33"/>
  <c r="AT27" i="33"/>
  <c r="AS27" i="33"/>
  <c r="AR27" i="33"/>
  <c r="AP27" i="33"/>
  <c r="AO27" i="33"/>
  <c r="AN27" i="33"/>
  <c r="AM27" i="33"/>
  <c r="AL27" i="33"/>
  <c r="AK27" i="33" s="1"/>
  <c r="AJ27" i="33"/>
  <c r="AZ29" i="34"/>
  <c r="AY29" i="34"/>
  <c r="AX29" i="34"/>
  <c r="AW29" i="34"/>
  <c r="AV29" i="34"/>
  <c r="AU29" i="34"/>
  <c r="AT29" i="34"/>
  <c r="AS29" i="34"/>
  <c r="AR29" i="34"/>
  <c r="AP29" i="34"/>
  <c r="AO29" i="34"/>
  <c r="AN29" i="34"/>
  <c r="AM29" i="34"/>
  <c r="AL29" i="34"/>
  <c r="AK29" i="34" s="1"/>
  <c r="AJ29" i="34"/>
  <c r="AZ25" i="33"/>
  <c r="AY25" i="33"/>
  <c r="AX25" i="33"/>
  <c r="AW25" i="33"/>
  <c r="AV25" i="33"/>
  <c r="AU25" i="33"/>
  <c r="AT25" i="33"/>
  <c r="AS25" i="33"/>
  <c r="AR25" i="33"/>
  <c r="AP25" i="33"/>
  <c r="AO25" i="33"/>
  <c r="AN25" i="33"/>
  <c r="AM25" i="33"/>
  <c r="AL25" i="33"/>
  <c r="AK25" i="33" s="1"/>
  <c r="AJ25" i="33"/>
  <c r="AZ49" i="40"/>
  <c r="AY49" i="40"/>
  <c r="AX49" i="40"/>
  <c r="AW49" i="40"/>
  <c r="AV49" i="40"/>
  <c r="AU49" i="40"/>
  <c r="AT49" i="40"/>
  <c r="AS49" i="40"/>
  <c r="AR49" i="40"/>
  <c r="AP49" i="40"/>
  <c r="AO49" i="40"/>
  <c r="AM49" i="40"/>
  <c r="AL49" i="40"/>
  <c r="AK49" i="40" s="1"/>
  <c r="AJ49" i="40"/>
  <c r="AZ25" i="32"/>
  <c r="AY25" i="32"/>
  <c r="AX25" i="32"/>
  <c r="AW25" i="32"/>
  <c r="AV25" i="32"/>
  <c r="AU25" i="32"/>
  <c r="AT25" i="32"/>
  <c r="AS25" i="32"/>
  <c r="AR25" i="32"/>
  <c r="AP25" i="32"/>
  <c r="AO25" i="32"/>
  <c r="AN25" i="32"/>
  <c r="AM25" i="32"/>
  <c r="AL25" i="32"/>
  <c r="AK25" i="32" s="1"/>
  <c r="AJ25" i="32"/>
  <c r="AZ21" i="33"/>
  <c r="AY21" i="33"/>
  <c r="AX21" i="33"/>
  <c r="AW21" i="33"/>
  <c r="AV21" i="33"/>
  <c r="AU21" i="33"/>
  <c r="AT21" i="33"/>
  <c r="AS21" i="33"/>
  <c r="AR21" i="33"/>
  <c r="AP21" i="33"/>
  <c r="AO21" i="33"/>
  <c r="AN21" i="33"/>
  <c r="AM21" i="33"/>
  <c r="AL21" i="33"/>
  <c r="AK21" i="33" s="1"/>
  <c r="AJ21" i="33"/>
  <c r="AZ47" i="40"/>
  <c r="AY47" i="40"/>
  <c r="AX47" i="40"/>
  <c r="AW47" i="40"/>
  <c r="AV47" i="40"/>
  <c r="AU47" i="40"/>
  <c r="AT47" i="40"/>
  <c r="AS47" i="40"/>
  <c r="AR47" i="40"/>
  <c r="AP47" i="40"/>
  <c r="AO47" i="40"/>
  <c r="AM47" i="40"/>
  <c r="AL47" i="40"/>
  <c r="AK47" i="40" s="1"/>
  <c r="AJ47" i="40"/>
  <c r="AZ45" i="40"/>
  <c r="AY45" i="40"/>
  <c r="AX45" i="40"/>
  <c r="AW45" i="40"/>
  <c r="AV45" i="40"/>
  <c r="AU45" i="40"/>
  <c r="AT45" i="40"/>
  <c r="AS45" i="40"/>
  <c r="AR45" i="40"/>
  <c r="AP45" i="40"/>
  <c r="AO45" i="40"/>
  <c r="AN45" i="40"/>
  <c r="AM45" i="40"/>
  <c r="AL45" i="40"/>
  <c r="AK45" i="40" s="1"/>
  <c r="AJ45" i="40"/>
  <c r="AZ41" i="40"/>
  <c r="AY41" i="40"/>
  <c r="AX41" i="40"/>
  <c r="AW41" i="40"/>
  <c r="AV41" i="40"/>
  <c r="AU41" i="40"/>
  <c r="AT41" i="40"/>
  <c r="AS41" i="40"/>
  <c r="AR41" i="40"/>
  <c r="AP41" i="40"/>
  <c r="AO41" i="40"/>
  <c r="AM41" i="40"/>
  <c r="AL41" i="40"/>
  <c r="AK41" i="40" s="1"/>
  <c r="AJ41" i="40"/>
  <c r="AZ39" i="40"/>
  <c r="AY39" i="40"/>
  <c r="AX39" i="40"/>
  <c r="AW39" i="40"/>
  <c r="AV39" i="40"/>
  <c r="AU39" i="40"/>
  <c r="AT39" i="40"/>
  <c r="AS39" i="40"/>
  <c r="AR39" i="40"/>
  <c r="AP39" i="40"/>
  <c r="AO39" i="40"/>
  <c r="AN39" i="40"/>
  <c r="AM39" i="40"/>
  <c r="AL39" i="40"/>
  <c r="AK39" i="40" s="1"/>
  <c r="AJ39" i="40"/>
  <c r="AZ37" i="40"/>
  <c r="AY37" i="40"/>
  <c r="AX37" i="40"/>
  <c r="AW37" i="40"/>
  <c r="AV37" i="40"/>
  <c r="AU37" i="40"/>
  <c r="AT37" i="40"/>
  <c r="AS37" i="40"/>
  <c r="AR37" i="40"/>
  <c r="AP37" i="40"/>
  <c r="AO37" i="40"/>
  <c r="AN37" i="40"/>
  <c r="AM37" i="40"/>
  <c r="AL37" i="40"/>
  <c r="AK37" i="40" s="1"/>
  <c r="AJ37" i="40"/>
  <c r="AZ27" i="34"/>
  <c r="AY27" i="34"/>
  <c r="AX27" i="34"/>
  <c r="AW27" i="34"/>
  <c r="AV27" i="34"/>
  <c r="AU27" i="34"/>
  <c r="AT27" i="34"/>
  <c r="AS27" i="34"/>
  <c r="AR27" i="34"/>
  <c r="AP27" i="34"/>
  <c r="AO27" i="34"/>
  <c r="AN27" i="34"/>
  <c r="AM27" i="34"/>
  <c r="AL27" i="34"/>
  <c r="AK27" i="34" s="1"/>
  <c r="AJ27" i="34"/>
  <c r="AZ25" i="34"/>
  <c r="AY25" i="34"/>
  <c r="AX25" i="34"/>
  <c r="AW25" i="34"/>
  <c r="AV25" i="34"/>
  <c r="AU25" i="34"/>
  <c r="AT25" i="34"/>
  <c r="AS25" i="34"/>
  <c r="AR25" i="34"/>
  <c r="AP25" i="34"/>
  <c r="AO25" i="34"/>
  <c r="AN25" i="34"/>
  <c r="AM25" i="34"/>
  <c r="AL25" i="34"/>
  <c r="AK25" i="34" s="1"/>
  <c r="AJ25" i="34"/>
  <c r="AZ21" i="32"/>
  <c r="AY21" i="32"/>
  <c r="AX21" i="32"/>
  <c r="AW21" i="32"/>
  <c r="AV21" i="32"/>
  <c r="AU21" i="32"/>
  <c r="AT21" i="32"/>
  <c r="AS21" i="32"/>
  <c r="AR21" i="32"/>
  <c r="AP21" i="32"/>
  <c r="AO21" i="32"/>
  <c r="AN21" i="32"/>
  <c r="AM21" i="32"/>
  <c r="AL21" i="32"/>
  <c r="AK21" i="32" s="1"/>
  <c r="AJ21" i="32"/>
  <c r="AZ25" i="40"/>
  <c r="AY25" i="40"/>
  <c r="AX25" i="40"/>
  <c r="AW25" i="40"/>
  <c r="AV25" i="40"/>
  <c r="AU25" i="40"/>
  <c r="AT25" i="40"/>
  <c r="AS25" i="40"/>
  <c r="AR25" i="40"/>
  <c r="AP25" i="40"/>
  <c r="AO25" i="40"/>
  <c r="AM25" i="40"/>
  <c r="AL25" i="40"/>
  <c r="AK25" i="40" s="1"/>
  <c r="AJ25" i="40"/>
  <c r="AZ21" i="34"/>
  <c r="AY21" i="34"/>
  <c r="AX21" i="34"/>
  <c r="AW21" i="34"/>
  <c r="AV21" i="34"/>
  <c r="AU21" i="34"/>
  <c r="AT21" i="34"/>
  <c r="AS21" i="34"/>
  <c r="AR21" i="34"/>
  <c r="AP21" i="34"/>
  <c r="AO21" i="34"/>
  <c r="AN21" i="34"/>
  <c r="AM21" i="34"/>
  <c r="AL21" i="34"/>
  <c r="AK21" i="34" s="1"/>
  <c r="AJ21" i="34"/>
  <c r="AZ23" i="40"/>
  <c r="AY23" i="40"/>
  <c r="AX23" i="40"/>
  <c r="AW23" i="40"/>
  <c r="AV23" i="40"/>
  <c r="AU23" i="40"/>
  <c r="AT23" i="40"/>
  <c r="AS23" i="40"/>
  <c r="AR23" i="40"/>
  <c r="AP23" i="40"/>
  <c r="AO23" i="40"/>
  <c r="AM23" i="40"/>
  <c r="AL23" i="40"/>
  <c r="AK23" i="40" s="1"/>
  <c r="AJ23" i="40"/>
  <c r="AZ29" i="40"/>
  <c r="AY29" i="40"/>
  <c r="AX29" i="40"/>
  <c r="AW29" i="40"/>
  <c r="AV29" i="40"/>
  <c r="AU29" i="40"/>
  <c r="AT29" i="40"/>
  <c r="AS29" i="40"/>
  <c r="AR29" i="40"/>
  <c r="AP29" i="40"/>
  <c r="AO29" i="40"/>
  <c r="AM29" i="40"/>
  <c r="AL29" i="40"/>
  <c r="AK29" i="40" s="1"/>
  <c r="AJ29" i="40"/>
  <c r="AZ27" i="40"/>
  <c r="AY27" i="40"/>
  <c r="AX27" i="40"/>
  <c r="AW27" i="40"/>
  <c r="AV27" i="40"/>
  <c r="AU27" i="40"/>
  <c r="AT27" i="40"/>
  <c r="AS27" i="40"/>
  <c r="AR27" i="40"/>
  <c r="AP27" i="40"/>
  <c r="AO27" i="40"/>
  <c r="AM27" i="40"/>
  <c r="AL27" i="40"/>
  <c r="AK27" i="40" s="1"/>
  <c r="AJ27" i="40"/>
  <c r="AZ19" i="40"/>
  <c r="AY19" i="40"/>
  <c r="AX19" i="40"/>
  <c r="AW19" i="40"/>
  <c r="AV19" i="40"/>
  <c r="AU19" i="40"/>
  <c r="AT19" i="40"/>
  <c r="AS19" i="40"/>
  <c r="AR19" i="40"/>
  <c r="AP19" i="40"/>
  <c r="AO19" i="40"/>
  <c r="AM19" i="40"/>
  <c r="AL19" i="40"/>
  <c r="AK19" i="40" s="1"/>
  <c r="AJ19" i="40"/>
  <c r="AZ19" i="34"/>
  <c r="AY19" i="34"/>
  <c r="AX19" i="34"/>
  <c r="AW19" i="34"/>
  <c r="AV19" i="34"/>
  <c r="AU19" i="34"/>
  <c r="AT19" i="34"/>
  <c r="AS19" i="34"/>
  <c r="AR19" i="34"/>
  <c r="AP19" i="34"/>
  <c r="AO19" i="34"/>
  <c r="AN19" i="34"/>
  <c r="AM19" i="34"/>
  <c r="AL19" i="34"/>
  <c r="AK19" i="34" s="1"/>
  <c r="AJ19" i="34"/>
  <c r="AZ19" i="35"/>
  <c r="AY19" i="35"/>
  <c r="AX19" i="35"/>
  <c r="AW19" i="35"/>
  <c r="AV19" i="35"/>
  <c r="AU19" i="35"/>
  <c r="AT19" i="35"/>
  <c r="AS19" i="35"/>
  <c r="AR19" i="35"/>
  <c r="AP19" i="35"/>
  <c r="AO19" i="35"/>
  <c r="AN19" i="35"/>
  <c r="AM19" i="35"/>
  <c r="AL19" i="35"/>
  <c r="AK19" i="35" s="1"/>
  <c r="AJ19" i="35"/>
  <c r="AQ41" i="32" l="1"/>
  <c r="AQ57" i="33"/>
  <c r="AQ59" i="32"/>
  <c r="AQ21" i="32"/>
  <c r="AQ39" i="35"/>
  <c r="AQ61" i="33"/>
  <c r="AQ33" i="32"/>
  <c r="AQ167" i="40"/>
  <c r="AQ43" i="35"/>
  <c r="AQ45" i="34"/>
  <c r="AQ115" i="40"/>
  <c r="AQ27" i="35"/>
  <c r="AQ57" i="32"/>
  <c r="AQ49" i="34"/>
  <c r="AQ67" i="34"/>
  <c r="AQ67" i="33"/>
  <c r="AQ49" i="33"/>
  <c r="AQ19" i="33"/>
  <c r="AQ65" i="34"/>
  <c r="AQ59" i="33"/>
  <c r="AQ65" i="33"/>
  <c r="AQ45" i="32"/>
  <c r="AQ103" i="40"/>
  <c r="AQ149" i="40"/>
  <c r="AQ165" i="40"/>
  <c r="AQ63" i="33"/>
  <c r="AQ109" i="40"/>
  <c r="AQ117" i="40"/>
  <c r="AQ131" i="40"/>
  <c r="AQ159" i="40"/>
  <c r="AQ123" i="40"/>
  <c r="AQ145" i="40"/>
  <c r="AQ147" i="40"/>
  <c r="AQ55" i="33"/>
  <c r="AQ157" i="40"/>
  <c r="AQ47" i="34"/>
  <c r="AQ63" i="34"/>
  <c r="AQ59" i="34"/>
  <c r="AQ61" i="34"/>
  <c r="AQ31" i="33"/>
  <c r="AQ53" i="33"/>
  <c r="AQ33" i="34"/>
  <c r="AQ37" i="34"/>
  <c r="AQ51" i="34"/>
  <c r="AQ39" i="34"/>
  <c r="AQ33" i="35"/>
  <c r="AQ113" i="40"/>
  <c r="AQ25" i="32"/>
  <c r="AQ35" i="32"/>
  <c r="AQ29" i="34"/>
  <c r="AQ35" i="34"/>
  <c r="AQ43" i="34"/>
  <c r="AQ45" i="33"/>
  <c r="AQ47" i="40"/>
  <c r="AQ63" i="40"/>
  <c r="AQ71" i="40"/>
  <c r="AQ83" i="40"/>
  <c r="AQ101" i="40"/>
  <c r="AQ19" i="35"/>
  <c r="AQ29" i="35"/>
  <c r="AQ105" i="40"/>
  <c r="AQ27" i="33"/>
  <c r="AQ35" i="33"/>
  <c r="AQ39" i="33"/>
  <c r="AQ37" i="40"/>
  <c r="AQ41" i="40"/>
  <c r="AQ95" i="40"/>
  <c r="AQ89" i="40"/>
  <c r="AQ19" i="34"/>
  <c r="AQ25" i="34"/>
  <c r="AQ31" i="34"/>
  <c r="AQ45" i="40"/>
  <c r="AQ49" i="40"/>
  <c r="AQ67" i="40"/>
  <c r="AQ77" i="40"/>
  <c r="AQ29" i="33"/>
  <c r="AQ39" i="40"/>
  <c r="AQ25" i="33"/>
  <c r="AQ21" i="34"/>
  <c r="AQ27" i="34"/>
  <c r="AQ21" i="33"/>
  <c r="AQ25" i="40"/>
  <c r="AQ27" i="40"/>
  <c r="AQ23" i="40"/>
  <c r="AQ19" i="40"/>
  <c r="AQ29" i="40"/>
  <c r="AZ41" i="33" l="1"/>
  <c r="AY41" i="33"/>
  <c r="AX41" i="33"/>
  <c r="AW41" i="33"/>
  <c r="AV41" i="33"/>
  <c r="AU41" i="33"/>
  <c r="AT41" i="33"/>
  <c r="AS41" i="33"/>
  <c r="AR41" i="33"/>
  <c r="AP41" i="33"/>
  <c r="AO41" i="33"/>
  <c r="AN41" i="33"/>
  <c r="AM41" i="33"/>
  <c r="AL41" i="33"/>
  <c r="AK41" i="33" s="1"/>
  <c r="AJ41" i="33"/>
  <c r="AZ33" i="33"/>
  <c r="AY33" i="33"/>
  <c r="AX33" i="33"/>
  <c r="AW33" i="33"/>
  <c r="AV33" i="33"/>
  <c r="AU33" i="33"/>
  <c r="AT33" i="33"/>
  <c r="AS33" i="33"/>
  <c r="AR33" i="33"/>
  <c r="AP33" i="33"/>
  <c r="AO33" i="33"/>
  <c r="AN33" i="33"/>
  <c r="AM33" i="33"/>
  <c r="AL33" i="33"/>
  <c r="AK33" i="33" s="1"/>
  <c r="AJ33" i="33"/>
  <c r="AZ23" i="33"/>
  <c r="AY23" i="33"/>
  <c r="AX23" i="33"/>
  <c r="AW23" i="33"/>
  <c r="AV23" i="33"/>
  <c r="AU23" i="33"/>
  <c r="AT23" i="33"/>
  <c r="AS23" i="33"/>
  <c r="AR23" i="33"/>
  <c r="AP23" i="33"/>
  <c r="AO23" i="33"/>
  <c r="AN23" i="33"/>
  <c r="AM23" i="33"/>
  <c r="AL23" i="33"/>
  <c r="AK23" i="33" s="1"/>
  <c r="AJ23" i="33"/>
  <c r="AZ37" i="33"/>
  <c r="AY37" i="33"/>
  <c r="AX37" i="33"/>
  <c r="AW37" i="33"/>
  <c r="AV37" i="33"/>
  <c r="AU37" i="33"/>
  <c r="AT37" i="33"/>
  <c r="AS37" i="33"/>
  <c r="AR37" i="33"/>
  <c r="AP37" i="33"/>
  <c r="AO37" i="33"/>
  <c r="AN37" i="33"/>
  <c r="AM37" i="33"/>
  <c r="AL37" i="33"/>
  <c r="AK37" i="33" s="1"/>
  <c r="AJ37" i="33"/>
  <c r="AZ51" i="32"/>
  <c r="AY51" i="32"/>
  <c r="AX51" i="32"/>
  <c r="AW51" i="32"/>
  <c r="AV51" i="32"/>
  <c r="AU51" i="32"/>
  <c r="AT51" i="32"/>
  <c r="AS51" i="32"/>
  <c r="AR51" i="32"/>
  <c r="AP51" i="32"/>
  <c r="AO51" i="32"/>
  <c r="AN51" i="32"/>
  <c r="AM51" i="32"/>
  <c r="AL51" i="32"/>
  <c r="AK51" i="32" s="1"/>
  <c r="AJ51" i="32"/>
  <c r="AZ47" i="35"/>
  <c r="AY47" i="35"/>
  <c r="AX47" i="35"/>
  <c r="AW47" i="35"/>
  <c r="AV47" i="35"/>
  <c r="AU47" i="35"/>
  <c r="AT47" i="35"/>
  <c r="AS47" i="35"/>
  <c r="AR47" i="35"/>
  <c r="AP47" i="35"/>
  <c r="AO47" i="35"/>
  <c r="AN47" i="35"/>
  <c r="AM47" i="35"/>
  <c r="AK47" i="35"/>
  <c r="AJ47" i="35"/>
  <c r="AZ37" i="35"/>
  <c r="AY37" i="35"/>
  <c r="AX37" i="35"/>
  <c r="AW37" i="35"/>
  <c r="AV37" i="35"/>
  <c r="AU37" i="35"/>
  <c r="AT37" i="35"/>
  <c r="AS37" i="35"/>
  <c r="AR37" i="35"/>
  <c r="AP37" i="35"/>
  <c r="AO37" i="35"/>
  <c r="AN37" i="35"/>
  <c r="AM37" i="35"/>
  <c r="AL37" i="35"/>
  <c r="AK37" i="35" s="1"/>
  <c r="AJ37" i="35"/>
  <c r="AZ169" i="40"/>
  <c r="AY169" i="40"/>
  <c r="AX169" i="40"/>
  <c r="AW169" i="40"/>
  <c r="AV169" i="40"/>
  <c r="AU169" i="40"/>
  <c r="AT169" i="40"/>
  <c r="AS169" i="40"/>
  <c r="AR169" i="40"/>
  <c r="AP169" i="40"/>
  <c r="AO169" i="40"/>
  <c r="AN169" i="40"/>
  <c r="AM169" i="40"/>
  <c r="AL169" i="40"/>
  <c r="AK169" i="40" s="1"/>
  <c r="AJ169" i="40"/>
  <c r="AZ99" i="40"/>
  <c r="AY99" i="40"/>
  <c r="AX99" i="40"/>
  <c r="AW99" i="40"/>
  <c r="AV99" i="40"/>
  <c r="AU99" i="40"/>
  <c r="AT99" i="40"/>
  <c r="AS99" i="40"/>
  <c r="AR99" i="40"/>
  <c r="AP99" i="40"/>
  <c r="AO99" i="40"/>
  <c r="AN99" i="40"/>
  <c r="AM99" i="40"/>
  <c r="AL99" i="40"/>
  <c r="AK99" i="40" s="1"/>
  <c r="AJ99" i="40"/>
  <c r="AZ41" i="35"/>
  <c r="AY41" i="35"/>
  <c r="AX41" i="35"/>
  <c r="AW41" i="35"/>
  <c r="AV41" i="35"/>
  <c r="AU41" i="35"/>
  <c r="AT41" i="35"/>
  <c r="AS41" i="35"/>
  <c r="AR41" i="35"/>
  <c r="AP41" i="35"/>
  <c r="AO41" i="35"/>
  <c r="AN41" i="35"/>
  <c r="AM41" i="35"/>
  <c r="AL41" i="35"/>
  <c r="AK41" i="35" s="1"/>
  <c r="AJ41" i="35"/>
  <c r="AZ45" i="35"/>
  <c r="AY45" i="35"/>
  <c r="AX45" i="35"/>
  <c r="AW45" i="35"/>
  <c r="AV45" i="35"/>
  <c r="AU45" i="35"/>
  <c r="AT45" i="35"/>
  <c r="AS45" i="35"/>
  <c r="AR45" i="35"/>
  <c r="AP45" i="35"/>
  <c r="AO45" i="35"/>
  <c r="AN45" i="35"/>
  <c r="AM45" i="35"/>
  <c r="AL45" i="35"/>
  <c r="AK45" i="35" s="1"/>
  <c r="AJ45" i="35"/>
  <c r="AZ35" i="35"/>
  <c r="AY35" i="35"/>
  <c r="AX35" i="35"/>
  <c r="AW35" i="35"/>
  <c r="AV35" i="35"/>
  <c r="AU35" i="35"/>
  <c r="AT35" i="35"/>
  <c r="AS35" i="35"/>
  <c r="AR35" i="35"/>
  <c r="AP35" i="35"/>
  <c r="AO35" i="35"/>
  <c r="AN35" i="35"/>
  <c r="AM35" i="35"/>
  <c r="AL35" i="35"/>
  <c r="AK35" i="35" s="1"/>
  <c r="AJ35" i="35"/>
  <c r="AZ143" i="40"/>
  <c r="AY143" i="40"/>
  <c r="AX143" i="40"/>
  <c r="AW143" i="40"/>
  <c r="AV143" i="40"/>
  <c r="AU143" i="40"/>
  <c r="AT143" i="40"/>
  <c r="AS143" i="40"/>
  <c r="AR143" i="40"/>
  <c r="AP143" i="40"/>
  <c r="AO143" i="40"/>
  <c r="AN143" i="40"/>
  <c r="AM143" i="40"/>
  <c r="AL143" i="40"/>
  <c r="AK143" i="40" s="1"/>
  <c r="AJ143" i="40"/>
  <c r="AZ31" i="40"/>
  <c r="AY31" i="40"/>
  <c r="AX31" i="40"/>
  <c r="AW31" i="40"/>
  <c r="AV31" i="40"/>
  <c r="AU31" i="40"/>
  <c r="AT31" i="40"/>
  <c r="AS31" i="40"/>
  <c r="AR31" i="40"/>
  <c r="AP31" i="40"/>
  <c r="AO31" i="40"/>
  <c r="AN31" i="40"/>
  <c r="AM31" i="40"/>
  <c r="AL31" i="40"/>
  <c r="AK31" i="40" s="1"/>
  <c r="AJ31" i="40"/>
  <c r="AQ51" i="32" l="1"/>
  <c r="AQ37" i="33"/>
  <c r="AQ33" i="33"/>
  <c r="AQ41" i="33"/>
  <c r="AQ47" i="35"/>
  <c r="AQ45" i="35"/>
  <c r="AQ37" i="35"/>
  <c r="AQ41" i="35"/>
  <c r="AQ169" i="40"/>
  <c r="AQ23" i="33"/>
  <c r="AQ99" i="40"/>
  <c r="AQ143" i="40"/>
  <c r="AQ35" i="35"/>
  <c r="AQ31" i="40"/>
  <c r="AZ129" i="40" l="1"/>
  <c r="AY129" i="40"/>
  <c r="AX129" i="40"/>
  <c r="AW129" i="40"/>
  <c r="AV129" i="40"/>
  <c r="AU129" i="40"/>
  <c r="AT129" i="40"/>
  <c r="AS129" i="40"/>
  <c r="AR129" i="40"/>
  <c r="AP129" i="40"/>
  <c r="AO129" i="40"/>
  <c r="AN129" i="40"/>
  <c r="AM129" i="40"/>
  <c r="AL129" i="40"/>
  <c r="AK129" i="40" s="1"/>
  <c r="AJ129" i="40"/>
  <c r="AQ129" i="40" l="1"/>
  <c r="AZ81" i="40"/>
  <c r="AY81" i="40"/>
  <c r="AX81" i="40"/>
  <c r="AW81" i="40"/>
  <c r="AV81" i="40"/>
  <c r="AU81" i="40"/>
  <c r="AT81" i="40"/>
  <c r="AS81" i="40"/>
  <c r="AR81" i="40"/>
  <c r="AP81" i="40"/>
  <c r="AO81" i="40"/>
  <c r="AN81" i="40"/>
  <c r="AM81" i="40"/>
  <c r="AL81" i="40"/>
  <c r="AK81" i="40" s="1"/>
  <c r="AJ81" i="40"/>
  <c r="AQ81" i="40" l="1"/>
  <c r="AZ19" i="32" l="1"/>
  <c r="AY19" i="32"/>
  <c r="AX19" i="32"/>
  <c r="AW19" i="32"/>
  <c r="AV19" i="32"/>
  <c r="AU19" i="32"/>
  <c r="AT19" i="32"/>
  <c r="AS19" i="32"/>
  <c r="AR19" i="32"/>
  <c r="AP19" i="32"/>
  <c r="AO19" i="32"/>
  <c r="AN19" i="32"/>
  <c r="AM19" i="32"/>
  <c r="AL19" i="32"/>
  <c r="AK19" i="32" s="1"/>
  <c r="AJ19" i="32"/>
  <c r="AQ19" i="32" l="1"/>
  <c r="AZ61" i="41"/>
  <c r="AY61" i="41"/>
  <c r="AX61" i="41"/>
  <c r="AW61" i="41"/>
  <c r="AV61" i="41"/>
  <c r="AU61" i="41"/>
  <c r="AT61" i="41"/>
  <c r="AS61" i="41"/>
  <c r="AR61" i="41"/>
  <c r="AP61" i="41"/>
  <c r="AO61" i="41"/>
  <c r="AN61" i="41"/>
  <c r="AM61" i="41"/>
  <c r="AL61" i="41"/>
  <c r="AK61" i="41" s="1"/>
  <c r="AJ61" i="41"/>
  <c r="AQ61" i="41" l="1"/>
  <c r="AJ33" i="28"/>
  <c r="AK33" i="28"/>
  <c r="AL33" i="28"/>
  <c r="AM33" i="28"/>
  <c r="AN33" i="28"/>
  <c r="AO33" i="28"/>
  <c r="AP33" i="28"/>
  <c r="AR33" i="28"/>
  <c r="AS33" i="28"/>
  <c r="AT33" i="28"/>
  <c r="AU33" i="28"/>
  <c r="AV33" i="28"/>
  <c r="AW33" i="28"/>
  <c r="AX33" i="28"/>
  <c r="AY33" i="28"/>
  <c r="AZ33" i="28"/>
  <c r="AQ33" i="28" l="1"/>
  <c r="AZ43" i="33" l="1"/>
  <c r="AY43" i="33"/>
  <c r="AX43" i="33"/>
  <c r="AW43" i="33"/>
  <c r="AV43" i="33"/>
  <c r="AU43" i="33"/>
  <c r="AT43" i="33"/>
  <c r="AS43" i="33"/>
  <c r="AR43" i="33"/>
  <c r="AP43" i="33"/>
  <c r="AO43" i="33"/>
  <c r="AN43" i="33"/>
  <c r="AM43" i="33"/>
  <c r="AL43" i="33"/>
  <c r="AK43" i="33" s="1"/>
  <c r="AJ43" i="33"/>
  <c r="AQ43" i="33" l="1"/>
  <c r="AJ31" i="28"/>
  <c r="AZ119" i="40" l="1"/>
  <c r="AY119" i="40"/>
  <c r="AX119" i="40"/>
  <c r="AW119" i="40"/>
  <c r="AV119" i="40"/>
  <c r="AU119" i="40"/>
  <c r="AT119" i="40"/>
  <c r="AS119" i="40"/>
  <c r="AR119" i="40"/>
  <c r="AP119" i="40"/>
  <c r="AO119" i="40"/>
  <c r="AM119" i="40"/>
  <c r="AL119" i="40"/>
  <c r="AK119" i="40" s="1"/>
  <c r="AJ119" i="40"/>
  <c r="AQ119" i="40" l="1"/>
  <c r="AZ55" i="32"/>
  <c r="AY55" i="32"/>
  <c r="AX55" i="32"/>
  <c r="AW55" i="32"/>
  <c r="AV55" i="32"/>
  <c r="AU55" i="32"/>
  <c r="AT55" i="32"/>
  <c r="AS55" i="32"/>
  <c r="AR55" i="32"/>
  <c r="AP55" i="32"/>
  <c r="AO55" i="32"/>
  <c r="AN55" i="32"/>
  <c r="AM55" i="32"/>
  <c r="AL55" i="32"/>
  <c r="AK55" i="32" s="1"/>
  <c r="AJ55" i="32"/>
  <c r="AZ37" i="28"/>
  <c r="AY37" i="28"/>
  <c r="AX37" i="28"/>
  <c r="AW37" i="28"/>
  <c r="AV37" i="28"/>
  <c r="AU37" i="28"/>
  <c r="AT37" i="28"/>
  <c r="AS37" i="28"/>
  <c r="AR37" i="28"/>
  <c r="AP37" i="28"/>
  <c r="AO37" i="28"/>
  <c r="AN37" i="28"/>
  <c r="AM37" i="28"/>
  <c r="AL37" i="28"/>
  <c r="AK37" i="28"/>
  <c r="AJ37" i="28"/>
  <c r="AZ35" i="28"/>
  <c r="AY35" i="28"/>
  <c r="AX35" i="28"/>
  <c r="AW35" i="28"/>
  <c r="AV35" i="28"/>
  <c r="AU35" i="28"/>
  <c r="AT35" i="28"/>
  <c r="AS35" i="28"/>
  <c r="AR35" i="28"/>
  <c r="AP35" i="28"/>
  <c r="AO35" i="28"/>
  <c r="AN35" i="28"/>
  <c r="AM35" i="28"/>
  <c r="AL35" i="28"/>
  <c r="AK35" i="28"/>
  <c r="AJ35" i="28"/>
  <c r="AZ29" i="28"/>
  <c r="AY29" i="28"/>
  <c r="AX29" i="28"/>
  <c r="AW29" i="28"/>
  <c r="AV29" i="28"/>
  <c r="AU29" i="28"/>
  <c r="AT29" i="28"/>
  <c r="AS29" i="28"/>
  <c r="AR29" i="28"/>
  <c r="AP29" i="28"/>
  <c r="AO29" i="28"/>
  <c r="AN29" i="28"/>
  <c r="AM29" i="28"/>
  <c r="AL29" i="28"/>
  <c r="AK29" i="28"/>
  <c r="AJ29" i="28"/>
  <c r="AZ27" i="28"/>
  <c r="AY27" i="28"/>
  <c r="AX27" i="28"/>
  <c r="AW27" i="28"/>
  <c r="AV27" i="28"/>
  <c r="AU27" i="28"/>
  <c r="AT27" i="28"/>
  <c r="AS27" i="28"/>
  <c r="AR27" i="28"/>
  <c r="AP27" i="28"/>
  <c r="AO27" i="28"/>
  <c r="AN27" i="28"/>
  <c r="AM27" i="28"/>
  <c r="AL27" i="28"/>
  <c r="AK27" i="28"/>
  <c r="AJ27" i="28"/>
  <c r="AZ25" i="28"/>
  <c r="AY25" i="28"/>
  <c r="AX25" i="28"/>
  <c r="AW25" i="28"/>
  <c r="AV25" i="28"/>
  <c r="AU25" i="28"/>
  <c r="AT25" i="28"/>
  <c r="AS25" i="28"/>
  <c r="AR25" i="28"/>
  <c r="AP25" i="28"/>
  <c r="AO25" i="28"/>
  <c r="AN25" i="28"/>
  <c r="AM25" i="28"/>
  <c r="AL25" i="28"/>
  <c r="AK25" i="28"/>
  <c r="AJ25" i="28"/>
  <c r="AZ19" i="28"/>
  <c r="AY19" i="28"/>
  <c r="AX19" i="28"/>
  <c r="AW19" i="28"/>
  <c r="AV19" i="28"/>
  <c r="AU19" i="28"/>
  <c r="AT19" i="28"/>
  <c r="AS19" i="28"/>
  <c r="AR19" i="28"/>
  <c r="AP19" i="28"/>
  <c r="AO19" i="28"/>
  <c r="AN19" i="28"/>
  <c r="AM19" i="28"/>
  <c r="AL19" i="28"/>
  <c r="AK19" i="28"/>
  <c r="AJ19" i="28"/>
  <c r="AQ37" i="28" l="1"/>
  <c r="AQ55" i="32"/>
  <c r="AQ35" i="28"/>
  <c r="AQ19" i="28"/>
  <c r="AQ25" i="28"/>
  <c r="AQ27" i="28"/>
  <c r="AQ29" i="28"/>
  <c r="AZ31" i="28"/>
  <c r="AY31" i="28"/>
  <c r="AX31" i="28"/>
  <c r="AW31" i="28"/>
  <c r="AV31" i="28"/>
  <c r="AU31" i="28"/>
  <c r="AT31" i="28"/>
  <c r="AS31" i="28"/>
  <c r="AR31" i="28"/>
  <c r="AP31" i="28"/>
  <c r="AO31" i="28"/>
  <c r="AN31" i="28"/>
  <c r="AM31" i="28"/>
  <c r="AL31" i="28"/>
  <c r="AK31" i="28"/>
  <c r="AQ31" i="28" l="1"/>
  <c r="AZ23" i="35" l="1"/>
  <c r="AY23" i="35"/>
  <c r="AX23" i="35"/>
  <c r="AW23" i="35"/>
  <c r="AV23" i="35"/>
  <c r="AU23" i="35"/>
  <c r="AT23" i="35"/>
  <c r="AS23" i="35"/>
  <c r="AR23" i="35"/>
  <c r="AP23" i="35"/>
  <c r="AO23" i="35"/>
  <c r="AN23" i="35"/>
  <c r="AM23" i="35"/>
  <c r="AL23" i="35"/>
  <c r="AK23" i="35" s="1"/>
  <c r="AJ23" i="35"/>
  <c r="AZ127" i="40"/>
  <c r="AY127" i="40"/>
  <c r="AX127" i="40"/>
  <c r="AW127" i="40"/>
  <c r="AV127" i="40"/>
  <c r="AU127" i="40"/>
  <c r="AT127" i="40"/>
  <c r="AS127" i="40"/>
  <c r="AR127" i="40"/>
  <c r="AP127" i="40"/>
  <c r="AO127" i="40"/>
  <c r="AN127" i="40"/>
  <c r="AM127" i="40"/>
  <c r="AL127" i="40"/>
  <c r="AK127" i="40" s="1"/>
  <c r="AJ127" i="40"/>
  <c r="AQ23" i="35" l="1"/>
  <c r="AQ127" i="40"/>
  <c r="AZ75" i="40" l="1"/>
  <c r="AY75" i="40"/>
  <c r="AX75" i="40"/>
  <c r="AW75" i="40"/>
  <c r="AV75" i="40"/>
  <c r="AU75" i="40"/>
  <c r="AT75" i="40"/>
  <c r="AS75" i="40"/>
  <c r="AR75" i="40"/>
  <c r="AP75" i="40"/>
  <c r="AO75" i="40"/>
  <c r="AN75" i="40"/>
  <c r="AM75" i="40"/>
  <c r="AL75" i="40"/>
  <c r="AK75" i="40" s="1"/>
  <c r="AJ75" i="40"/>
  <c r="AQ75" i="40" l="1"/>
  <c r="AZ25" i="39" l="1"/>
  <c r="AY25" i="39"/>
  <c r="AX25" i="39"/>
  <c r="AW25" i="39"/>
  <c r="AV25" i="39"/>
  <c r="AU25" i="39"/>
  <c r="AT25" i="39"/>
  <c r="AS25" i="39"/>
  <c r="AR25" i="39"/>
  <c r="AQ25" i="39" s="1"/>
  <c r="AP25" i="39"/>
  <c r="AO25" i="39"/>
  <c r="AN25" i="39"/>
  <c r="AM25" i="39"/>
  <c r="AL25" i="39"/>
  <c r="AK25" i="39" s="1"/>
  <c r="AJ25" i="39"/>
  <c r="AZ25" i="35" l="1"/>
  <c r="AY25" i="35"/>
  <c r="AX25" i="35"/>
  <c r="AW25" i="35"/>
  <c r="AV25" i="35"/>
  <c r="AU25" i="35"/>
  <c r="AT25" i="35"/>
  <c r="AS25" i="35"/>
  <c r="AR25" i="35"/>
  <c r="AP25" i="35"/>
  <c r="AO25" i="35"/>
  <c r="AN25" i="35"/>
  <c r="AM25" i="35"/>
  <c r="AL25" i="35"/>
  <c r="AK25" i="35" s="1"/>
  <c r="AJ25" i="35"/>
  <c r="AQ25" i="35" l="1"/>
  <c r="AZ37" i="38" l="1"/>
  <c r="AY37" i="38"/>
  <c r="AX37" i="38"/>
  <c r="AW37" i="38"/>
  <c r="AV37" i="38"/>
  <c r="AU37" i="38"/>
  <c r="AT37" i="38"/>
  <c r="AS37" i="38"/>
  <c r="AR37" i="38"/>
  <c r="AP37" i="38"/>
  <c r="AO37" i="38"/>
  <c r="AN37" i="38"/>
  <c r="AM37" i="38"/>
  <c r="AL37" i="38"/>
  <c r="AK37" i="38" s="1"/>
  <c r="AJ37" i="38"/>
  <c r="AQ37" i="38" l="1"/>
  <c r="AZ17" i="34" l="1"/>
  <c r="AY17" i="34"/>
  <c r="AX17" i="34"/>
  <c r="AW17" i="34"/>
  <c r="AV17" i="34"/>
  <c r="AU17" i="34"/>
  <c r="AT17" i="34"/>
  <c r="AS17" i="34"/>
  <c r="AR17" i="34"/>
  <c r="AP17" i="34"/>
  <c r="AO17" i="34"/>
  <c r="AN17" i="34"/>
  <c r="AM17" i="34"/>
  <c r="AL17" i="34"/>
  <c r="AK17" i="34" s="1"/>
  <c r="AJ17" i="34"/>
  <c r="AZ17" i="40"/>
  <c r="AY17" i="40"/>
  <c r="AX17" i="40"/>
  <c r="AW17" i="40"/>
  <c r="AV17" i="40"/>
  <c r="AU17" i="40"/>
  <c r="AT17" i="40"/>
  <c r="AS17" i="40"/>
  <c r="AR17" i="40"/>
  <c r="AP17" i="40"/>
  <c r="AO17" i="40"/>
  <c r="AN17" i="40"/>
  <c r="AM17" i="40"/>
  <c r="AL17" i="40"/>
  <c r="AK17" i="40" s="1"/>
  <c r="AJ17" i="40"/>
  <c r="AZ69" i="34"/>
  <c r="AY69" i="34"/>
  <c r="AX69" i="34"/>
  <c r="AW69" i="34"/>
  <c r="AV69" i="34"/>
  <c r="AU69" i="34"/>
  <c r="AT69" i="34"/>
  <c r="AS69" i="34"/>
  <c r="AR69" i="34"/>
  <c r="AP69" i="34"/>
  <c r="AO69" i="34"/>
  <c r="AN69" i="34"/>
  <c r="AM69" i="34"/>
  <c r="AL69" i="34"/>
  <c r="AK69" i="34" s="1"/>
  <c r="AJ69" i="34"/>
  <c r="AQ17" i="34" l="1"/>
  <c r="AQ17" i="40"/>
  <c r="AQ69" i="34"/>
  <c r="AZ17" i="33" l="1"/>
  <c r="AY17" i="33"/>
  <c r="AX17" i="33"/>
  <c r="AW17" i="33"/>
  <c r="AV17" i="33"/>
  <c r="AU17" i="33"/>
  <c r="AT17" i="33"/>
  <c r="AS17" i="33"/>
  <c r="AR17" i="33"/>
  <c r="AP17" i="33"/>
  <c r="AO17" i="33"/>
  <c r="AN17" i="33"/>
  <c r="AM17" i="33"/>
  <c r="AL17" i="33"/>
  <c r="AK17" i="33" s="1"/>
  <c r="AJ17" i="33"/>
  <c r="AQ17" i="33" l="1"/>
  <c r="AZ33" i="29" l="1"/>
  <c r="AY33" i="29"/>
  <c r="AX33" i="29"/>
  <c r="AW33" i="29"/>
  <c r="AV33" i="29"/>
  <c r="AU33" i="29"/>
  <c r="AT33" i="29"/>
  <c r="AS33" i="29"/>
  <c r="AR33" i="29"/>
  <c r="AP33" i="29"/>
  <c r="AO33" i="29"/>
  <c r="AN33" i="29"/>
  <c r="AM33" i="29"/>
  <c r="AL33" i="29"/>
  <c r="AK33" i="29"/>
  <c r="AJ33" i="29"/>
  <c r="AZ35" i="29"/>
  <c r="AY35" i="29"/>
  <c r="AX35" i="29"/>
  <c r="AW35" i="29"/>
  <c r="AV35" i="29"/>
  <c r="AU35" i="29"/>
  <c r="AT35" i="29"/>
  <c r="AS35" i="29"/>
  <c r="AR35" i="29"/>
  <c r="AP35" i="29"/>
  <c r="AO35" i="29"/>
  <c r="AN35" i="29"/>
  <c r="AM35" i="29"/>
  <c r="AL35" i="29"/>
  <c r="AK35" i="29"/>
  <c r="AJ35" i="29"/>
  <c r="AQ35" i="29" l="1"/>
  <c r="AQ33" i="29"/>
  <c r="AZ17" i="32" l="1"/>
  <c r="AY17" i="32"/>
  <c r="AX17" i="32"/>
  <c r="AW17" i="32"/>
  <c r="AV17" i="32"/>
  <c r="AU17" i="32"/>
  <c r="AT17" i="32"/>
  <c r="AS17" i="32"/>
  <c r="AR17" i="32"/>
  <c r="AP17" i="32"/>
  <c r="AO17" i="32"/>
  <c r="AN17" i="32"/>
  <c r="AM17" i="32"/>
  <c r="AL17" i="32"/>
  <c r="AK17" i="32" s="1"/>
  <c r="AJ17" i="32"/>
  <c r="AQ17" i="32" l="1"/>
  <c r="AK17" i="28"/>
  <c r="AK21" i="28"/>
  <c r="AM35" i="39"/>
  <c r="AK31" i="39"/>
  <c r="AJ23" i="28"/>
  <c r="AL21" i="29" l="1"/>
  <c r="V61" i="38" l="1"/>
  <c r="AZ19" i="41"/>
  <c r="AZ23" i="41"/>
  <c r="AZ25" i="41"/>
  <c r="AZ27" i="41"/>
  <c r="AZ29" i="41"/>
  <c r="AZ31" i="41"/>
  <c r="AZ33" i="41"/>
  <c r="AZ35" i="41"/>
  <c r="AZ37" i="41"/>
  <c r="AZ39" i="41"/>
  <c r="AZ43" i="41"/>
  <c r="AZ45" i="41"/>
  <c r="AZ47" i="41"/>
  <c r="AZ49" i="41"/>
  <c r="AZ51" i="41"/>
  <c r="AZ53" i="41"/>
  <c r="AZ55" i="41"/>
  <c r="AZ57" i="41"/>
  <c r="AZ59" i="41"/>
  <c r="AZ17" i="41"/>
  <c r="AZ21" i="40"/>
  <c r="AZ33" i="40"/>
  <c r="AZ35" i="40"/>
  <c r="AZ43" i="40"/>
  <c r="AZ51" i="40"/>
  <c r="AZ53" i="40"/>
  <c r="AZ55" i="40"/>
  <c r="AZ57" i="40"/>
  <c r="AZ59" i="40"/>
  <c r="AZ61" i="40"/>
  <c r="AZ65" i="40"/>
  <c r="AZ69" i="40"/>
  <c r="AZ73" i="40"/>
  <c r="AZ79" i="40"/>
  <c r="AZ85" i="40"/>
  <c r="AZ87" i="40"/>
  <c r="AZ91" i="40"/>
  <c r="AZ93" i="40"/>
  <c r="AZ97" i="40"/>
  <c r="AZ107" i="40"/>
  <c r="AZ111" i="40"/>
  <c r="AZ121" i="40"/>
  <c r="AZ133" i="40"/>
  <c r="AZ135" i="40"/>
  <c r="AZ137" i="40"/>
  <c r="AZ139" i="40"/>
  <c r="AZ141" i="40"/>
  <c r="AZ151" i="40"/>
  <c r="AZ153" i="40"/>
  <c r="AZ155" i="40"/>
  <c r="AZ161" i="40"/>
  <c r="AZ163" i="40"/>
  <c r="AZ171" i="40"/>
  <c r="AZ173" i="40"/>
  <c r="AZ19" i="39"/>
  <c r="AZ21" i="39"/>
  <c r="AZ23" i="39"/>
  <c r="AZ27" i="39"/>
  <c r="AZ29" i="39"/>
  <c r="AZ31" i="39"/>
  <c r="AZ33" i="39"/>
  <c r="AZ35" i="39"/>
  <c r="AZ37" i="39"/>
  <c r="AZ39" i="39"/>
  <c r="AZ41" i="39"/>
  <c r="AZ43" i="39"/>
  <c r="AZ45" i="39"/>
  <c r="AZ47" i="39"/>
  <c r="AZ49" i="39"/>
  <c r="AZ51" i="39"/>
  <c r="AZ17" i="39"/>
  <c r="AZ19" i="37"/>
  <c r="AZ21" i="37"/>
  <c r="AZ23" i="37"/>
  <c r="AZ25" i="37"/>
  <c r="AZ27" i="37"/>
  <c r="AZ31" i="37"/>
  <c r="AZ17" i="37"/>
  <c r="AZ17" i="36"/>
  <c r="AZ19" i="36"/>
  <c r="AZ21" i="36"/>
  <c r="AZ23" i="36"/>
  <c r="AZ25" i="36"/>
  <c r="AZ27" i="36"/>
  <c r="AZ29" i="36"/>
  <c r="AZ31" i="36"/>
  <c r="AZ33" i="36"/>
  <c r="AZ35" i="36"/>
  <c r="AZ37" i="36"/>
  <c r="AZ39" i="36"/>
  <c r="AZ41" i="36"/>
  <c r="AZ31" i="35"/>
  <c r="AZ17" i="35"/>
  <c r="AZ23" i="34"/>
  <c r="AZ41" i="34"/>
  <c r="AZ53" i="34"/>
  <c r="AZ55" i="34"/>
  <c r="AZ57" i="34"/>
  <c r="AZ47" i="33"/>
  <c r="AZ51" i="33"/>
  <c r="AZ23" i="32"/>
  <c r="AZ27" i="32"/>
  <c r="AZ31" i="32"/>
  <c r="AZ37" i="32"/>
  <c r="AZ39" i="32"/>
  <c r="AZ43" i="32"/>
  <c r="AZ47" i="32"/>
  <c r="AZ49" i="32"/>
  <c r="AZ53" i="32"/>
  <c r="AZ17" i="31"/>
  <c r="AZ19" i="31"/>
  <c r="AZ21" i="31"/>
  <c r="AZ23" i="31"/>
  <c r="AZ25" i="31"/>
  <c r="AZ29" i="31"/>
  <c r="AZ17" i="30"/>
  <c r="AZ19" i="30"/>
  <c r="AZ21" i="30"/>
  <c r="AZ23" i="30"/>
  <c r="AZ25" i="30"/>
  <c r="AZ27" i="30"/>
  <c r="AZ29" i="30"/>
  <c r="AZ19" i="29"/>
  <c r="AZ21" i="29"/>
  <c r="AZ23" i="29"/>
  <c r="AZ25" i="29"/>
  <c r="AZ27" i="29"/>
  <c r="AZ29" i="29"/>
  <c r="AZ31" i="29"/>
  <c r="AZ37" i="29"/>
  <c r="AZ39" i="29"/>
  <c r="AZ41" i="29"/>
  <c r="AZ43" i="29"/>
  <c r="AZ45" i="29"/>
  <c r="AZ47" i="29"/>
  <c r="AZ49" i="29"/>
  <c r="AZ51" i="29"/>
  <c r="AZ53" i="29"/>
  <c r="AZ55" i="29"/>
  <c r="AZ57" i="29"/>
  <c r="AZ59" i="29"/>
  <c r="AZ61" i="29"/>
  <c r="AZ63" i="29"/>
  <c r="AZ65" i="29"/>
  <c r="AZ67" i="29"/>
  <c r="AZ69" i="29"/>
  <c r="AZ71" i="29"/>
  <c r="AZ73" i="29"/>
  <c r="AZ75" i="29"/>
  <c r="AZ77" i="29"/>
  <c r="AZ79" i="29"/>
  <c r="AZ81" i="29"/>
  <c r="AZ83" i="29"/>
  <c r="AZ85" i="29"/>
  <c r="AZ87" i="29"/>
  <c r="AZ89" i="29"/>
  <c r="AZ91" i="29"/>
  <c r="AZ93" i="29"/>
  <c r="AZ95" i="29"/>
  <c r="AZ97" i="29"/>
  <c r="AZ99" i="29"/>
  <c r="AZ101" i="29"/>
  <c r="AZ103" i="29"/>
  <c r="AZ105" i="29"/>
  <c r="AZ107" i="29"/>
  <c r="AZ109" i="29"/>
  <c r="AZ111" i="29"/>
  <c r="AZ113" i="29"/>
  <c r="AZ117" i="29"/>
  <c r="AZ119" i="29"/>
  <c r="AZ121" i="29"/>
  <c r="AZ123" i="29"/>
  <c r="AZ17" i="29"/>
  <c r="AZ21" i="28"/>
  <c r="AZ23" i="28"/>
  <c r="AZ17" i="28"/>
  <c r="AZ19" i="27"/>
  <c r="AZ23" i="27"/>
  <c r="AZ27" i="27"/>
  <c r="AZ17" i="27"/>
  <c r="AZ17" i="38"/>
  <c r="AZ19" i="38"/>
  <c r="AZ21" i="38"/>
  <c r="AZ23" i="38"/>
  <c r="AZ25" i="38"/>
  <c r="AZ27" i="38"/>
  <c r="AZ29" i="38"/>
  <c r="AZ31" i="38"/>
  <c r="AZ33" i="38"/>
  <c r="AZ35" i="38"/>
  <c r="AZ39" i="38"/>
  <c r="AZ41" i="38"/>
  <c r="AZ43" i="38"/>
  <c r="AR17" i="38"/>
  <c r="AW19" i="41" l="1"/>
  <c r="AW23" i="41"/>
  <c r="AW25" i="41"/>
  <c r="AW27" i="41"/>
  <c r="AW29" i="41"/>
  <c r="AW31" i="41"/>
  <c r="AW33" i="41"/>
  <c r="AW35" i="41"/>
  <c r="AW37" i="41"/>
  <c r="AW39" i="41"/>
  <c r="AW43" i="41"/>
  <c r="AW45" i="41"/>
  <c r="AW47" i="41"/>
  <c r="AW49" i="41"/>
  <c r="AW51" i="41"/>
  <c r="AW53" i="41"/>
  <c r="AW55" i="41"/>
  <c r="AW57" i="41"/>
  <c r="AW59" i="41"/>
  <c r="AW17" i="41"/>
  <c r="AV17" i="41"/>
  <c r="AW21" i="40"/>
  <c r="AW33" i="40"/>
  <c r="AW35" i="40"/>
  <c r="AW43" i="40"/>
  <c r="AW51" i="40"/>
  <c r="AW53" i="40"/>
  <c r="AW55" i="40"/>
  <c r="AW57" i="40"/>
  <c r="AW59" i="40"/>
  <c r="AW61" i="40"/>
  <c r="AW65" i="40"/>
  <c r="AW69" i="40"/>
  <c r="AW73" i="40"/>
  <c r="AW79" i="40"/>
  <c r="AW85" i="40"/>
  <c r="AW87" i="40"/>
  <c r="AW91" i="40"/>
  <c r="AW93" i="40"/>
  <c r="AW97" i="40"/>
  <c r="AW107" i="40"/>
  <c r="AW111" i="40"/>
  <c r="AW121" i="40"/>
  <c r="AW133" i="40"/>
  <c r="AW135" i="40"/>
  <c r="AW137" i="40"/>
  <c r="AW139" i="40"/>
  <c r="AW141" i="40"/>
  <c r="AW151" i="40"/>
  <c r="AW153" i="40"/>
  <c r="AW155" i="40"/>
  <c r="AW161" i="40"/>
  <c r="AW163" i="40"/>
  <c r="AW171" i="40"/>
  <c r="AW173" i="40"/>
  <c r="AW19" i="39"/>
  <c r="AW21" i="39"/>
  <c r="AW23" i="39"/>
  <c r="AW27" i="39"/>
  <c r="AW29" i="39"/>
  <c r="AW31" i="39"/>
  <c r="AW33" i="39"/>
  <c r="AW35" i="39"/>
  <c r="AW37" i="39"/>
  <c r="AW39" i="39"/>
  <c r="AW41" i="39"/>
  <c r="AW43" i="39"/>
  <c r="AW45" i="39"/>
  <c r="AW47" i="39"/>
  <c r="AW49" i="39"/>
  <c r="AW51" i="39"/>
  <c r="AW17" i="39"/>
  <c r="AV17" i="39"/>
  <c r="AW19" i="38"/>
  <c r="AW21" i="38"/>
  <c r="AW23" i="38"/>
  <c r="AW25" i="38"/>
  <c r="AW27" i="38"/>
  <c r="AW29" i="38"/>
  <c r="AW31" i="38"/>
  <c r="AW33" i="38"/>
  <c r="AW35" i="38"/>
  <c r="AW39" i="38"/>
  <c r="AW41" i="38"/>
  <c r="AW43" i="38"/>
  <c r="AW17" i="38"/>
  <c r="AV17" i="38"/>
  <c r="AW19" i="37"/>
  <c r="AW21" i="37"/>
  <c r="AW23" i="37"/>
  <c r="AW25" i="37"/>
  <c r="AW27" i="37"/>
  <c r="AW31" i="37"/>
  <c r="AW17" i="37"/>
  <c r="AV17" i="37"/>
  <c r="AW17" i="36"/>
  <c r="AW19" i="36"/>
  <c r="AW21" i="36"/>
  <c r="AW23" i="36"/>
  <c r="AW25" i="36"/>
  <c r="AW27" i="36"/>
  <c r="AW29" i="36"/>
  <c r="AW31" i="36"/>
  <c r="AW33" i="36"/>
  <c r="AW35" i="36"/>
  <c r="AW37" i="36"/>
  <c r="AW39" i="36"/>
  <c r="AW41" i="36"/>
  <c r="AW31" i="35"/>
  <c r="AW17" i="35"/>
  <c r="AV17" i="35"/>
  <c r="AW23" i="34"/>
  <c r="AW41" i="34"/>
  <c r="AW53" i="34"/>
  <c r="AW55" i="34"/>
  <c r="AW57" i="34"/>
  <c r="AW47" i="33"/>
  <c r="AW51" i="33"/>
  <c r="AW23" i="32"/>
  <c r="AW27" i="32"/>
  <c r="AW31" i="32"/>
  <c r="AW37" i="32"/>
  <c r="AW39" i="32"/>
  <c r="AW43" i="32"/>
  <c r="AW47" i="32"/>
  <c r="AW49" i="32"/>
  <c r="AW53" i="32"/>
  <c r="AW17" i="31"/>
  <c r="AW19" i="31"/>
  <c r="AW21" i="31"/>
  <c r="AW23" i="31"/>
  <c r="AW25" i="31"/>
  <c r="AW29" i="31"/>
  <c r="AW17" i="30"/>
  <c r="AW19" i="30"/>
  <c r="AW21" i="30"/>
  <c r="AW23" i="30"/>
  <c r="AW25" i="30"/>
  <c r="AW27" i="30"/>
  <c r="AW29" i="30"/>
  <c r="AW19" i="29"/>
  <c r="AW21" i="29"/>
  <c r="AW23" i="29"/>
  <c r="AW25" i="29"/>
  <c r="AW27" i="29"/>
  <c r="AW29" i="29"/>
  <c r="AW31" i="29"/>
  <c r="AW37" i="29"/>
  <c r="AW39" i="29"/>
  <c r="AW41" i="29"/>
  <c r="AW43" i="29"/>
  <c r="AW45" i="29"/>
  <c r="AW47" i="29"/>
  <c r="AW49" i="29"/>
  <c r="AW51" i="29"/>
  <c r="AW53" i="29"/>
  <c r="AW55" i="29"/>
  <c r="AW57" i="29"/>
  <c r="AW59" i="29"/>
  <c r="AW61" i="29"/>
  <c r="AW63" i="29"/>
  <c r="AW65" i="29"/>
  <c r="AW67" i="29"/>
  <c r="AW69" i="29"/>
  <c r="AW71" i="29"/>
  <c r="AW73" i="29"/>
  <c r="AW75" i="29"/>
  <c r="AW77" i="29"/>
  <c r="AW79" i="29"/>
  <c r="AW81" i="29"/>
  <c r="AW83" i="29"/>
  <c r="AW85" i="29"/>
  <c r="AW87" i="29"/>
  <c r="AW89" i="29"/>
  <c r="AW91" i="29"/>
  <c r="AW93" i="29"/>
  <c r="AW95" i="29"/>
  <c r="AW97" i="29"/>
  <c r="AW99" i="29"/>
  <c r="AW101" i="29"/>
  <c r="AW103" i="29"/>
  <c r="AW105" i="29"/>
  <c r="AW107" i="29"/>
  <c r="AW109" i="29"/>
  <c r="AW111" i="29"/>
  <c r="AW113" i="29"/>
  <c r="AW117" i="29"/>
  <c r="AW119" i="29"/>
  <c r="AW121" i="29"/>
  <c r="AW123" i="29"/>
  <c r="AW17" i="29"/>
  <c r="AV17" i="29"/>
  <c r="AW21" i="28"/>
  <c r="AW23" i="28"/>
  <c r="AW17" i="28"/>
  <c r="AW19" i="27"/>
  <c r="AW23" i="27"/>
  <c r="AW27" i="27"/>
  <c r="AW17" i="27"/>
  <c r="AV17" i="27"/>
  <c r="O13" i="42" l="1"/>
  <c r="O12" i="42"/>
  <c r="O16" i="42"/>
  <c r="O18" i="42"/>
  <c r="O17" i="42"/>
  <c r="O11" i="42"/>
  <c r="AW69" i="33"/>
  <c r="O15" i="42"/>
  <c r="C5" i="44"/>
  <c r="D5" i="44"/>
  <c r="AW63" i="41"/>
  <c r="O20" i="42" s="1"/>
  <c r="AW175" i="40"/>
  <c r="O19" i="42" s="1"/>
  <c r="AW53" i="39"/>
  <c r="AW45" i="38"/>
  <c r="AW33" i="37"/>
  <c r="AW49" i="35"/>
  <c r="O14" i="42" s="1"/>
  <c r="AW71" i="34"/>
  <c r="AW61" i="32"/>
  <c r="AW31" i="31"/>
  <c r="O10" i="42" s="1"/>
  <c r="AW31" i="30"/>
  <c r="O9" i="42" s="1"/>
  <c r="AW125" i="29"/>
  <c r="O8" i="42" s="1"/>
  <c r="AW39" i="28"/>
  <c r="O7" i="42" s="1"/>
  <c r="AW29" i="27"/>
  <c r="O6" i="42" s="1"/>
  <c r="AS19" i="41"/>
  <c r="AS23" i="41"/>
  <c r="AS25" i="41"/>
  <c r="AS27" i="41"/>
  <c r="AS29" i="41"/>
  <c r="AS31" i="41"/>
  <c r="AS33" i="41"/>
  <c r="AS35" i="41"/>
  <c r="AS37" i="41"/>
  <c r="AS39" i="41"/>
  <c r="AS43" i="41"/>
  <c r="AS45" i="41"/>
  <c r="AS47" i="41"/>
  <c r="AS49" i="41"/>
  <c r="AS51" i="41"/>
  <c r="AS53" i="41"/>
  <c r="AS55" i="41"/>
  <c r="AS57" i="41"/>
  <c r="AS59" i="41"/>
  <c r="AS17" i="41"/>
  <c r="AS21" i="40"/>
  <c r="AS33" i="40"/>
  <c r="AS35" i="40"/>
  <c r="AS43" i="40"/>
  <c r="AS51" i="40"/>
  <c r="AS53" i="40"/>
  <c r="AS55" i="40"/>
  <c r="AS57" i="40"/>
  <c r="AS59" i="40"/>
  <c r="AS61" i="40"/>
  <c r="AS65" i="40"/>
  <c r="AS69" i="40"/>
  <c r="AS73" i="40"/>
  <c r="AS79" i="40"/>
  <c r="AS85" i="40"/>
  <c r="AS87" i="40"/>
  <c r="AS91" i="40"/>
  <c r="AS93" i="40"/>
  <c r="AS97" i="40"/>
  <c r="AS107" i="40"/>
  <c r="AS111" i="40"/>
  <c r="AS121" i="40"/>
  <c r="AS133" i="40"/>
  <c r="AS135" i="40"/>
  <c r="AS137" i="40"/>
  <c r="AS139" i="40"/>
  <c r="AS141" i="40"/>
  <c r="AS151" i="40"/>
  <c r="AS153" i="40"/>
  <c r="AS155" i="40"/>
  <c r="AS161" i="40"/>
  <c r="AS163" i="40"/>
  <c r="AS171" i="40"/>
  <c r="AS173" i="40"/>
  <c r="AS19" i="39"/>
  <c r="AS21" i="39"/>
  <c r="AS23" i="39"/>
  <c r="AS27" i="39"/>
  <c r="AS29" i="39"/>
  <c r="AS31" i="39"/>
  <c r="AS33" i="39"/>
  <c r="AS35" i="39"/>
  <c r="AS37" i="39"/>
  <c r="AS39" i="39"/>
  <c r="AS41" i="39"/>
  <c r="AS43" i="39"/>
  <c r="AS45" i="39"/>
  <c r="AS47" i="39"/>
  <c r="AS49" i="39"/>
  <c r="AS51" i="39"/>
  <c r="AS17" i="39"/>
  <c r="AS19" i="38"/>
  <c r="AS21" i="38"/>
  <c r="AS23" i="38"/>
  <c r="AS25" i="38"/>
  <c r="AS27" i="38"/>
  <c r="AS29" i="38"/>
  <c r="AS31" i="38"/>
  <c r="AS33" i="38"/>
  <c r="AS35" i="38"/>
  <c r="AS39" i="38"/>
  <c r="AS41" i="38"/>
  <c r="AS43" i="38"/>
  <c r="AS17" i="38"/>
  <c r="AS19" i="37"/>
  <c r="AS21" i="37"/>
  <c r="AS23" i="37"/>
  <c r="AS25" i="37"/>
  <c r="AS27" i="37"/>
  <c r="AS31" i="37"/>
  <c r="AS17" i="37"/>
  <c r="AS17" i="36"/>
  <c r="AS19" i="36"/>
  <c r="AS21" i="36"/>
  <c r="AS23" i="36"/>
  <c r="AS25" i="36"/>
  <c r="AS27" i="36"/>
  <c r="AS29" i="36"/>
  <c r="AS31" i="36"/>
  <c r="AS33" i="36"/>
  <c r="AS35" i="36"/>
  <c r="AS37" i="36"/>
  <c r="AS39" i="36"/>
  <c r="AS41" i="36"/>
  <c r="AS31" i="35"/>
  <c r="AS17" i="35"/>
  <c r="AS23" i="34"/>
  <c r="AS41" i="34"/>
  <c r="AS53" i="34"/>
  <c r="AS55" i="34"/>
  <c r="AS57" i="34"/>
  <c r="AS47" i="33"/>
  <c r="AS51" i="33"/>
  <c r="AS23" i="32"/>
  <c r="AS27" i="32"/>
  <c r="AS31" i="32"/>
  <c r="AS37" i="32"/>
  <c r="AS39" i="32"/>
  <c r="AS43" i="32"/>
  <c r="AS47" i="32"/>
  <c r="AS49" i="32"/>
  <c r="AS53" i="32"/>
  <c r="AS17" i="31"/>
  <c r="AS19" i="31"/>
  <c r="AS21" i="31"/>
  <c r="AS23" i="31"/>
  <c r="AS25" i="31"/>
  <c r="AS29" i="31"/>
  <c r="AS17" i="30"/>
  <c r="AS19" i="30"/>
  <c r="AS21" i="30"/>
  <c r="AS23" i="30"/>
  <c r="AS25" i="30"/>
  <c r="AS27" i="30"/>
  <c r="AS29" i="30"/>
  <c r="AS21" i="28"/>
  <c r="AS23" i="28"/>
  <c r="AS19" i="29"/>
  <c r="AS21" i="29"/>
  <c r="AS23" i="29"/>
  <c r="AS25" i="29"/>
  <c r="AS27" i="29"/>
  <c r="AS29" i="29"/>
  <c r="AS31" i="29"/>
  <c r="AS37" i="29"/>
  <c r="AS39" i="29"/>
  <c r="AS41" i="29"/>
  <c r="AS43" i="29"/>
  <c r="AS45" i="29"/>
  <c r="AS47" i="29"/>
  <c r="AS49" i="29"/>
  <c r="AS51" i="29"/>
  <c r="AS53" i="29"/>
  <c r="AS55" i="29"/>
  <c r="AS57" i="29"/>
  <c r="AS59" i="29"/>
  <c r="AS61" i="29"/>
  <c r="AS63" i="29"/>
  <c r="AS65" i="29"/>
  <c r="AS67" i="29"/>
  <c r="AS69" i="29"/>
  <c r="AS71" i="29"/>
  <c r="AS73" i="29"/>
  <c r="AS75" i="29"/>
  <c r="AS77" i="29"/>
  <c r="AS79" i="29"/>
  <c r="AS81" i="29"/>
  <c r="AS83" i="29"/>
  <c r="AS85" i="29"/>
  <c r="AS87" i="29"/>
  <c r="AS89" i="29"/>
  <c r="AS91" i="29"/>
  <c r="AS93" i="29"/>
  <c r="AS95" i="29"/>
  <c r="AS97" i="29"/>
  <c r="AS99" i="29"/>
  <c r="AS101" i="29"/>
  <c r="AS103" i="29"/>
  <c r="AS105" i="29"/>
  <c r="AS107" i="29"/>
  <c r="AS109" i="29"/>
  <c r="AS111" i="29"/>
  <c r="AS113" i="29"/>
  <c r="AS117" i="29"/>
  <c r="AS119" i="29"/>
  <c r="AS121" i="29"/>
  <c r="AS123" i="29"/>
  <c r="AS17" i="29"/>
  <c r="AS17" i="28"/>
  <c r="AS19" i="27"/>
  <c r="AS23" i="27"/>
  <c r="AS27" i="27"/>
  <c r="AS17" i="27"/>
  <c r="O21" i="42" l="1"/>
  <c r="B5" i="44" s="1"/>
  <c r="C4" i="44"/>
  <c r="D4" i="44"/>
  <c r="AY31" i="37" l="1"/>
  <c r="AX31" i="37"/>
  <c r="AV31" i="37"/>
  <c r="AU31" i="37"/>
  <c r="AT31" i="37"/>
  <c r="AR31" i="37"/>
  <c r="AP31" i="37"/>
  <c r="AO31" i="37"/>
  <c r="AN31" i="37"/>
  <c r="AM31" i="37"/>
  <c r="AL31" i="37"/>
  <c r="AK31" i="37" s="1"/>
  <c r="AJ31" i="37"/>
  <c r="AQ31" i="37" l="1"/>
  <c r="AY27" i="41"/>
  <c r="AX27" i="41"/>
  <c r="AV27" i="41"/>
  <c r="AU27" i="41"/>
  <c r="AT27" i="41"/>
  <c r="AR27" i="41"/>
  <c r="AP27" i="41"/>
  <c r="AO27" i="41"/>
  <c r="AN27" i="41"/>
  <c r="AM27" i="41"/>
  <c r="AL27" i="41"/>
  <c r="AK27" i="41" s="1"/>
  <c r="AJ27" i="41"/>
  <c r="U180" i="40"/>
  <c r="U38" i="37"/>
  <c r="AQ27" i="41" l="1"/>
  <c r="AY21" i="39" l="1"/>
  <c r="AX21" i="39"/>
  <c r="AV21" i="39"/>
  <c r="AU21" i="39"/>
  <c r="AT21" i="39"/>
  <c r="AR21" i="39"/>
  <c r="AP21" i="39"/>
  <c r="AO21" i="39"/>
  <c r="AN21" i="39"/>
  <c r="AM21" i="39"/>
  <c r="AL21" i="39"/>
  <c r="AK21" i="39" s="1"/>
  <c r="AJ21" i="39"/>
  <c r="AQ21" i="39" l="1"/>
  <c r="AY73" i="40" l="1"/>
  <c r="AX73" i="40"/>
  <c r="AV73" i="40"/>
  <c r="AU73" i="40"/>
  <c r="AT73" i="40"/>
  <c r="AR73" i="40"/>
  <c r="AP73" i="40"/>
  <c r="AO73" i="40"/>
  <c r="AN73" i="40"/>
  <c r="AM73" i="40"/>
  <c r="AL73" i="40"/>
  <c r="AK73" i="40" s="1"/>
  <c r="AJ73" i="40"/>
  <c r="AQ73" i="40" l="1"/>
  <c r="AN43" i="40" l="1"/>
  <c r="AN51" i="40"/>
  <c r="AN53" i="40"/>
  <c r="AN55" i="40"/>
  <c r="AN57" i="40"/>
  <c r="AN59" i="40"/>
  <c r="AN61" i="40"/>
  <c r="AN65" i="40"/>
  <c r="AN69" i="40"/>
  <c r="AN79" i="40"/>
  <c r="AN85" i="40"/>
  <c r="AN91" i="40"/>
  <c r="AN93" i="40"/>
  <c r="AN97" i="40"/>
  <c r="AN107" i="40"/>
  <c r="AN111" i="40"/>
  <c r="AN121" i="40"/>
  <c r="AN133" i="40"/>
  <c r="AN135" i="40"/>
  <c r="AN137" i="40"/>
  <c r="AN139" i="40"/>
  <c r="AN141" i="40"/>
  <c r="AN161" i="40"/>
  <c r="AN163" i="40"/>
  <c r="AN171" i="40"/>
  <c r="AN33" i="40"/>
  <c r="AJ151" i="40" l="1"/>
  <c r="AL151" i="40"/>
  <c r="AK151" i="40" s="1"/>
  <c r="AM151" i="40"/>
  <c r="AO151" i="40"/>
  <c r="AP151" i="40"/>
  <c r="AR151" i="40"/>
  <c r="AT151" i="40"/>
  <c r="AU151" i="40"/>
  <c r="AV151" i="40"/>
  <c r="AX151" i="40"/>
  <c r="AY151" i="40"/>
  <c r="AY57" i="34"/>
  <c r="AX57" i="34"/>
  <c r="AV57" i="34"/>
  <c r="AU57" i="34"/>
  <c r="AT57" i="34"/>
  <c r="AR57" i="34"/>
  <c r="AP57" i="34"/>
  <c r="AO57" i="34"/>
  <c r="AN57" i="34"/>
  <c r="AM57" i="34"/>
  <c r="AL57" i="34"/>
  <c r="AK57" i="34" s="1"/>
  <c r="AJ57" i="34"/>
  <c r="AQ151" i="40" l="1"/>
  <c r="AQ57" i="34"/>
  <c r="AR17" i="29"/>
  <c r="AY21" i="31" l="1"/>
  <c r="AX21" i="31"/>
  <c r="AV21" i="31"/>
  <c r="AU21" i="31"/>
  <c r="AT21" i="31"/>
  <c r="AR21" i="31"/>
  <c r="AP21" i="31"/>
  <c r="AO21" i="31"/>
  <c r="AN21" i="31"/>
  <c r="AM21" i="31"/>
  <c r="AL21" i="31"/>
  <c r="AK21" i="31" s="1"/>
  <c r="AJ21" i="31"/>
  <c r="AQ21" i="31" l="1"/>
  <c r="AY77" i="29" l="1"/>
  <c r="AX77" i="29"/>
  <c r="AV77" i="29"/>
  <c r="AU77" i="29"/>
  <c r="AT77" i="29"/>
  <c r="AR77" i="29"/>
  <c r="AP77" i="29"/>
  <c r="AO77" i="29"/>
  <c r="AN77" i="29"/>
  <c r="AM77" i="29"/>
  <c r="AL77" i="29"/>
  <c r="AK77" i="29"/>
  <c r="AJ77" i="29"/>
  <c r="AJ79" i="29"/>
  <c r="AK79" i="29"/>
  <c r="AL79" i="29"/>
  <c r="AM79" i="29"/>
  <c r="AN79" i="29"/>
  <c r="AO79" i="29"/>
  <c r="AP79" i="29"/>
  <c r="AR79" i="29"/>
  <c r="AT79" i="29"/>
  <c r="AU79" i="29"/>
  <c r="AV79" i="29"/>
  <c r="AX79" i="29"/>
  <c r="AY79" i="29"/>
  <c r="AY35" i="40"/>
  <c r="AX35" i="40"/>
  <c r="AV35" i="40"/>
  <c r="AU35" i="40"/>
  <c r="AT35" i="40"/>
  <c r="AR35" i="40"/>
  <c r="AP35" i="40"/>
  <c r="AO35" i="40"/>
  <c r="AM35" i="40"/>
  <c r="AL35" i="40"/>
  <c r="AK35" i="40" s="1"/>
  <c r="AJ35" i="40"/>
  <c r="AQ77" i="29" l="1"/>
  <c r="AQ79" i="29"/>
  <c r="AQ35" i="40"/>
  <c r="AY19" i="30"/>
  <c r="AX19" i="30"/>
  <c r="AV19" i="30"/>
  <c r="AU19" i="30"/>
  <c r="AT19" i="30"/>
  <c r="AR19" i="30"/>
  <c r="AP19" i="30"/>
  <c r="AO19" i="30"/>
  <c r="AN19" i="30"/>
  <c r="AM19" i="30"/>
  <c r="AL19" i="30"/>
  <c r="AK19" i="30" s="1"/>
  <c r="AJ19" i="30"/>
  <c r="AQ19" i="30" l="1"/>
  <c r="AY87" i="40"/>
  <c r="AX87" i="40"/>
  <c r="AV87" i="40"/>
  <c r="AU87" i="40"/>
  <c r="AT87" i="40"/>
  <c r="AR87" i="40"/>
  <c r="AP87" i="40"/>
  <c r="AO87" i="40"/>
  <c r="AM87" i="40"/>
  <c r="AL87" i="40"/>
  <c r="AK87" i="40" s="1"/>
  <c r="AJ87" i="40"/>
  <c r="AQ87" i="40" l="1"/>
  <c r="AY55" i="40"/>
  <c r="AX55" i="40"/>
  <c r="AV55" i="40"/>
  <c r="AU55" i="40"/>
  <c r="AT55" i="40"/>
  <c r="AR55" i="40"/>
  <c r="AP55" i="40"/>
  <c r="AO55" i="40"/>
  <c r="AM55" i="40"/>
  <c r="AL55" i="40"/>
  <c r="AK55" i="40" s="1"/>
  <c r="AJ55" i="40"/>
  <c r="AQ55" i="40" l="1"/>
  <c r="AY51" i="40" l="1"/>
  <c r="AX51" i="40"/>
  <c r="AV51" i="40"/>
  <c r="AU51" i="40"/>
  <c r="AT51" i="40"/>
  <c r="AR51" i="40"/>
  <c r="AP51" i="40"/>
  <c r="AO51" i="40"/>
  <c r="AM51" i="40"/>
  <c r="AL51" i="40"/>
  <c r="AK51" i="40" s="1"/>
  <c r="AJ51" i="40"/>
  <c r="AQ51" i="40" l="1"/>
  <c r="AY39" i="29"/>
  <c r="AX39" i="29"/>
  <c r="AV39" i="29"/>
  <c r="AU39" i="29"/>
  <c r="AT39" i="29"/>
  <c r="AR39" i="29"/>
  <c r="AP39" i="29"/>
  <c r="AO39" i="29"/>
  <c r="AN39" i="29"/>
  <c r="AM39" i="29"/>
  <c r="AL39" i="29"/>
  <c r="AK39" i="29"/>
  <c r="AJ39" i="29"/>
  <c r="AQ39" i="29" l="1"/>
  <c r="AY27" i="38"/>
  <c r="AX27" i="38"/>
  <c r="AV27" i="38"/>
  <c r="AU27" i="38"/>
  <c r="AT27" i="38"/>
  <c r="AR27" i="38"/>
  <c r="AP27" i="38"/>
  <c r="AO27" i="38"/>
  <c r="AN27" i="38"/>
  <c r="AM27" i="38"/>
  <c r="AL27" i="38"/>
  <c r="AK27" i="38" s="1"/>
  <c r="AJ27" i="38"/>
  <c r="AQ27" i="38" l="1"/>
  <c r="AY19" i="27"/>
  <c r="AX19" i="27"/>
  <c r="AV19" i="27"/>
  <c r="AU19" i="27"/>
  <c r="AT19" i="27"/>
  <c r="AR19" i="27"/>
  <c r="AP19" i="27"/>
  <c r="AO19" i="27"/>
  <c r="AN19" i="27"/>
  <c r="AM19" i="27"/>
  <c r="AL19" i="27"/>
  <c r="AK19" i="27"/>
  <c r="AJ19" i="27"/>
  <c r="AQ19" i="27" l="1"/>
  <c r="AY21" i="38" l="1"/>
  <c r="AX21" i="38"/>
  <c r="AV21" i="38"/>
  <c r="AU21" i="38"/>
  <c r="AT21" i="38"/>
  <c r="AR21" i="38"/>
  <c r="AP21" i="38"/>
  <c r="AO21" i="38"/>
  <c r="AN21" i="38"/>
  <c r="AM21" i="38"/>
  <c r="AL21" i="38"/>
  <c r="AK21" i="38" s="1"/>
  <c r="AJ21" i="38"/>
  <c r="AQ21" i="38" l="1"/>
  <c r="AY55" i="29"/>
  <c r="AX55" i="29"/>
  <c r="AV55" i="29"/>
  <c r="AU55" i="29"/>
  <c r="AT55" i="29"/>
  <c r="AR55" i="29"/>
  <c r="AP55" i="29"/>
  <c r="AO55" i="29"/>
  <c r="AN55" i="29"/>
  <c r="AM55" i="29"/>
  <c r="AL55" i="29"/>
  <c r="AK55" i="29" s="1"/>
  <c r="AJ55" i="29"/>
  <c r="AQ55" i="29" l="1"/>
  <c r="AJ113" i="29"/>
  <c r="AK113" i="29"/>
  <c r="AL113" i="29"/>
  <c r="AM113" i="29"/>
  <c r="AN113" i="29"/>
  <c r="AO113" i="29"/>
  <c r="AP113" i="29"/>
  <c r="AR113" i="29"/>
  <c r="AT113" i="29"/>
  <c r="AU113" i="29"/>
  <c r="AV113" i="29"/>
  <c r="AX113" i="29"/>
  <c r="AY113" i="29"/>
  <c r="AQ113" i="29" l="1"/>
  <c r="AY29" i="36" l="1"/>
  <c r="AX29" i="36"/>
  <c r="AV29" i="36"/>
  <c r="AU29" i="36"/>
  <c r="AT29" i="36"/>
  <c r="AR29" i="36"/>
  <c r="AP29" i="36"/>
  <c r="AO29" i="36"/>
  <c r="AN29" i="36"/>
  <c r="AM29" i="36"/>
  <c r="AL29" i="36"/>
  <c r="AK29" i="36" s="1"/>
  <c r="AJ29" i="36"/>
  <c r="AY21" i="28"/>
  <c r="AX21" i="28"/>
  <c r="AV21" i="28"/>
  <c r="AU21" i="28"/>
  <c r="AT21" i="28"/>
  <c r="AR21" i="28"/>
  <c r="AP21" i="28"/>
  <c r="AO21" i="28"/>
  <c r="AN21" i="28"/>
  <c r="AM21" i="28"/>
  <c r="AL21" i="28"/>
  <c r="AJ21" i="28"/>
  <c r="AQ29" i="36" l="1"/>
  <c r="AQ21" i="28"/>
  <c r="AY123" i="29" l="1"/>
  <c r="AX123" i="29"/>
  <c r="AV123" i="29"/>
  <c r="AU123" i="29"/>
  <c r="AT123" i="29"/>
  <c r="AR123" i="29"/>
  <c r="AP123" i="29"/>
  <c r="AO123" i="29"/>
  <c r="AN123" i="29"/>
  <c r="AM123" i="29"/>
  <c r="AL123" i="29"/>
  <c r="AK123" i="29"/>
  <c r="AJ123" i="29"/>
  <c r="AQ123" i="29" l="1"/>
  <c r="AY37" i="41"/>
  <c r="AX37" i="41"/>
  <c r="AV37" i="41"/>
  <c r="AU37" i="41"/>
  <c r="AT37" i="41"/>
  <c r="AR37" i="41"/>
  <c r="AP37" i="41"/>
  <c r="AO37" i="41"/>
  <c r="AN37" i="41"/>
  <c r="AM37" i="41"/>
  <c r="AL37" i="41"/>
  <c r="AK37" i="41" s="1"/>
  <c r="AJ37" i="41"/>
  <c r="AQ37" i="41" l="1"/>
  <c r="AK17" i="27" l="1"/>
  <c r="AY27" i="27" l="1"/>
  <c r="AX27" i="27"/>
  <c r="AV27" i="27"/>
  <c r="AU27" i="27"/>
  <c r="AT27" i="27"/>
  <c r="AR27" i="27"/>
  <c r="AP27" i="27"/>
  <c r="AO27" i="27"/>
  <c r="AN27" i="27"/>
  <c r="AM27" i="27"/>
  <c r="AL27" i="27"/>
  <c r="AK27" i="27"/>
  <c r="AJ27" i="27"/>
  <c r="AQ27" i="27" l="1"/>
  <c r="U130" i="29" l="1"/>
  <c r="AY33" i="39" l="1"/>
  <c r="AX33" i="39"/>
  <c r="AV33" i="39"/>
  <c r="AU33" i="39"/>
  <c r="AT33" i="39"/>
  <c r="AR33" i="39"/>
  <c r="AP33" i="39"/>
  <c r="AO33" i="39"/>
  <c r="AN33" i="39"/>
  <c r="AM33" i="39"/>
  <c r="AL33" i="39"/>
  <c r="AK33" i="39" s="1"/>
  <c r="AJ33" i="39"/>
  <c r="AQ33" i="39" l="1"/>
  <c r="AO173" i="40" l="1"/>
  <c r="AY135" i="40" l="1"/>
  <c r="AX135" i="40"/>
  <c r="AV135" i="40"/>
  <c r="AU135" i="40"/>
  <c r="AT135" i="40"/>
  <c r="AR135" i="40"/>
  <c r="AP135" i="40"/>
  <c r="AO135" i="40"/>
  <c r="AM135" i="40"/>
  <c r="AL135" i="40"/>
  <c r="AK135" i="40" s="1"/>
  <c r="AJ135" i="40"/>
  <c r="AQ135" i="40" l="1"/>
  <c r="AY29" i="41"/>
  <c r="AX29" i="41"/>
  <c r="AV29" i="41"/>
  <c r="AU29" i="41"/>
  <c r="AT29" i="41"/>
  <c r="AR29" i="41"/>
  <c r="AP29" i="41"/>
  <c r="AO29" i="41"/>
  <c r="AN29" i="41"/>
  <c r="AM29" i="41"/>
  <c r="AL29" i="41"/>
  <c r="AK29" i="41" s="1"/>
  <c r="AJ29" i="41"/>
  <c r="AQ29" i="41" l="1"/>
  <c r="AY25" i="38"/>
  <c r="AX25" i="38"/>
  <c r="AV25" i="38"/>
  <c r="AU25" i="38"/>
  <c r="AT25" i="38"/>
  <c r="AR25" i="38"/>
  <c r="AP25" i="38"/>
  <c r="AO25" i="38"/>
  <c r="AN25" i="38"/>
  <c r="AM25" i="38"/>
  <c r="AL25" i="38"/>
  <c r="AK25" i="38" s="1"/>
  <c r="AJ25" i="38"/>
  <c r="AQ25" i="38" l="1"/>
  <c r="AJ99" i="29"/>
  <c r="AY47" i="33" l="1"/>
  <c r="AX47" i="33"/>
  <c r="AV47" i="33"/>
  <c r="AU47" i="33"/>
  <c r="AT47" i="33"/>
  <c r="AR47" i="33"/>
  <c r="AP47" i="33"/>
  <c r="AO47" i="33"/>
  <c r="AN47" i="33"/>
  <c r="AM47" i="33"/>
  <c r="AL47" i="33"/>
  <c r="AK47" i="33" s="1"/>
  <c r="AJ47" i="33"/>
  <c r="AQ47" i="33" l="1"/>
  <c r="AY27" i="30" l="1"/>
  <c r="AX27" i="30"/>
  <c r="AV27" i="30"/>
  <c r="AU27" i="30"/>
  <c r="AT27" i="30"/>
  <c r="AR27" i="30"/>
  <c r="AP27" i="30"/>
  <c r="AO27" i="30"/>
  <c r="AN27" i="30"/>
  <c r="AM27" i="30"/>
  <c r="AL27" i="30"/>
  <c r="AK27" i="30" s="1"/>
  <c r="AJ27" i="30"/>
  <c r="AQ27" i="30" l="1"/>
  <c r="AY27" i="36" l="1"/>
  <c r="AX27" i="36"/>
  <c r="AV27" i="36"/>
  <c r="AU27" i="36"/>
  <c r="AT27" i="36"/>
  <c r="AR27" i="36"/>
  <c r="AP27" i="36"/>
  <c r="AO27" i="36"/>
  <c r="AN27" i="36"/>
  <c r="AM27" i="36"/>
  <c r="AL27" i="36"/>
  <c r="AK27" i="36" s="1"/>
  <c r="AJ27" i="36"/>
  <c r="AQ27" i="36" l="1"/>
  <c r="AY59" i="41" l="1"/>
  <c r="AX59" i="41"/>
  <c r="AV59" i="41"/>
  <c r="AU59" i="41"/>
  <c r="AT59" i="41"/>
  <c r="AR59" i="41"/>
  <c r="AP59" i="41"/>
  <c r="AO59" i="41"/>
  <c r="AN59" i="41"/>
  <c r="AM59" i="41"/>
  <c r="AL59" i="41"/>
  <c r="AK59" i="41" s="1"/>
  <c r="AJ59" i="41"/>
  <c r="AQ59" i="41" l="1"/>
  <c r="AY141" i="40" l="1"/>
  <c r="AX141" i="40"/>
  <c r="AV141" i="40"/>
  <c r="AU141" i="40"/>
  <c r="AT141" i="40"/>
  <c r="AR141" i="40"/>
  <c r="AP141" i="40"/>
  <c r="AO141" i="40"/>
  <c r="AM141" i="40"/>
  <c r="AL141" i="40"/>
  <c r="AK141" i="40" s="1"/>
  <c r="AJ141" i="40"/>
  <c r="AQ141" i="40" l="1"/>
  <c r="AM31" i="35" l="1"/>
  <c r="AY39" i="36" l="1"/>
  <c r="AX39" i="36"/>
  <c r="AV39" i="36"/>
  <c r="AU39" i="36"/>
  <c r="AT39" i="36"/>
  <c r="AR39" i="36"/>
  <c r="AP39" i="36"/>
  <c r="AO39" i="36"/>
  <c r="AN39" i="36"/>
  <c r="AM39" i="36"/>
  <c r="AL39" i="36"/>
  <c r="AK39" i="36" s="1"/>
  <c r="AJ39" i="36"/>
  <c r="AQ39" i="36" l="1"/>
  <c r="AN19" i="41"/>
  <c r="AN23" i="41"/>
  <c r="AN25" i="41"/>
  <c r="AN31" i="41"/>
  <c r="AN33" i="41"/>
  <c r="AN35" i="41"/>
  <c r="AN39" i="41"/>
  <c r="AN43" i="41"/>
  <c r="AN45" i="41"/>
  <c r="AN47" i="41"/>
  <c r="AN49" i="41"/>
  <c r="AN51" i="41"/>
  <c r="AN53" i="41"/>
  <c r="AN55" i="41"/>
  <c r="AN57" i="41"/>
  <c r="AN17" i="41"/>
  <c r="AN19" i="39"/>
  <c r="AN23" i="39"/>
  <c r="AN27" i="39"/>
  <c r="AN29" i="39"/>
  <c r="AN31" i="39"/>
  <c r="AN35" i="39"/>
  <c r="AN37" i="39"/>
  <c r="AN39" i="39"/>
  <c r="AN41" i="39"/>
  <c r="AN43" i="39"/>
  <c r="AN45" i="39"/>
  <c r="AN47" i="39"/>
  <c r="AN49" i="39"/>
  <c r="AN51" i="39"/>
  <c r="AN17" i="39"/>
  <c r="AN19" i="38"/>
  <c r="AN23" i="38"/>
  <c r="AN29" i="38"/>
  <c r="AN31" i="38"/>
  <c r="AN33" i="38"/>
  <c r="AN35" i="38"/>
  <c r="AN39" i="38"/>
  <c r="AN41" i="38"/>
  <c r="AN43" i="38"/>
  <c r="AN17" i="38"/>
  <c r="AN17" i="37"/>
  <c r="AN19" i="37"/>
  <c r="AN21" i="37"/>
  <c r="AN23" i="37"/>
  <c r="AN25" i="37"/>
  <c r="AN27" i="37"/>
  <c r="AN17" i="36"/>
  <c r="AN19" i="36"/>
  <c r="AN21" i="36"/>
  <c r="AN23" i="36"/>
  <c r="AN25" i="36"/>
  <c r="AN31" i="36"/>
  <c r="AN33" i="36"/>
  <c r="AN35" i="36"/>
  <c r="AN37" i="36"/>
  <c r="AN41" i="36"/>
  <c r="AN23" i="34"/>
  <c r="AN41" i="34"/>
  <c r="AN53" i="34"/>
  <c r="AN55" i="34"/>
  <c r="AN51" i="33"/>
  <c r="AN23" i="32"/>
  <c r="AN27" i="32"/>
  <c r="AN31" i="32"/>
  <c r="AN37" i="32"/>
  <c r="AN39" i="32"/>
  <c r="AN43" i="32"/>
  <c r="AN47" i="32"/>
  <c r="AN49" i="32"/>
  <c r="AN53" i="32"/>
  <c r="AN17" i="31"/>
  <c r="AN19" i="31"/>
  <c r="AN23" i="31"/>
  <c r="AN25" i="31"/>
  <c r="AN29" i="31"/>
  <c r="AN17" i="30"/>
  <c r="AN21" i="30"/>
  <c r="AN23" i="30"/>
  <c r="AN25" i="30"/>
  <c r="AN29" i="30"/>
  <c r="AN19" i="29"/>
  <c r="AN21" i="29"/>
  <c r="AN23" i="29"/>
  <c r="AN25" i="29"/>
  <c r="AN27" i="29"/>
  <c r="AN29" i="29"/>
  <c r="AN31" i="29"/>
  <c r="AN37" i="29"/>
  <c r="AN41" i="29"/>
  <c r="AN43" i="29"/>
  <c r="AN45" i="29"/>
  <c r="AN47" i="29"/>
  <c r="AN49" i="29"/>
  <c r="AN51" i="29"/>
  <c r="AN53" i="29"/>
  <c r="AN57" i="29"/>
  <c r="AN59" i="29"/>
  <c r="AN61" i="29"/>
  <c r="AN63" i="29"/>
  <c r="AN65" i="29"/>
  <c r="AN67" i="29"/>
  <c r="AN69" i="29"/>
  <c r="AN71" i="29"/>
  <c r="AN73" i="29"/>
  <c r="AN75" i="29"/>
  <c r="AN81" i="29"/>
  <c r="AN83" i="29"/>
  <c r="AN85" i="29"/>
  <c r="AN87" i="29"/>
  <c r="AN89" i="29"/>
  <c r="AN91" i="29"/>
  <c r="AN93" i="29"/>
  <c r="AN95" i="29"/>
  <c r="AN97" i="29"/>
  <c r="AN99" i="29"/>
  <c r="AN101" i="29"/>
  <c r="AN103" i="29"/>
  <c r="AN105" i="29"/>
  <c r="AN107" i="29"/>
  <c r="AN109" i="29"/>
  <c r="AN111" i="29"/>
  <c r="AN117" i="29"/>
  <c r="AN119" i="29"/>
  <c r="AN121" i="29"/>
  <c r="AN17" i="29"/>
  <c r="AN23" i="28"/>
  <c r="AN17" i="28"/>
  <c r="AN23" i="27"/>
  <c r="AN17" i="27"/>
  <c r="AN17" i="35" l="1"/>
  <c r="AN31" i="35"/>
  <c r="AN49" i="35" l="1"/>
  <c r="AY43" i="29" l="1"/>
  <c r="AX43" i="29"/>
  <c r="AV43" i="29"/>
  <c r="AU43" i="29"/>
  <c r="AT43" i="29"/>
  <c r="AR43" i="29"/>
  <c r="AP43" i="29"/>
  <c r="AO43" i="29"/>
  <c r="AM43" i="29"/>
  <c r="AL43" i="29"/>
  <c r="AK43" i="29"/>
  <c r="AJ43" i="29"/>
  <c r="AQ43" i="29" l="1"/>
  <c r="U54" i="35"/>
  <c r="AY23" i="27" l="1"/>
  <c r="AX23" i="27"/>
  <c r="AV23" i="27"/>
  <c r="AU23" i="27"/>
  <c r="AT23" i="27"/>
  <c r="AR23" i="27"/>
  <c r="AP23" i="27"/>
  <c r="AO23" i="27"/>
  <c r="AM23" i="27"/>
  <c r="AL23" i="27"/>
  <c r="AK23" i="27"/>
  <c r="AJ23" i="27"/>
  <c r="AY23" i="28"/>
  <c r="AX23" i="28"/>
  <c r="AV23" i="28"/>
  <c r="AU23" i="28"/>
  <c r="AT23" i="28"/>
  <c r="AR23" i="28"/>
  <c r="AP23" i="28"/>
  <c r="AO23" i="28"/>
  <c r="AM23" i="28"/>
  <c r="AL23" i="28"/>
  <c r="AK23" i="28"/>
  <c r="AQ23" i="28" l="1"/>
  <c r="AQ23" i="27"/>
  <c r="AY19" i="29" l="1"/>
  <c r="AY21" i="29"/>
  <c r="AY23" i="29"/>
  <c r="AY25" i="29"/>
  <c r="AY27" i="29"/>
  <c r="AY29" i="29"/>
  <c r="AY31" i="29"/>
  <c r="AY37" i="29"/>
  <c r="AY41" i="29"/>
  <c r="AY45" i="29"/>
  <c r="AY47" i="29"/>
  <c r="AY49" i="29"/>
  <c r="AY51" i="29"/>
  <c r="AY53" i="29"/>
  <c r="AY57" i="29"/>
  <c r="AY59" i="29"/>
  <c r="AY61" i="29"/>
  <c r="AY63" i="29"/>
  <c r="AY65" i="29"/>
  <c r="AY67" i="29"/>
  <c r="AY69" i="29"/>
  <c r="AY71" i="29"/>
  <c r="AY73" i="29"/>
  <c r="AY75" i="29"/>
  <c r="AY81" i="29"/>
  <c r="AY83" i="29"/>
  <c r="AY85" i="29"/>
  <c r="AY87" i="29"/>
  <c r="AY89" i="29"/>
  <c r="AY91" i="29"/>
  <c r="AY93" i="29"/>
  <c r="AY95" i="29"/>
  <c r="AY97" i="29"/>
  <c r="AY99" i="29"/>
  <c r="AY101" i="29"/>
  <c r="AY103" i="29"/>
  <c r="AY105" i="29"/>
  <c r="AY107" i="29"/>
  <c r="AY109" i="29"/>
  <c r="AY111" i="29"/>
  <c r="AY117" i="29"/>
  <c r="AY119" i="29"/>
  <c r="AY121" i="29"/>
  <c r="AX19" i="29"/>
  <c r="AX21" i="29"/>
  <c r="AX23" i="29"/>
  <c r="AX25" i="29"/>
  <c r="AX27" i="29"/>
  <c r="AX29" i="29"/>
  <c r="AX31" i="29"/>
  <c r="AX37" i="29"/>
  <c r="AX41" i="29"/>
  <c r="AX45" i="29"/>
  <c r="AX47" i="29"/>
  <c r="AX49" i="29"/>
  <c r="AX51" i="29"/>
  <c r="AX53" i="29"/>
  <c r="AX57" i="29"/>
  <c r="AX59" i="29"/>
  <c r="AX61" i="29"/>
  <c r="AX63" i="29"/>
  <c r="AX65" i="29"/>
  <c r="AX67" i="29"/>
  <c r="AX69" i="29"/>
  <c r="AX71" i="29"/>
  <c r="AX73" i="29"/>
  <c r="AX75" i="29"/>
  <c r="AX81" i="29"/>
  <c r="AX83" i="29"/>
  <c r="AX85" i="29"/>
  <c r="AX87" i="29"/>
  <c r="AX89" i="29"/>
  <c r="AX91" i="29"/>
  <c r="AX93" i="29"/>
  <c r="AX95" i="29"/>
  <c r="AX97" i="29"/>
  <c r="AX99" i="29"/>
  <c r="AX101" i="29"/>
  <c r="AX103" i="29"/>
  <c r="AX105" i="29"/>
  <c r="AX107" i="29"/>
  <c r="AX109" i="29"/>
  <c r="AX111" i="29"/>
  <c r="AX117" i="29"/>
  <c r="AX119" i="29"/>
  <c r="AX121" i="29"/>
  <c r="AV19" i="29"/>
  <c r="AV21" i="29"/>
  <c r="AV23" i="29"/>
  <c r="AV25" i="29"/>
  <c r="AV27" i="29"/>
  <c r="AV29" i="29"/>
  <c r="AV31" i="29"/>
  <c r="AV37" i="29"/>
  <c r="AV41" i="29"/>
  <c r="AV45" i="29"/>
  <c r="AV47" i="29"/>
  <c r="AV49" i="29"/>
  <c r="AV51" i="29"/>
  <c r="AV53" i="29"/>
  <c r="AV57" i="29"/>
  <c r="AV59" i="29"/>
  <c r="AV61" i="29"/>
  <c r="AV63" i="29"/>
  <c r="AV65" i="29"/>
  <c r="AV67" i="29"/>
  <c r="AV69" i="29"/>
  <c r="AV71" i="29"/>
  <c r="AV73" i="29"/>
  <c r="AV75" i="29"/>
  <c r="AV81" i="29"/>
  <c r="AV83" i="29"/>
  <c r="AV85" i="29"/>
  <c r="AV87" i="29"/>
  <c r="AV89" i="29"/>
  <c r="AV91" i="29"/>
  <c r="AV93" i="29"/>
  <c r="AV95" i="29"/>
  <c r="AV97" i="29"/>
  <c r="AV99" i="29"/>
  <c r="AV101" i="29"/>
  <c r="AV103" i="29"/>
  <c r="AV105" i="29"/>
  <c r="AV107" i="29"/>
  <c r="AV109" i="29"/>
  <c r="AV111" i="29"/>
  <c r="AV117" i="29"/>
  <c r="AV119" i="29"/>
  <c r="AV121" i="29"/>
  <c r="AU19" i="29"/>
  <c r="AU21" i="29"/>
  <c r="AU23" i="29"/>
  <c r="AU25" i="29"/>
  <c r="AU27" i="29"/>
  <c r="AU29" i="29"/>
  <c r="AU31" i="29"/>
  <c r="AU37" i="29"/>
  <c r="AU41" i="29"/>
  <c r="AU45" i="29"/>
  <c r="AU47" i="29"/>
  <c r="AU49" i="29"/>
  <c r="AU51" i="29"/>
  <c r="AU53" i="29"/>
  <c r="AU57" i="29"/>
  <c r="AU59" i="29"/>
  <c r="AU61" i="29"/>
  <c r="AU63" i="29"/>
  <c r="AU65" i="29"/>
  <c r="AU67" i="29"/>
  <c r="AU69" i="29"/>
  <c r="AU71" i="29"/>
  <c r="AU73" i="29"/>
  <c r="AU75" i="29"/>
  <c r="AU81" i="29"/>
  <c r="AU83" i="29"/>
  <c r="AU85" i="29"/>
  <c r="AU87" i="29"/>
  <c r="AU89" i="29"/>
  <c r="AU91" i="29"/>
  <c r="AU93" i="29"/>
  <c r="AU95" i="29"/>
  <c r="AU97" i="29"/>
  <c r="AU99" i="29"/>
  <c r="AU101" i="29"/>
  <c r="AU103" i="29"/>
  <c r="AU105" i="29"/>
  <c r="AU107" i="29"/>
  <c r="AU109" i="29"/>
  <c r="AU111" i="29"/>
  <c r="AU117" i="29"/>
  <c r="AU119" i="29"/>
  <c r="AU121" i="29"/>
  <c r="AT19" i="29"/>
  <c r="AT21" i="29"/>
  <c r="AT23" i="29"/>
  <c r="AT25" i="29"/>
  <c r="AT27" i="29"/>
  <c r="AT29" i="29"/>
  <c r="AT31" i="29"/>
  <c r="AT37" i="29"/>
  <c r="AT41" i="29"/>
  <c r="AT45" i="29"/>
  <c r="AT47" i="29"/>
  <c r="AT49" i="29"/>
  <c r="AT51" i="29"/>
  <c r="AT53" i="29"/>
  <c r="AT57" i="29"/>
  <c r="AT59" i="29"/>
  <c r="AT61" i="29"/>
  <c r="AT63" i="29"/>
  <c r="AT65" i="29"/>
  <c r="AT67" i="29"/>
  <c r="AT69" i="29"/>
  <c r="AT71" i="29"/>
  <c r="AT73" i="29"/>
  <c r="AT75" i="29"/>
  <c r="AT81" i="29"/>
  <c r="AT83" i="29"/>
  <c r="AT85" i="29"/>
  <c r="AT87" i="29"/>
  <c r="AT89" i="29"/>
  <c r="AT91" i="29"/>
  <c r="AT93" i="29"/>
  <c r="AT95" i="29"/>
  <c r="AT97" i="29"/>
  <c r="AT99" i="29"/>
  <c r="AT101" i="29"/>
  <c r="AT103" i="29"/>
  <c r="AT105" i="29"/>
  <c r="AT107" i="29"/>
  <c r="AT109" i="29"/>
  <c r="AT111" i="29"/>
  <c r="AT117" i="29"/>
  <c r="AT119" i="29"/>
  <c r="AT121" i="29"/>
  <c r="AR19" i="29"/>
  <c r="AR21" i="29"/>
  <c r="AR23" i="29"/>
  <c r="AR25" i="29"/>
  <c r="AR27" i="29"/>
  <c r="AR29" i="29"/>
  <c r="AR31" i="29"/>
  <c r="AR37" i="29"/>
  <c r="AR41" i="29"/>
  <c r="AR45" i="29"/>
  <c r="AR47" i="29"/>
  <c r="AR49" i="29"/>
  <c r="AR51" i="29"/>
  <c r="AR53" i="29"/>
  <c r="AR57" i="29"/>
  <c r="AR59" i="29"/>
  <c r="AR61" i="29"/>
  <c r="AR63" i="29"/>
  <c r="AR65" i="29"/>
  <c r="AR67" i="29"/>
  <c r="AR69" i="29"/>
  <c r="AR71" i="29"/>
  <c r="AR73" i="29"/>
  <c r="AR75" i="29"/>
  <c r="AR81" i="29"/>
  <c r="AR83" i="29"/>
  <c r="AR85" i="29"/>
  <c r="AR87" i="29"/>
  <c r="AR89" i="29"/>
  <c r="AR91" i="29"/>
  <c r="AR93" i="29"/>
  <c r="AR95" i="29"/>
  <c r="AR97" i="29"/>
  <c r="AR99" i="29"/>
  <c r="AR101" i="29"/>
  <c r="AR103" i="29"/>
  <c r="AR105" i="29"/>
  <c r="AR107" i="29"/>
  <c r="AR109" i="29"/>
  <c r="AR111" i="29"/>
  <c r="AR117" i="29"/>
  <c r="AR119" i="29"/>
  <c r="AR121" i="29"/>
  <c r="AP19" i="29"/>
  <c r="AP21" i="29"/>
  <c r="AP23" i="29"/>
  <c r="AP25" i="29"/>
  <c r="AP27" i="29"/>
  <c r="AP29" i="29"/>
  <c r="AP31" i="29"/>
  <c r="AP37" i="29"/>
  <c r="AP41" i="29"/>
  <c r="AP45" i="29"/>
  <c r="AP47" i="29"/>
  <c r="AP49" i="29"/>
  <c r="AP51" i="29"/>
  <c r="AP53" i="29"/>
  <c r="AP57" i="29"/>
  <c r="AP59" i="29"/>
  <c r="AP61" i="29"/>
  <c r="AP63" i="29"/>
  <c r="AP65" i="29"/>
  <c r="AP67" i="29"/>
  <c r="AP69" i="29"/>
  <c r="AP71" i="29"/>
  <c r="AP73" i="29"/>
  <c r="AP75" i="29"/>
  <c r="AP81" i="29"/>
  <c r="AP83" i="29"/>
  <c r="AP85" i="29"/>
  <c r="AP87" i="29"/>
  <c r="AP89" i="29"/>
  <c r="AP91" i="29"/>
  <c r="AP93" i="29"/>
  <c r="AP95" i="29"/>
  <c r="AP97" i="29"/>
  <c r="AP99" i="29"/>
  <c r="AP101" i="29"/>
  <c r="AP103" i="29"/>
  <c r="AP105" i="29"/>
  <c r="AP107" i="29"/>
  <c r="AP109" i="29"/>
  <c r="AP111" i="29"/>
  <c r="AP117" i="29"/>
  <c r="AP119" i="29"/>
  <c r="AP121" i="29"/>
  <c r="AO19" i="29"/>
  <c r="AO21" i="29"/>
  <c r="AO23" i="29"/>
  <c r="AO25" i="29"/>
  <c r="AO27" i="29"/>
  <c r="AO29" i="29"/>
  <c r="AO31" i="29"/>
  <c r="AO37" i="29"/>
  <c r="AO41" i="29"/>
  <c r="AO45" i="29"/>
  <c r="AO47" i="29"/>
  <c r="AO49" i="29"/>
  <c r="AO51" i="29"/>
  <c r="AO53" i="29"/>
  <c r="AO57" i="29"/>
  <c r="AO59" i="29"/>
  <c r="AO61" i="29"/>
  <c r="AO63" i="29"/>
  <c r="AO65" i="29"/>
  <c r="AO67" i="29"/>
  <c r="AO69" i="29"/>
  <c r="AO71" i="29"/>
  <c r="AO73" i="29"/>
  <c r="AO75" i="29"/>
  <c r="AO81" i="29"/>
  <c r="AO83" i="29"/>
  <c r="AO85" i="29"/>
  <c r="AO87" i="29"/>
  <c r="AO89" i="29"/>
  <c r="AO91" i="29"/>
  <c r="AO93" i="29"/>
  <c r="AO95" i="29"/>
  <c r="AO97" i="29"/>
  <c r="AO99" i="29"/>
  <c r="AO101" i="29"/>
  <c r="AO103" i="29"/>
  <c r="AO105" i="29"/>
  <c r="AO107" i="29"/>
  <c r="AO109" i="29"/>
  <c r="AO111" i="29"/>
  <c r="AO117" i="29"/>
  <c r="AO119" i="29"/>
  <c r="AO121" i="29"/>
  <c r="AM19" i="29"/>
  <c r="AM21" i="29"/>
  <c r="AM23" i="29"/>
  <c r="AM25" i="29"/>
  <c r="AM27" i="29"/>
  <c r="AM29" i="29"/>
  <c r="AM31" i="29"/>
  <c r="AM37" i="29"/>
  <c r="AM41" i="29"/>
  <c r="AM45" i="29"/>
  <c r="AM47" i="29"/>
  <c r="AM49" i="29"/>
  <c r="AM51" i="29"/>
  <c r="AM53" i="29"/>
  <c r="AM57" i="29"/>
  <c r="AM59" i="29"/>
  <c r="AM61" i="29"/>
  <c r="AM63" i="29"/>
  <c r="AM65" i="29"/>
  <c r="AM67" i="29"/>
  <c r="AM69" i="29"/>
  <c r="AM71" i="29"/>
  <c r="AM73" i="29"/>
  <c r="AM75" i="29"/>
  <c r="AM81" i="29"/>
  <c r="AM83" i="29"/>
  <c r="AM85" i="29"/>
  <c r="AM87" i="29"/>
  <c r="AM89" i="29"/>
  <c r="AM91" i="29"/>
  <c r="AM93" i="29"/>
  <c r="AM95" i="29"/>
  <c r="AM97" i="29"/>
  <c r="AM99" i="29"/>
  <c r="AM101" i="29"/>
  <c r="AM103" i="29"/>
  <c r="AM105" i="29"/>
  <c r="AM107" i="29"/>
  <c r="AM109" i="29"/>
  <c r="AM111" i="29"/>
  <c r="AM117" i="29"/>
  <c r="AM119" i="29"/>
  <c r="AM121" i="29"/>
  <c r="AL19" i="29"/>
  <c r="AL23" i="29"/>
  <c r="AL25" i="29"/>
  <c r="AL27" i="29"/>
  <c r="AL29" i="29"/>
  <c r="AL31" i="29"/>
  <c r="AL37" i="29"/>
  <c r="AL41" i="29"/>
  <c r="AL45" i="29"/>
  <c r="AL47" i="29"/>
  <c r="AL49" i="29"/>
  <c r="AL51" i="29"/>
  <c r="AL53" i="29"/>
  <c r="AL57" i="29"/>
  <c r="AL59" i="29"/>
  <c r="AL61" i="29"/>
  <c r="AL63" i="29"/>
  <c r="AL65" i="29"/>
  <c r="AL67" i="29"/>
  <c r="AL69" i="29"/>
  <c r="AL71" i="29"/>
  <c r="AL73" i="29"/>
  <c r="AL75" i="29"/>
  <c r="AL81" i="29"/>
  <c r="AL83" i="29"/>
  <c r="AL85" i="29"/>
  <c r="AL87" i="29"/>
  <c r="AL89" i="29"/>
  <c r="AL91" i="29"/>
  <c r="AL93" i="29"/>
  <c r="AL95" i="29"/>
  <c r="AL97" i="29"/>
  <c r="AL99" i="29"/>
  <c r="AL101" i="29"/>
  <c r="AL103" i="29"/>
  <c r="AL105" i="29"/>
  <c r="AL107" i="29"/>
  <c r="AL109" i="29"/>
  <c r="AL111" i="29"/>
  <c r="AL117" i="29"/>
  <c r="AL119" i="29"/>
  <c r="AL121" i="29"/>
  <c r="AK19" i="29"/>
  <c r="AK21" i="29"/>
  <c r="AK23" i="29"/>
  <c r="AK25" i="29"/>
  <c r="AK27" i="29"/>
  <c r="AK29" i="29"/>
  <c r="AK31" i="29"/>
  <c r="AK37" i="29"/>
  <c r="AK41" i="29"/>
  <c r="AK45" i="29"/>
  <c r="AK47" i="29"/>
  <c r="AK49" i="29"/>
  <c r="AK51" i="29"/>
  <c r="AK53" i="29"/>
  <c r="AK57" i="29"/>
  <c r="AK59" i="29"/>
  <c r="AK61" i="29"/>
  <c r="AK63" i="29"/>
  <c r="AK65" i="29"/>
  <c r="AK67" i="29"/>
  <c r="AK69" i="29"/>
  <c r="AK71" i="29"/>
  <c r="AK73" i="29"/>
  <c r="AK75" i="29"/>
  <c r="AK81" i="29"/>
  <c r="AK83" i="29"/>
  <c r="AK85" i="29"/>
  <c r="AK87" i="29"/>
  <c r="AK89" i="29"/>
  <c r="AK91" i="29"/>
  <c r="AK93" i="29"/>
  <c r="AK95" i="29"/>
  <c r="AK97" i="29"/>
  <c r="AK99" i="29"/>
  <c r="AK101" i="29"/>
  <c r="AK103" i="29"/>
  <c r="AK105" i="29"/>
  <c r="AK107" i="29"/>
  <c r="AK109" i="29"/>
  <c r="AK111" i="29"/>
  <c r="AK117" i="29"/>
  <c r="AK119" i="29"/>
  <c r="AK121" i="29"/>
  <c r="AJ19" i="29"/>
  <c r="AJ21" i="29"/>
  <c r="AJ23" i="29"/>
  <c r="AJ25" i="29"/>
  <c r="AJ27" i="29"/>
  <c r="AJ29" i="29"/>
  <c r="AJ31" i="29"/>
  <c r="AJ37" i="29"/>
  <c r="AJ41" i="29"/>
  <c r="AJ45" i="29"/>
  <c r="AJ47" i="29"/>
  <c r="AJ49" i="29"/>
  <c r="AJ51" i="29"/>
  <c r="AJ53" i="29"/>
  <c r="AJ57" i="29"/>
  <c r="AJ59" i="29"/>
  <c r="AJ61" i="29"/>
  <c r="AJ63" i="29"/>
  <c r="AJ65" i="29"/>
  <c r="AJ67" i="29"/>
  <c r="AJ69" i="29"/>
  <c r="AJ71" i="29"/>
  <c r="AJ73" i="29"/>
  <c r="AJ75" i="29"/>
  <c r="AJ81" i="29"/>
  <c r="AJ83" i="29"/>
  <c r="AJ85" i="29"/>
  <c r="AJ87" i="29"/>
  <c r="AJ89" i="29"/>
  <c r="AJ91" i="29"/>
  <c r="AJ93" i="29"/>
  <c r="AJ95" i="29"/>
  <c r="AJ97" i="29"/>
  <c r="AJ101" i="29"/>
  <c r="AJ103" i="29"/>
  <c r="AJ105" i="29"/>
  <c r="AJ107" i="29"/>
  <c r="AJ109" i="29"/>
  <c r="AJ111" i="29"/>
  <c r="AJ117" i="29"/>
  <c r="AJ119" i="29"/>
  <c r="AJ121" i="29"/>
  <c r="AY17" i="30"/>
  <c r="AY21" i="30"/>
  <c r="AY23" i="30"/>
  <c r="AY25" i="30"/>
  <c r="AY29" i="30"/>
  <c r="AX17" i="30"/>
  <c r="AX21" i="30"/>
  <c r="AX23" i="30"/>
  <c r="AX25" i="30"/>
  <c r="AX29" i="30"/>
  <c r="AV17" i="30"/>
  <c r="AV21" i="30"/>
  <c r="AV23" i="30"/>
  <c r="AV25" i="30"/>
  <c r="AV29" i="30"/>
  <c r="AU17" i="30"/>
  <c r="AU21" i="30"/>
  <c r="AU23" i="30"/>
  <c r="AU25" i="30"/>
  <c r="AU29" i="30"/>
  <c r="AT17" i="30"/>
  <c r="AT21" i="30"/>
  <c r="AT23" i="30"/>
  <c r="AT25" i="30"/>
  <c r="AT29" i="30"/>
  <c r="AR17" i="30"/>
  <c r="AR21" i="30"/>
  <c r="AR23" i="30"/>
  <c r="AR25" i="30"/>
  <c r="AR29" i="30"/>
  <c r="AP17" i="30"/>
  <c r="AP21" i="30"/>
  <c r="AP23" i="30"/>
  <c r="AP25" i="30"/>
  <c r="AP29" i="30"/>
  <c r="AO17" i="30"/>
  <c r="AO21" i="30"/>
  <c r="AO23" i="30"/>
  <c r="AO25" i="30"/>
  <c r="AO29" i="30"/>
  <c r="AM17" i="30"/>
  <c r="AM21" i="30"/>
  <c r="AM23" i="30"/>
  <c r="AM25" i="30"/>
  <c r="AM29" i="30"/>
  <c r="AL17" i="30"/>
  <c r="AK17" i="30" s="1"/>
  <c r="AL21" i="30"/>
  <c r="AK21" i="30" s="1"/>
  <c r="AL23" i="30"/>
  <c r="AK23" i="30" s="1"/>
  <c r="AL25" i="30"/>
  <c r="AK25" i="30" s="1"/>
  <c r="AL29" i="30"/>
  <c r="AK29" i="30" s="1"/>
  <c r="AJ17" i="30"/>
  <c r="AJ21" i="30"/>
  <c r="AJ23" i="30"/>
  <c r="AJ25" i="30"/>
  <c r="AJ29" i="30"/>
  <c r="AY17" i="31"/>
  <c r="AY19" i="31"/>
  <c r="AY23" i="31"/>
  <c r="AY25" i="31"/>
  <c r="AY29" i="31"/>
  <c r="AX17" i="31"/>
  <c r="AX19" i="31"/>
  <c r="AX23" i="31"/>
  <c r="AX25" i="31"/>
  <c r="AX29" i="31"/>
  <c r="AV17" i="31"/>
  <c r="AV19" i="31"/>
  <c r="AV23" i="31"/>
  <c r="AV25" i="31"/>
  <c r="AV29" i="31"/>
  <c r="AU17" i="31"/>
  <c r="AU19" i="31"/>
  <c r="AU23" i="31"/>
  <c r="AU25" i="31"/>
  <c r="AU29" i="31"/>
  <c r="AT17" i="31"/>
  <c r="AT19" i="31"/>
  <c r="AT23" i="31"/>
  <c r="AT25" i="31"/>
  <c r="AT29" i="31"/>
  <c r="AR17" i="31"/>
  <c r="AR19" i="31"/>
  <c r="AR23" i="31"/>
  <c r="AR25" i="31"/>
  <c r="AR29" i="31"/>
  <c r="AP17" i="31"/>
  <c r="AP19" i="31"/>
  <c r="AP23" i="31"/>
  <c r="AP25" i="31"/>
  <c r="AP29" i="31"/>
  <c r="AO17" i="31"/>
  <c r="AO19" i="31"/>
  <c r="AO23" i="31"/>
  <c r="AO25" i="31"/>
  <c r="AO29" i="31"/>
  <c r="AM17" i="31"/>
  <c r="AM19" i="31"/>
  <c r="AM23" i="31"/>
  <c r="AM25" i="31"/>
  <c r="AM29" i="31"/>
  <c r="AL17" i="31"/>
  <c r="AK17" i="31" s="1"/>
  <c r="AL19" i="31"/>
  <c r="AK19" i="31" s="1"/>
  <c r="AL23" i="31"/>
  <c r="AK23" i="31" s="1"/>
  <c r="AL25" i="31"/>
  <c r="AK25" i="31" s="1"/>
  <c r="AL29" i="31"/>
  <c r="AK29" i="31" s="1"/>
  <c r="AJ17" i="31"/>
  <c r="AJ19" i="31"/>
  <c r="AJ23" i="31"/>
  <c r="AJ25" i="31"/>
  <c r="AJ29" i="31"/>
  <c r="AY23" i="32"/>
  <c r="AY27" i="32"/>
  <c r="AY31" i="32"/>
  <c r="AY37" i="32"/>
  <c r="AY39" i="32"/>
  <c r="AY43" i="32"/>
  <c r="AY47" i="32"/>
  <c r="AY49" i="32"/>
  <c r="AY53" i="32"/>
  <c r="AX23" i="32"/>
  <c r="AX27" i="32"/>
  <c r="AX31" i="32"/>
  <c r="AX37" i="32"/>
  <c r="AX39" i="32"/>
  <c r="AX43" i="32"/>
  <c r="AX47" i="32"/>
  <c r="AX49" i="32"/>
  <c r="AX53" i="32"/>
  <c r="AV23" i="32"/>
  <c r="AV27" i="32"/>
  <c r="AV31" i="32"/>
  <c r="AV37" i="32"/>
  <c r="AV39" i="32"/>
  <c r="AV43" i="32"/>
  <c r="AV47" i="32"/>
  <c r="AV49" i="32"/>
  <c r="AV53" i="32"/>
  <c r="AU23" i="32"/>
  <c r="AU27" i="32"/>
  <c r="AU31" i="32"/>
  <c r="AU37" i="32"/>
  <c r="AU39" i="32"/>
  <c r="AU43" i="32"/>
  <c r="AU47" i="32"/>
  <c r="AU49" i="32"/>
  <c r="AU53" i="32"/>
  <c r="AT23" i="32"/>
  <c r="AT27" i="32"/>
  <c r="AT31" i="32"/>
  <c r="AT37" i="32"/>
  <c r="AT39" i="32"/>
  <c r="AT43" i="32"/>
  <c r="AT47" i="32"/>
  <c r="AT49" i="32"/>
  <c r="AT53" i="32"/>
  <c r="AR23" i="32"/>
  <c r="AR27" i="32"/>
  <c r="AR31" i="32"/>
  <c r="AR37" i="32"/>
  <c r="AR39" i="32"/>
  <c r="AR43" i="32"/>
  <c r="AR47" i="32"/>
  <c r="AR49" i="32"/>
  <c r="AR53" i="32"/>
  <c r="AP23" i="32"/>
  <c r="AP27" i="32"/>
  <c r="AP31" i="32"/>
  <c r="AP37" i="32"/>
  <c r="AP39" i="32"/>
  <c r="AP43" i="32"/>
  <c r="AP47" i="32"/>
  <c r="AP49" i="32"/>
  <c r="AP53" i="32"/>
  <c r="AO23" i="32"/>
  <c r="AO27" i="32"/>
  <c r="AO31" i="32"/>
  <c r="AO37" i="32"/>
  <c r="AO39" i="32"/>
  <c r="AO43" i="32"/>
  <c r="AO47" i="32"/>
  <c r="AO49" i="32"/>
  <c r="AO53" i="32"/>
  <c r="AM23" i="32"/>
  <c r="AM27" i="32"/>
  <c r="AM31" i="32"/>
  <c r="AM37" i="32"/>
  <c r="AM39" i="32"/>
  <c r="AM43" i="32"/>
  <c r="AM47" i="32"/>
  <c r="AM49" i="32"/>
  <c r="AM53" i="32"/>
  <c r="AL23" i="32"/>
  <c r="AK23" i="32" s="1"/>
  <c r="AL27" i="32"/>
  <c r="AK27" i="32" s="1"/>
  <c r="AL31" i="32"/>
  <c r="AK31" i="32" s="1"/>
  <c r="AL37" i="32"/>
  <c r="AK37" i="32" s="1"/>
  <c r="AL39" i="32"/>
  <c r="AK39" i="32" s="1"/>
  <c r="AL43" i="32"/>
  <c r="AK43" i="32" s="1"/>
  <c r="AL47" i="32"/>
  <c r="AK47" i="32" s="1"/>
  <c r="AL49" i="32"/>
  <c r="AK49" i="32" s="1"/>
  <c r="AL53" i="32"/>
  <c r="AK53" i="32" s="1"/>
  <c r="AJ23" i="32"/>
  <c r="AJ27" i="32"/>
  <c r="AJ31" i="32"/>
  <c r="AJ37" i="32"/>
  <c r="AJ39" i="32"/>
  <c r="AJ43" i="32"/>
  <c r="AJ47" i="32"/>
  <c r="AJ49" i="32"/>
  <c r="AJ53" i="32"/>
  <c r="AY51" i="33"/>
  <c r="AX51" i="33"/>
  <c r="AV51" i="33"/>
  <c r="AU51" i="33"/>
  <c r="AT51" i="33"/>
  <c r="AR51" i="33"/>
  <c r="AP51" i="33"/>
  <c r="AO51" i="33"/>
  <c r="AM51" i="33"/>
  <c r="AL51" i="33"/>
  <c r="AK51" i="33" s="1"/>
  <c r="AJ51" i="33"/>
  <c r="AY45" i="41"/>
  <c r="AY47" i="41"/>
  <c r="AY49" i="41"/>
  <c r="AY51" i="41"/>
  <c r="AY53" i="41"/>
  <c r="AY55" i="41"/>
  <c r="AY57" i="41"/>
  <c r="AX45" i="41"/>
  <c r="AX47" i="41"/>
  <c r="AX49" i="41"/>
  <c r="AX51" i="41"/>
  <c r="AX53" i="41"/>
  <c r="AX55" i="41"/>
  <c r="AX57" i="41"/>
  <c r="AV45" i="41"/>
  <c r="AV47" i="41"/>
  <c r="AV49" i="41"/>
  <c r="AV51" i="41"/>
  <c r="AV53" i="41"/>
  <c r="AV55" i="41"/>
  <c r="AV57" i="41"/>
  <c r="AU45" i="41"/>
  <c r="AU47" i="41"/>
  <c r="AU49" i="41"/>
  <c r="AU51" i="41"/>
  <c r="AU53" i="41"/>
  <c r="AU55" i="41"/>
  <c r="AU57" i="41"/>
  <c r="AT45" i="41"/>
  <c r="AT47" i="41"/>
  <c r="AT49" i="41"/>
  <c r="AT51" i="41"/>
  <c r="AT53" i="41"/>
  <c r="AT55" i="41"/>
  <c r="AT57" i="41"/>
  <c r="AR45" i="41"/>
  <c r="AR47" i="41"/>
  <c r="AR49" i="41"/>
  <c r="AR51" i="41"/>
  <c r="AR53" i="41"/>
  <c r="AR55" i="41"/>
  <c r="AR57" i="41"/>
  <c r="AP45" i="41"/>
  <c r="AP47" i="41"/>
  <c r="AP49" i="41"/>
  <c r="AP51" i="41"/>
  <c r="AP53" i="41"/>
  <c r="AP55" i="41"/>
  <c r="AP57" i="41"/>
  <c r="AO45" i="41"/>
  <c r="AO47" i="41"/>
  <c r="AO49" i="41"/>
  <c r="AO51" i="41"/>
  <c r="AO53" i="41"/>
  <c r="AO55" i="41"/>
  <c r="AO57" i="41"/>
  <c r="AM45" i="41"/>
  <c r="AM47" i="41"/>
  <c r="AM49" i="41"/>
  <c r="AM51" i="41"/>
  <c r="AM53" i="41"/>
  <c r="AM55" i="41"/>
  <c r="AM57" i="41"/>
  <c r="AL45" i="41"/>
  <c r="AK45" i="41" s="1"/>
  <c r="AL47" i="41"/>
  <c r="AK47" i="41" s="1"/>
  <c r="AL49" i="41"/>
  <c r="AK49" i="41" s="1"/>
  <c r="AL51" i="41"/>
  <c r="AK51" i="41" s="1"/>
  <c r="AL53" i="41"/>
  <c r="AK53" i="41" s="1"/>
  <c r="AL55" i="41"/>
  <c r="AK55" i="41" s="1"/>
  <c r="AL57" i="41"/>
  <c r="AK57" i="41" s="1"/>
  <c r="AJ55" i="41"/>
  <c r="AJ57" i="41"/>
  <c r="AJ49" i="41"/>
  <c r="AJ51" i="41"/>
  <c r="AJ53" i="41"/>
  <c r="AJ45" i="41"/>
  <c r="AJ47" i="41"/>
  <c r="N11" i="42" l="1"/>
  <c r="AQ61" i="29"/>
  <c r="AQ17" i="31"/>
  <c r="AQ23" i="31"/>
  <c r="AQ47" i="41"/>
  <c r="AQ25" i="31"/>
  <c r="AQ19" i="31"/>
  <c r="AQ57" i="41"/>
  <c r="AQ45" i="41"/>
  <c r="AQ51" i="41"/>
  <c r="AQ53" i="41"/>
  <c r="AQ45" i="29"/>
  <c r="AQ55" i="41"/>
  <c r="AQ29" i="29"/>
  <c r="AQ59" i="29"/>
  <c r="AQ81" i="29"/>
  <c r="AQ101" i="29"/>
  <c r="AQ49" i="41"/>
  <c r="AQ91" i="29"/>
  <c r="AQ67" i="29"/>
  <c r="AQ29" i="31"/>
  <c r="AQ25" i="30"/>
  <c r="AQ51" i="33"/>
  <c r="AQ39" i="32"/>
  <c r="AQ37" i="29"/>
  <c r="AQ25" i="29"/>
  <c r="AQ99" i="29"/>
  <c r="AQ27" i="29"/>
  <c r="AQ31" i="29"/>
  <c r="AQ49" i="29"/>
  <c r="AQ69" i="29"/>
  <c r="AQ121" i="29"/>
  <c r="AQ107" i="29"/>
  <c r="AQ103" i="29"/>
  <c r="AQ97" i="29"/>
  <c r="AQ47" i="29"/>
  <c r="AQ41" i="29"/>
  <c r="AQ83" i="29"/>
  <c r="AQ21" i="30"/>
  <c r="AQ85" i="29"/>
  <c r="AQ21" i="29"/>
  <c r="AQ37" i="32"/>
  <c r="AQ109" i="29"/>
  <c r="AQ51" i="29"/>
  <c r="AQ95" i="29"/>
  <c r="AQ65" i="29"/>
  <c r="AQ111" i="29"/>
  <c r="AQ31" i="32"/>
  <c r="AQ71" i="29"/>
  <c r="AQ19" i="29"/>
  <c r="AQ23" i="29"/>
  <c r="AQ47" i="32"/>
  <c r="AQ75" i="29"/>
  <c r="AQ57" i="29"/>
  <c r="AQ63" i="29"/>
  <c r="AQ23" i="32"/>
  <c r="AQ17" i="30"/>
  <c r="AQ93" i="29"/>
  <c r="AQ49" i="32"/>
  <c r="AQ73" i="29"/>
  <c r="AQ53" i="29"/>
  <c r="AQ117" i="29"/>
  <c r="AQ87" i="29"/>
  <c r="AQ43" i="32"/>
  <c r="AQ105" i="29"/>
  <c r="AQ89" i="29"/>
  <c r="AQ27" i="32"/>
  <c r="AQ119" i="29"/>
  <c r="AQ29" i="30"/>
  <c r="AQ23" i="30"/>
  <c r="AQ53" i="32"/>
  <c r="AY17" i="35" l="1"/>
  <c r="AX17" i="35"/>
  <c r="AU17" i="35"/>
  <c r="AT17" i="35"/>
  <c r="AR17" i="35"/>
  <c r="AP17" i="35"/>
  <c r="AO17" i="35"/>
  <c r="AM17" i="35"/>
  <c r="AM49" i="35" s="1"/>
  <c r="AL17" i="35"/>
  <c r="AJ17" i="35"/>
  <c r="AK17" i="35" l="1"/>
  <c r="AQ17" i="35"/>
  <c r="AY37" i="36" l="1"/>
  <c r="AX37" i="36"/>
  <c r="AV37" i="36"/>
  <c r="AU37" i="36"/>
  <c r="AT37" i="36"/>
  <c r="AR37" i="36"/>
  <c r="AP37" i="36"/>
  <c r="AO37" i="36"/>
  <c r="AM37" i="36"/>
  <c r="AL37" i="36"/>
  <c r="AK37" i="36" s="1"/>
  <c r="AJ37" i="36"/>
  <c r="AQ37" i="36" l="1"/>
  <c r="AP41" i="36" l="1"/>
  <c r="AK17" i="29" l="1"/>
  <c r="AK125" i="29" s="1"/>
  <c r="AP17" i="27" l="1"/>
  <c r="AP29" i="27" s="1"/>
  <c r="AP17" i="28"/>
  <c r="AP17" i="29"/>
  <c r="AP125" i="29" s="1"/>
  <c r="AP23" i="34"/>
  <c r="AP41" i="34"/>
  <c r="AP53" i="34"/>
  <c r="AP55" i="34"/>
  <c r="AP31" i="35"/>
  <c r="AP17" i="36"/>
  <c r="AP19" i="36"/>
  <c r="AP21" i="36"/>
  <c r="AP23" i="36"/>
  <c r="AP25" i="36"/>
  <c r="AP31" i="36"/>
  <c r="AP33" i="36"/>
  <c r="AP35" i="36"/>
  <c r="AP17" i="37"/>
  <c r="AP19" i="37"/>
  <c r="AP21" i="37"/>
  <c r="AP23" i="37"/>
  <c r="AP25" i="37"/>
  <c r="AP27" i="37"/>
  <c r="AP19" i="38"/>
  <c r="AP23" i="38"/>
  <c r="AP29" i="38"/>
  <c r="AP31" i="38"/>
  <c r="AP33" i="38"/>
  <c r="AP35" i="38"/>
  <c r="AP39" i="38"/>
  <c r="AP41" i="38"/>
  <c r="AP43" i="38"/>
  <c r="AP17" i="38"/>
  <c r="AP19" i="39"/>
  <c r="AP23" i="39"/>
  <c r="AP27" i="39"/>
  <c r="AP29" i="39"/>
  <c r="AP31" i="39"/>
  <c r="AP35" i="39"/>
  <c r="AP37" i="39"/>
  <c r="AP39" i="39"/>
  <c r="AP17" i="39"/>
  <c r="AP41" i="39"/>
  <c r="AP43" i="39"/>
  <c r="AP45" i="39"/>
  <c r="AP47" i="39"/>
  <c r="AP49" i="39"/>
  <c r="AP51" i="39"/>
  <c r="AP121" i="40"/>
  <c r="AP133" i="40"/>
  <c r="AP137" i="40"/>
  <c r="AP139" i="40"/>
  <c r="AP153" i="40"/>
  <c r="AP155" i="40"/>
  <c r="AP161" i="40"/>
  <c r="AP163" i="40"/>
  <c r="AP171" i="40"/>
  <c r="AP173" i="40"/>
  <c r="AP111" i="40"/>
  <c r="AP79" i="40"/>
  <c r="AP85" i="40"/>
  <c r="AP91" i="40"/>
  <c r="AP93" i="40"/>
  <c r="AP97" i="40"/>
  <c r="AP107" i="40"/>
  <c r="AP21" i="40"/>
  <c r="AP33" i="40"/>
  <c r="AP43" i="40"/>
  <c r="AP53" i="40"/>
  <c r="AP57" i="40"/>
  <c r="AP59" i="40"/>
  <c r="AP61" i="40"/>
  <c r="AP65" i="40"/>
  <c r="AP69" i="40"/>
  <c r="AP43" i="41"/>
  <c r="AP19" i="41"/>
  <c r="AP23" i="41"/>
  <c r="AP25" i="41"/>
  <c r="AP31" i="41"/>
  <c r="AP33" i="41"/>
  <c r="AP35" i="41"/>
  <c r="AP39" i="41"/>
  <c r="AP17" i="41"/>
  <c r="U68" i="41"/>
  <c r="U58" i="39"/>
  <c r="U50" i="38"/>
  <c r="U48" i="36"/>
  <c r="U76" i="34"/>
  <c r="U74" i="33"/>
  <c r="U66" i="32"/>
  <c r="U36" i="31"/>
  <c r="U36" i="30"/>
  <c r="U44" i="28"/>
  <c r="U34" i="27"/>
  <c r="AP49" i="35" l="1"/>
  <c r="H14" i="42" s="1"/>
  <c r="AP63" i="41"/>
  <c r="H20" i="42" s="1"/>
  <c r="AP175" i="40"/>
  <c r="H19" i="42" s="1"/>
  <c r="H18" i="42"/>
  <c r="AP53" i="39"/>
  <c r="AP43" i="36"/>
  <c r="AP71" i="34"/>
  <c r="H13" i="42"/>
  <c r="H6" i="42"/>
  <c r="AP39" i="28"/>
  <c r="H7" i="42" s="1"/>
  <c r="H8" i="42"/>
  <c r="AP31" i="30"/>
  <c r="H9" i="42" s="1"/>
  <c r="AP31" i="31"/>
  <c r="H10" i="42" s="1"/>
  <c r="H11" i="42"/>
  <c r="AP61" i="32"/>
  <c r="AP69" i="33"/>
  <c r="H12" i="42"/>
  <c r="H15" i="42"/>
  <c r="AP33" i="37"/>
  <c r="H16" i="42"/>
  <c r="H17" i="42"/>
  <c r="AP45" i="38"/>
  <c r="AL33" i="40"/>
  <c r="AK33" i="40" s="1"/>
  <c r="AJ33" i="40"/>
  <c r="AY33" i="40"/>
  <c r="AX33" i="40"/>
  <c r="AV33" i="40"/>
  <c r="AU33" i="40"/>
  <c r="AT33" i="40"/>
  <c r="AR33" i="40"/>
  <c r="AO33" i="40"/>
  <c r="AM33" i="40"/>
  <c r="A19" i="37"/>
  <c r="A21" i="37" s="1"/>
  <c r="A23" i="37" s="1"/>
  <c r="A25" i="37" s="1"/>
  <c r="A27" i="37" s="1"/>
  <c r="H21" i="42" l="1"/>
  <c r="AQ33" i="40"/>
  <c r="AZ125" i="29"/>
  <c r="AY17" i="29"/>
  <c r="AY125" i="29" s="1"/>
  <c r="AX17" i="29"/>
  <c r="AX125" i="29" s="1"/>
  <c r="AV125" i="29"/>
  <c r="AU17" i="29"/>
  <c r="AU125" i="29" s="1"/>
  <c r="AT17" i="29"/>
  <c r="AT125" i="29" s="1"/>
  <c r="AS125" i="29"/>
  <c r="AR125" i="29"/>
  <c r="AO17" i="29"/>
  <c r="AO125" i="29" s="1"/>
  <c r="AN125" i="29"/>
  <c r="AM17" i="29"/>
  <c r="AM125" i="29" s="1"/>
  <c r="AL17" i="29"/>
  <c r="AL125" i="29" s="1"/>
  <c r="AJ17" i="29"/>
  <c r="AJ125" i="29" s="1"/>
  <c r="AY21" i="40"/>
  <c r="AY43" i="40"/>
  <c r="AY53" i="40"/>
  <c r="AY57" i="40"/>
  <c r="AY59" i="40"/>
  <c r="AY61" i="40"/>
  <c r="AY65" i="40"/>
  <c r="AY69" i="40"/>
  <c r="AX21" i="40"/>
  <c r="AX43" i="40"/>
  <c r="AX53" i="40"/>
  <c r="AX57" i="40"/>
  <c r="AX59" i="40"/>
  <c r="AX61" i="40"/>
  <c r="AX65" i="40"/>
  <c r="AX69" i="40"/>
  <c r="AV21" i="40"/>
  <c r="AV43" i="40"/>
  <c r="AV53" i="40"/>
  <c r="AV57" i="40"/>
  <c r="AV59" i="40"/>
  <c r="AV61" i="40"/>
  <c r="AV65" i="40"/>
  <c r="AV69" i="40"/>
  <c r="AU21" i="40"/>
  <c r="AU43" i="40"/>
  <c r="AU53" i="40"/>
  <c r="AU57" i="40"/>
  <c r="AU59" i="40"/>
  <c r="AU61" i="40"/>
  <c r="AU65" i="40"/>
  <c r="AU69" i="40"/>
  <c r="AT21" i="40"/>
  <c r="AT43" i="40"/>
  <c r="AT53" i="40"/>
  <c r="AT57" i="40"/>
  <c r="AT59" i="40"/>
  <c r="AT61" i="40"/>
  <c r="AT65" i="40"/>
  <c r="AT69" i="40"/>
  <c r="AR21" i="40"/>
  <c r="AR43" i="40"/>
  <c r="AR53" i="40"/>
  <c r="AR57" i="40"/>
  <c r="AR59" i="40"/>
  <c r="AR61" i="40"/>
  <c r="AR65" i="40"/>
  <c r="AR69" i="40"/>
  <c r="AO21" i="40"/>
  <c r="AO43" i="40"/>
  <c r="AO53" i="40"/>
  <c r="AO57" i="40"/>
  <c r="AO59" i="40"/>
  <c r="AO61" i="40"/>
  <c r="AO65" i="40"/>
  <c r="AO69" i="40"/>
  <c r="AM21" i="40"/>
  <c r="AM43" i="40"/>
  <c r="AM53" i="40"/>
  <c r="AM57" i="40"/>
  <c r="AM59" i="40"/>
  <c r="AM61" i="40"/>
  <c r="AM65" i="40"/>
  <c r="AM69" i="40"/>
  <c r="AL21" i="40"/>
  <c r="AK21" i="40" s="1"/>
  <c r="AL43" i="40"/>
  <c r="AK43" i="40" s="1"/>
  <c r="AL53" i="40"/>
  <c r="AK53" i="40" s="1"/>
  <c r="AL57" i="40"/>
  <c r="AK57" i="40" s="1"/>
  <c r="AL59" i="40"/>
  <c r="AK59" i="40" s="1"/>
  <c r="AL61" i="40"/>
  <c r="AK61" i="40" s="1"/>
  <c r="AL65" i="40"/>
  <c r="AK65" i="40" s="1"/>
  <c r="AL69" i="40"/>
  <c r="AK69" i="40" s="1"/>
  <c r="AJ21" i="40"/>
  <c r="AJ43" i="40"/>
  <c r="AJ53" i="40"/>
  <c r="AJ57" i="40"/>
  <c r="AJ59" i="40"/>
  <c r="AJ61" i="40"/>
  <c r="AJ65" i="40"/>
  <c r="AJ69" i="40"/>
  <c r="AY79" i="40"/>
  <c r="AY85" i="40"/>
  <c r="AY91" i="40"/>
  <c r="AY93" i="40"/>
  <c r="AY97" i="40"/>
  <c r="AY107" i="40"/>
  <c r="AX79" i="40"/>
  <c r="AX85" i="40"/>
  <c r="AX91" i="40"/>
  <c r="AX93" i="40"/>
  <c r="AX97" i="40"/>
  <c r="AX107" i="40"/>
  <c r="AV79" i="40"/>
  <c r="AV85" i="40"/>
  <c r="AV91" i="40"/>
  <c r="AV93" i="40"/>
  <c r="AV97" i="40"/>
  <c r="AV107" i="40"/>
  <c r="AU79" i="40"/>
  <c r="AU85" i="40"/>
  <c r="AU91" i="40"/>
  <c r="AU93" i="40"/>
  <c r="AU97" i="40"/>
  <c r="AU107" i="40"/>
  <c r="AT79" i="40"/>
  <c r="AT85" i="40"/>
  <c r="AT91" i="40"/>
  <c r="AT93" i="40"/>
  <c r="AT97" i="40"/>
  <c r="AT107" i="40"/>
  <c r="AR79" i="40"/>
  <c r="AR85" i="40"/>
  <c r="AR91" i="40"/>
  <c r="AR93" i="40"/>
  <c r="AR97" i="40"/>
  <c r="AR107" i="40"/>
  <c r="AO79" i="40"/>
  <c r="AO85" i="40"/>
  <c r="AO91" i="40"/>
  <c r="AO93" i="40"/>
  <c r="AO97" i="40"/>
  <c r="AO107" i="40"/>
  <c r="AM79" i="40"/>
  <c r="AM85" i="40"/>
  <c r="AM91" i="40"/>
  <c r="AM93" i="40"/>
  <c r="AM97" i="40"/>
  <c r="AM107" i="40"/>
  <c r="AL79" i="40"/>
  <c r="AK79" i="40" s="1"/>
  <c r="AL85" i="40"/>
  <c r="AK85" i="40" s="1"/>
  <c r="AL91" i="40"/>
  <c r="AK91" i="40" s="1"/>
  <c r="AL93" i="40"/>
  <c r="AK93" i="40" s="1"/>
  <c r="AL97" i="40"/>
  <c r="AK97" i="40" s="1"/>
  <c r="AL107" i="40"/>
  <c r="AK107" i="40" s="1"/>
  <c r="AJ79" i="40"/>
  <c r="AJ85" i="40"/>
  <c r="AJ91" i="40"/>
  <c r="AJ93" i="40"/>
  <c r="AJ97" i="40"/>
  <c r="AJ107" i="40"/>
  <c r="AY121" i="40"/>
  <c r="AY133" i="40"/>
  <c r="AY137" i="40"/>
  <c r="AY139" i="40"/>
  <c r="AY153" i="40"/>
  <c r="AY155" i="40"/>
  <c r="AY161" i="40"/>
  <c r="AY163" i="40"/>
  <c r="AY171" i="40"/>
  <c r="AY173" i="40"/>
  <c r="AX121" i="40"/>
  <c r="AX133" i="40"/>
  <c r="AX137" i="40"/>
  <c r="AX139" i="40"/>
  <c r="AX153" i="40"/>
  <c r="AX155" i="40"/>
  <c r="AX161" i="40"/>
  <c r="AX163" i="40"/>
  <c r="AX171" i="40"/>
  <c r="AX173" i="40"/>
  <c r="AV121" i="40"/>
  <c r="AV133" i="40"/>
  <c r="AV137" i="40"/>
  <c r="AV139" i="40"/>
  <c r="AV153" i="40"/>
  <c r="AV155" i="40"/>
  <c r="AV161" i="40"/>
  <c r="AV163" i="40"/>
  <c r="AV171" i="40"/>
  <c r="AV173" i="40"/>
  <c r="AU121" i="40"/>
  <c r="AU133" i="40"/>
  <c r="AU137" i="40"/>
  <c r="AU139" i="40"/>
  <c r="AU153" i="40"/>
  <c r="AU155" i="40"/>
  <c r="AU161" i="40"/>
  <c r="AU163" i="40"/>
  <c r="AU171" i="40"/>
  <c r="AU173" i="40"/>
  <c r="AT121" i="40"/>
  <c r="AT133" i="40"/>
  <c r="AT137" i="40"/>
  <c r="AT139" i="40"/>
  <c r="AT153" i="40"/>
  <c r="AT155" i="40"/>
  <c r="AT161" i="40"/>
  <c r="AT163" i="40"/>
  <c r="AT171" i="40"/>
  <c r="AT173" i="40"/>
  <c r="AR121" i="40"/>
  <c r="AR133" i="40"/>
  <c r="AR137" i="40"/>
  <c r="AR139" i="40"/>
  <c r="AR153" i="40"/>
  <c r="AR155" i="40"/>
  <c r="AR161" i="40"/>
  <c r="AR163" i="40"/>
  <c r="AR171" i="40"/>
  <c r="AR173" i="40"/>
  <c r="AO121" i="40"/>
  <c r="AO133" i="40"/>
  <c r="AO137" i="40"/>
  <c r="AO139" i="40"/>
  <c r="AO153" i="40"/>
  <c r="AO155" i="40"/>
  <c r="AO161" i="40"/>
  <c r="AO163" i="40"/>
  <c r="AO171" i="40"/>
  <c r="AM121" i="40"/>
  <c r="AM133" i="40"/>
  <c r="AM137" i="40"/>
  <c r="AM139" i="40"/>
  <c r="AM153" i="40"/>
  <c r="AM155" i="40"/>
  <c r="AM161" i="40"/>
  <c r="AM163" i="40"/>
  <c r="AM171" i="40"/>
  <c r="AM173" i="40"/>
  <c r="AL121" i="40"/>
  <c r="AK121" i="40" s="1"/>
  <c r="AL133" i="40"/>
  <c r="AK133" i="40" s="1"/>
  <c r="AL137" i="40"/>
  <c r="AK137" i="40" s="1"/>
  <c r="AL139" i="40"/>
  <c r="AK139" i="40" s="1"/>
  <c r="AL153" i="40"/>
  <c r="AK153" i="40" s="1"/>
  <c r="AL155" i="40"/>
  <c r="AK155" i="40" s="1"/>
  <c r="AL161" i="40"/>
  <c r="AK161" i="40" s="1"/>
  <c r="AL163" i="40"/>
  <c r="AK163" i="40" s="1"/>
  <c r="AL171" i="40"/>
  <c r="AK171" i="40" s="1"/>
  <c r="AL173" i="40"/>
  <c r="AK173" i="40" s="1"/>
  <c r="AJ121" i="40"/>
  <c r="AJ133" i="40"/>
  <c r="AJ137" i="40"/>
  <c r="AJ139" i="40"/>
  <c r="AJ153" i="40"/>
  <c r="AJ155" i="40"/>
  <c r="AJ161" i="40"/>
  <c r="AJ163" i="40"/>
  <c r="AJ171" i="40"/>
  <c r="AJ173" i="40"/>
  <c r="AY111" i="40"/>
  <c r="AX111" i="40"/>
  <c r="AV111" i="40"/>
  <c r="AU111" i="40"/>
  <c r="AT111" i="40"/>
  <c r="AR111" i="40"/>
  <c r="AO111" i="40"/>
  <c r="AM111" i="40"/>
  <c r="AL111" i="40"/>
  <c r="AK111" i="40" s="1"/>
  <c r="AJ111" i="40"/>
  <c r="AY41" i="39"/>
  <c r="AY43" i="39"/>
  <c r="AY45" i="39"/>
  <c r="AY47" i="39"/>
  <c r="AY49" i="39"/>
  <c r="AY51" i="39"/>
  <c r="AX41" i="39"/>
  <c r="AX43" i="39"/>
  <c r="AX45" i="39"/>
  <c r="AX47" i="39"/>
  <c r="AX49" i="39"/>
  <c r="AX51" i="39"/>
  <c r="AV41" i="39"/>
  <c r="AV43" i="39"/>
  <c r="AV45" i="39"/>
  <c r="AV47" i="39"/>
  <c r="AV49" i="39"/>
  <c r="AV51" i="39"/>
  <c r="AU41" i="39"/>
  <c r="AU43" i="39"/>
  <c r="AU45" i="39"/>
  <c r="AU47" i="39"/>
  <c r="AU49" i="39"/>
  <c r="AU51" i="39"/>
  <c r="AT41" i="39"/>
  <c r="AT43" i="39"/>
  <c r="AT45" i="39"/>
  <c r="AT47" i="39"/>
  <c r="AT49" i="39"/>
  <c r="AT51" i="39"/>
  <c r="AR41" i="39"/>
  <c r="AR43" i="39"/>
  <c r="AR45" i="39"/>
  <c r="AR47" i="39"/>
  <c r="AR49" i="39"/>
  <c r="AR51" i="39"/>
  <c r="AO41" i="39"/>
  <c r="AO43" i="39"/>
  <c r="AO45" i="39"/>
  <c r="AO47" i="39"/>
  <c r="AO49" i="39"/>
  <c r="AO51" i="39"/>
  <c r="AM41" i="39"/>
  <c r="AM43" i="39"/>
  <c r="AM45" i="39"/>
  <c r="AM47" i="39"/>
  <c r="AM49" i="39"/>
  <c r="AM51" i="39"/>
  <c r="AL41" i="39"/>
  <c r="AK41" i="39" s="1"/>
  <c r="AL43" i="39"/>
  <c r="AK43" i="39" s="1"/>
  <c r="AL45" i="39"/>
  <c r="AK45" i="39" s="1"/>
  <c r="AL47" i="39"/>
  <c r="AK47" i="39" s="1"/>
  <c r="AL49" i="39"/>
  <c r="AK49" i="39" s="1"/>
  <c r="AL51" i="39"/>
  <c r="AK51" i="39" s="1"/>
  <c r="AJ41" i="39"/>
  <c r="AJ43" i="39"/>
  <c r="AJ45" i="39"/>
  <c r="AJ47" i="39"/>
  <c r="AJ49" i="39"/>
  <c r="AJ51" i="39"/>
  <c r="AY19" i="39"/>
  <c r="AY23" i="39"/>
  <c r="AY27" i="39"/>
  <c r="AY29" i="39"/>
  <c r="AY31" i="39"/>
  <c r="AY35" i="39"/>
  <c r="AY37" i="39"/>
  <c r="AY39" i="39"/>
  <c r="AX19" i="39"/>
  <c r="AX23" i="39"/>
  <c r="AX27" i="39"/>
  <c r="AX29" i="39"/>
  <c r="AX31" i="39"/>
  <c r="AX35" i="39"/>
  <c r="AX37" i="39"/>
  <c r="AX39" i="39"/>
  <c r="AV19" i="39"/>
  <c r="AV23" i="39"/>
  <c r="AV27" i="39"/>
  <c r="AV29" i="39"/>
  <c r="AV31" i="39"/>
  <c r="AV35" i="39"/>
  <c r="AV37" i="39"/>
  <c r="AV39" i="39"/>
  <c r="AU19" i="39"/>
  <c r="AU23" i="39"/>
  <c r="AU27" i="39"/>
  <c r="AU29" i="39"/>
  <c r="AU31" i="39"/>
  <c r="AU35" i="39"/>
  <c r="AU37" i="39"/>
  <c r="AU39" i="39"/>
  <c r="AT19" i="39"/>
  <c r="AT23" i="39"/>
  <c r="AT27" i="39"/>
  <c r="AT29" i="39"/>
  <c r="AT31" i="39"/>
  <c r="AT35" i="39"/>
  <c r="AT37" i="39"/>
  <c r="AT39" i="39"/>
  <c r="AR19" i="39"/>
  <c r="AR23" i="39"/>
  <c r="AR27" i="39"/>
  <c r="AR29" i="39"/>
  <c r="AR31" i="39"/>
  <c r="AR35" i="39"/>
  <c r="AR37" i="39"/>
  <c r="AR39" i="39"/>
  <c r="AO19" i="39"/>
  <c r="AO23" i="39"/>
  <c r="AO27" i="39"/>
  <c r="AO29" i="39"/>
  <c r="AO31" i="39"/>
  <c r="AO35" i="39"/>
  <c r="AO37" i="39"/>
  <c r="AO39" i="39"/>
  <c r="AM19" i="39"/>
  <c r="AM23" i="39"/>
  <c r="AM27" i="39"/>
  <c r="AM29" i="39"/>
  <c r="AM31" i="39"/>
  <c r="AM37" i="39"/>
  <c r="AM39" i="39"/>
  <c r="AL19" i="39"/>
  <c r="AK19" i="39" s="1"/>
  <c r="AL23" i="39"/>
  <c r="AK23" i="39" s="1"/>
  <c r="AL27" i="39"/>
  <c r="AK27" i="39" s="1"/>
  <c r="AL29" i="39"/>
  <c r="AK29" i="39" s="1"/>
  <c r="AL35" i="39"/>
  <c r="AK35" i="39" s="1"/>
  <c r="AL37" i="39"/>
  <c r="AK37" i="39" s="1"/>
  <c r="AL39" i="39"/>
  <c r="AK39" i="39" s="1"/>
  <c r="AJ19" i="39"/>
  <c r="AJ23" i="39"/>
  <c r="AJ27" i="39"/>
  <c r="AJ29" i="39"/>
  <c r="AJ31" i="39"/>
  <c r="AJ35" i="39"/>
  <c r="AJ37" i="39"/>
  <c r="AJ39" i="39"/>
  <c r="AY17" i="39"/>
  <c r="AX17" i="39"/>
  <c r="AU17" i="39"/>
  <c r="AT17" i="39"/>
  <c r="AR17" i="39"/>
  <c r="AO17" i="39"/>
  <c r="AM17" i="39"/>
  <c r="AL17" i="39"/>
  <c r="AJ17" i="39"/>
  <c r="AY31" i="35"/>
  <c r="AX31" i="35"/>
  <c r="AV31" i="35"/>
  <c r="AU31" i="35"/>
  <c r="AT31" i="35"/>
  <c r="AR31" i="35"/>
  <c r="AO31" i="35"/>
  <c r="AL31" i="35"/>
  <c r="AK31" i="35" s="1"/>
  <c r="AJ31" i="35"/>
  <c r="AQ61" i="40" l="1"/>
  <c r="AY49" i="35"/>
  <c r="Q14" i="42" s="1"/>
  <c r="AT49" i="35"/>
  <c r="L14" i="42" s="1"/>
  <c r="AV49" i="35"/>
  <c r="N14" i="42" s="1"/>
  <c r="AR49" i="35"/>
  <c r="J14" i="42" s="1"/>
  <c r="AS49" i="35"/>
  <c r="K14" i="42" s="1"/>
  <c r="AU49" i="35"/>
  <c r="M14" i="42" s="1"/>
  <c r="AX49" i="35"/>
  <c r="P14" i="42" s="1"/>
  <c r="AZ49" i="35"/>
  <c r="R14" i="42" s="1"/>
  <c r="AQ155" i="40"/>
  <c r="AO49" i="35"/>
  <c r="G14" i="42" s="1"/>
  <c r="AL49" i="35"/>
  <c r="D14" i="42" s="1"/>
  <c r="AJ49" i="35"/>
  <c r="AQ19" i="39"/>
  <c r="AQ23" i="39"/>
  <c r="AJ175" i="40"/>
  <c r="AS175" i="40"/>
  <c r="K19" i="42" s="1"/>
  <c r="AU175" i="40"/>
  <c r="M19" i="42" s="1"/>
  <c r="AX175" i="40"/>
  <c r="P19" i="42" s="1"/>
  <c r="AZ175" i="40"/>
  <c r="R19" i="42" s="1"/>
  <c r="AM175" i="40"/>
  <c r="E19" i="42" s="1"/>
  <c r="AO175" i="40"/>
  <c r="G19" i="42" s="1"/>
  <c r="AR175" i="40"/>
  <c r="J19" i="42" s="1"/>
  <c r="AT175" i="40"/>
  <c r="L19" i="42" s="1"/>
  <c r="AV175" i="40"/>
  <c r="N19" i="42" s="1"/>
  <c r="AY175" i="40"/>
  <c r="Q19" i="42" s="1"/>
  <c r="AL175" i="40"/>
  <c r="D19" i="42" s="1"/>
  <c r="AN175" i="40"/>
  <c r="F19" i="42" s="1"/>
  <c r="E18" i="42"/>
  <c r="AM53" i="39"/>
  <c r="D18" i="42"/>
  <c r="AL53" i="39"/>
  <c r="F18" i="42"/>
  <c r="AN53" i="39"/>
  <c r="J18" i="42"/>
  <c r="AR53" i="39"/>
  <c r="L18" i="42"/>
  <c r="AT53" i="39"/>
  <c r="N18" i="42"/>
  <c r="AV53" i="39"/>
  <c r="Q18" i="42"/>
  <c r="AY53" i="39"/>
  <c r="B18" i="42"/>
  <c r="AJ53" i="39"/>
  <c r="G18" i="42"/>
  <c r="AO53" i="39"/>
  <c r="K18" i="42"/>
  <c r="AS53" i="39"/>
  <c r="M18" i="42"/>
  <c r="AU53" i="39"/>
  <c r="P18" i="42"/>
  <c r="AX53" i="39"/>
  <c r="R18" i="42"/>
  <c r="AZ53" i="39"/>
  <c r="L8" i="42"/>
  <c r="K8" i="42"/>
  <c r="R8" i="42"/>
  <c r="E8" i="42"/>
  <c r="M8" i="42"/>
  <c r="N8" i="42"/>
  <c r="G8" i="42"/>
  <c r="P8" i="42"/>
  <c r="J8" i="42"/>
  <c r="Q8" i="42"/>
  <c r="D8" i="42"/>
  <c r="F8" i="42"/>
  <c r="E14" i="42"/>
  <c r="AQ137" i="40"/>
  <c r="AQ43" i="40"/>
  <c r="AK17" i="39"/>
  <c r="AQ31" i="35"/>
  <c r="F14" i="42"/>
  <c r="C8" i="42"/>
  <c r="AQ21" i="40"/>
  <c r="AQ121" i="40"/>
  <c r="AQ133" i="40"/>
  <c r="AQ163" i="40"/>
  <c r="AQ93" i="40"/>
  <c r="AQ59" i="40"/>
  <c r="AQ35" i="39"/>
  <c r="AQ47" i="39"/>
  <c r="AQ17" i="39"/>
  <c r="AQ27" i="39"/>
  <c r="AQ17" i="29"/>
  <c r="AQ125" i="29" s="1"/>
  <c r="AQ111" i="40"/>
  <c r="AQ53" i="40"/>
  <c r="AQ65" i="40"/>
  <c r="AQ69" i="40"/>
  <c r="AQ57" i="40"/>
  <c r="AQ97" i="40"/>
  <c r="AQ79" i="40"/>
  <c r="AQ85" i="40"/>
  <c r="AQ91" i="40"/>
  <c r="AQ107" i="40"/>
  <c r="AQ139" i="40"/>
  <c r="AQ171" i="40"/>
  <c r="AQ153" i="40"/>
  <c r="AQ161" i="40"/>
  <c r="AQ173" i="40"/>
  <c r="AQ45" i="39"/>
  <c r="AQ41" i="39"/>
  <c r="AQ43" i="39"/>
  <c r="AQ51" i="39"/>
  <c r="AQ49" i="39"/>
  <c r="AQ31" i="39"/>
  <c r="AQ29" i="39"/>
  <c r="AQ37" i="39"/>
  <c r="AQ39" i="39"/>
  <c r="AY23" i="34"/>
  <c r="AY41" i="34"/>
  <c r="AY53" i="34"/>
  <c r="AY55" i="34"/>
  <c r="AX23" i="34"/>
  <c r="AX41" i="34"/>
  <c r="AX53" i="34"/>
  <c r="AX55" i="34"/>
  <c r="AV23" i="34"/>
  <c r="AV41" i="34"/>
  <c r="AV53" i="34"/>
  <c r="AV55" i="34"/>
  <c r="AU23" i="34"/>
  <c r="AU41" i="34"/>
  <c r="AU53" i="34"/>
  <c r="AU55" i="34"/>
  <c r="AT23" i="34"/>
  <c r="AT41" i="34"/>
  <c r="AT53" i="34"/>
  <c r="AT55" i="34"/>
  <c r="AR23" i="34"/>
  <c r="AR41" i="34"/>
  <c r="AR53" i="34"/>
  <c r="AR55" i="34"/>
  <c r="AO23" i="34"/>
  <c r="AO41" i="34"/>
  <c r="AO53" i="34"/>
  <c r="AO55" i="34"/>
  <c r="AM23" i="34"/>
  <c r="AM41" i="34"/>
  <c r="AM53" i="34"/>
  <c r="AM55" i="34"/>
  <c r="AL23" i="34"/>
  <c r="AK23" i="34" s="1"/>
  <c r="AL41" i="34"/>
  <c r="AK41" i="34" s="1"/>
  <c r="AL53" i="34"/>
  <c r="AK53" i="34" s="1"/>
  <c r="AL55" i="34"/>
  <c r="AK55" i="34" s="1"/>
  <c r="AJ23" i="34"/>
  <c r="AJ41" i="34"/>
  <c r="AJ53" i="34"/>
  <c r="AJ55" i="34"/>
  <c r="AQ49" i="35" l="1"/>
  <c r="I14" i="42" s="1"/>
  <c r="AQ53" i="34"/>
  <c r="AQ41" i="34"/>
  <c r="AQ23" i="34"/>
  <c r="AQ175" i="40"/>
  <c r="I19" i="42" s="1"/>
  <c r="AK175" i="40"/>
  <c r="C19" i="42" s="1"/>
  <c r="C18" i="42"/>
  <c r="AK53" i="39"/>
  <c r="I18" i="42"/>
  <c r="AQ53" i="39"/>
  <c r="AK49" i="35"/>
  <c r="C14" i="42" s="1"/>
  <c r="B13" i="42"/>
  <c r="AO71" i="34"/>
  <c r="G13" i="42"/>
  <c r="K13" i="42"/>
  <c r="AS71" i="34"/>
  <c r="M13" i="42"/>
  <c r="AU71" i="34"/>
  <c r="P13" i="42"/>
  <c r="AX71" i="34"/>
  <c r="R13" i="42"/>
  <c r="AZ71" i="34"/>
  <c r="AM71" i="34"/>
  <c r="E13" i="42"/>
  <c r="D13" i="42"/>
  <c r="AL71" i="34"/>
  <c r="AR71" i="34"/>
  <c r="J13" i="42"/>
  <c r="AT71" i="34"/>
  <c r="L13" i="42"/>
  <c r="AV71" i="34"/>
  <c r="N13" i="42"/>
  <c r="AY71" i="34"/>
  <c r="Q13" i="42"/>
  <c r="F13" i="42"/>
  <c r="AN71" i="34"/>
  <c r="B12" i="42"/>
  <c r="AM69" i="33"/>
  <c r="E12" i="42"/>
  <c r="AO69" i="33"/>
  <c r="G12" i="42"/>
  <c r="K12" i="42"/>
  <c r="AS69" i="33"/>
  <c r="M12" i="42"/>
  <c r="AU69" i="33"/>
  <c r="P12" i="42"/>
  <c r="AX69" i="33"/>
  <c r="R12" i="42"/>
  <c r="AZ69" i="33"/>
  <c r="D12" i="42"/>
  <c r="AL69" i="33"/>
  <c r="F12" i="42"/>
  <c r="AN69" i="33"/>
  <c r="AR69" i="33"/>
  <c r="J12" i="42"/>
  <c r="AT69" i="33"/>
  <c r="L12" i="42"/>
  <c r="AV69" i="33"/>
  <c r="N12" i="42"/>
  <c r="AY69" i="33"/>
  <c r="Q12" i="42"/>
  <c r="I8" i="42"/>
  <c r="AQ55" i="34"/>
  <c r="I13" i="42" l="1"/>
  <c r="AQ71" i="34"/>
  <c r="AK71" i="34"/>
  <c r="C13" i="42"/>
  <c r="AK69" i="33"/>
  <c r="C12" i="42"/>
  <c r="I12" i="42"/>
  <c r="AQ69" i="33"/>
  <c r="AY17" i="36"/>
  <c r="AY19" i="36"/>
  <c r="AY21" i="36"/>
  <c r="AY23" i="36"/>
  <c r="AY25" i="36"/>
  <c r="AY31" i="36"/>
  <c r="AY33" i="36"/>
  <c r="AY35" i="36"/>
  <c r="AY41" i="36"/>
  <c r="AX17" i="36"/>
  <c r="AX19" i="36"/>
  <c r="AX21" i="36"/>
  <c r="AX23" i="36"/>
  <c r="AX25" i="36"/>
  <c r="AX31" i="36"/>
  <c r="AX33" i="36"/>
  <c r="AX35" i="36"/>
  <c r="AX41" i="36"/>
  <c r="AV17" i="36"/>
  <c r="AV19" i="36"/>
  <c r="AV21" i="36"/>
  <c r="AV23" i="36"/>
  <c r="AV25" i="36"/>
  <c r="AV31" i="36"/>
  <c r="AV33" i="36"/>
  <c r="AV35" i="36"/>
  <c r="AV41" i="36"/>
  <c r="AU17" i="36"/>
  <c r="AU19" i="36"/>
  <c r="AU21" i="36"/>
  <c r="AU23" i="36"/>
  <c r="AU25" i="36"/>
  <c r="AU31" i="36"/>
  <c r="AU33" i="36"/>
  <c r="AU35" i="36"/>
  <c r="AU41" i="36"/>
  <c r="AT17" i="36"/>
  <c r="AT19" i="36"/>
  <c r="AT21" i="36"/>
  <c r="AT23" i="36"/>
  <c r="AT25" i="36"/>
  <c r="AT31" i="36"/>
  <c r="AT33" i="36"/>
  <c r="AT35" i="36"/>
  <c r="AT41" i="36"/>
  <c r="AR17" i="36"/>
  <c r="AR19" i="36"/>
  <c r="AR21" i="36"/>
  <c r="AR23" i="36"/>
  <c r="AR25" i="36"/>
  <c r="AR31" i="36"/>
  <c r="AR33" i="36"/>
  <c r="AR35" i="36"/>
  <c r="AR41" i="36"/>
  <c r="AO17" i="36"/>
  <c r="AO19" i="36"/>
  <c r="AO21" i="36"/>
  <c r="AO23" i="36"/>
  <c r="AO25" i="36"/>
  <c r="AO31" i="36"/>
  <c r="AO33" i="36"/>
  <c r="AO35" i="36"/>
  <c r="AO41" i="36"/>
  <c r="AM17" i="36"/>
  <c r="AM19" i="36"/>
  <c r="AM21" i="36"/>
  <c r="AM23" i="36"/>
  <c r="AM25" i="36"/>
  <c r="AM31" i="36"/>
  <c r="AM33" i="36"/>
  <c r="AM35" i="36"/>
  <c r="AM41" i="36"/>
  <c r="AL17" i="36"/>
  <c r="AK17" i="36" s="1"/>
  <c r="AL19" i="36"/>
  <c r="AK19" i="36" s="1"/>
  <c r="AL21" i="36"/>
  <c r="AK21" i="36" s="1"/>
  <c r="AL23" i="36"/>
  <c r="AK23" i="36" s="1"/>
  <c r="AL25" i="36"/>
  <c r="AK25" i="36" s="1"/>
  <c r="AL31" i="36"/>
  <c r="AK31" i="36" s="1"/>
  <c r="AL33" i="36"/>
  <c r="AK33" i="36" s="1"/>
  <c r="AL35" i="36"/>
  <c r="AK35" i="36" s="1"/>
  <c r="AL41" i="36"/>
  <c r="AK41" i="36" s="1"/>
  <c r="AJ17" i="36"/>
  <c r="AJ19" i="36"/>
  <c r="AJ21" i="36"/>
  <c r="AJ23" i="36"/>
  <c r="AJ31" i="36"/>
  <c r="AJ33" i="36"/>
  <c r="AJ35" i="36"/>
  <c r="AJ41" i="36"/>
  <c r="AY17" i="37"/>
  <c r="AY19" i="37"/>
  <c r="AY21" i="37"/>
  <c r="AY23" i="37"/>
  <c r="AY25" i="37"/>
  <c r="AY27" i="37"/>
  <c r="AX17" i="37"/>
  <c r="AX19" i="37"/>
  <c r="AX21" i="37"/>
  <c r="AX23" i="37"/>
  <c r="AX25" i="37"/>
  <c r="AX27" i="37"/>
  <c r="AV19" i="37"/>
  <c r="AV21" i="37"/>
  <c r="AV23" i="37"/>
  <c r="AV25" i="37"/>
  <c r="AV27" i="37"/>
  <c r="AU17" i="37"/>
  <c r="AU19" i="37"/>
  <c r="AU21" i="37"/>
  <c r="AU23" i="37"/>
  <c r="AU25" i="37"/>
  <c r="AU27" i="37"/>
  <c r="AT17" i="37"/>
  <c r="AT19" i="37"/>
  <c r="AT21" i="37"/>
  <c r="AT23" i="37"/>
  <c r="AT25" i="37"/>
  <c r="AT27" i="37"/>
  <c r="AR17" i="37"/>
  <c r="AR19" i="37"/>
  <c r="AR21" i="37"/>
  <c r="AR23" i="37"/>
  <c r="AR25" i="37"/>
  <c r="AR27" i="37"/>
  <c r="AO17" i="37"/>
  <c r="AO19" i="37"/>
  <c r="AO21" i="37"/>
  <c r="AO23" i="37"/>
  <c r="AO25" i="37"/>
  <c r="AO27" i="37"/>
  <c r="AM17" i="37"/>
  <c r="AM19" i="37"/>
  <c r="AM21" i="37"/>
  <c r="AM23" i="37"/>
  <c r="AM25" i="37"/>
  <c r="AM27" i="37"/>
  <c r="AL17" i="37"/>
  <c r="AK17" i="37" s="1"/>
  <c r="AL19" i="37"/>
  <c r="AK19" i="37" s="1"/>
  <c r="AL21" i="37"/>
  <c r="AK21" i="37" s="1"/>
  <c r="AL23" i="37"/>
  <c r="AK23" i="37" s="1"/>
  <c r="AL25" i="37"/>
  <c r="AK25" i="37" s="1"/>
  <c r="AL27" i="37"/>
  <c r="AK27" i="37" s="1"/>
  <c r="AJ17" i="37"/>
  <c r="AJ19" i="37"/>
  <c r="AJ21" i="37"/>
  <c r="AJ23" i="37"/>
  <c r="AJ25" i="37"/>
  <c r="AJ27" i="37"/>
  <c r="AY19" i="38"/>
  <c r="AY23" i="38"/>
  <c r="AY29" i="38"/>
  <c r="AY31" i="38"/>
  <c r="AY33" i="38"/>
  <c r="AY35" i="38"/>
  <c r="AY39" i="38"/>
  <c r="AY41" i="38"/>
  <c r="AY43" i="38"/>
  <c r="AX19" i="38"/>
  <c r="AX23" i="38"/>
  <c r="AX29" i="38"/>
  <c r="AX31" i="38"/>
  <c r="AX33" i="38"/>
  <c r="AX35" i="38"/>
  <c r="AX39" i="38"/>
  <c r="AX41" i="38"/>
  <c r="AX43" i="38"/>
  <c r="AV19" i="38"/>
  <c r="AV23" i="38"/>
  <c r="AV29" i="38"/>
  <c r="AV31" i="38"/>
  <c r="AV33" i="38"/>
  <c r="AV35" i="38"/>
  <c r="AV39" i="38"/>
  <c r="AV41" i="38"/>
  <c r="AV43" i="38"/>
  <c r="AU19" i="38"/>
  <c r="AU23" i="38"/>
  <c r="AU29" i="38"/>
  <c r="AU31" i="38"/>
  <c r="AU33" i="38"/>
  <c r="AU35" i="38"/>
  <c r="AU39" i="38"/>
  <c r="AU41" i="38"/>
  <c r="AU43" i="38"/>
  <c r="AT19" i="38"/>
  <c r="AT23" i="38"/>
  <c r="AT29" i="38"/>
  <c r="AT31" i="38"/>
  <c r="AT33" i="38"/>
  <c r="AT35" i="38"/>
  <c r="AT39" i="38"/>
  <c r="AT41" i="38"/>
  <c r="AT43" i="38"/>
  <c r="AR19" i="38"/>
  <c r="AR23" i="38"/>
  <c r="AR29" i="38"/>
  <c r="AR31" i="38"/>
  <c r="AR33" i="38"/>
  <c r="AR35" i="38"/>
  <c r="AR39" i="38"/>
  <c r="AR41" i="38"/>
  <c r="AR43" i="38"/>
  <c r="AO19" i="38"/>
  <c r="AO23" i="38"/>
  <c r="AO29" i="38"/>
  <c r="AO31" i="38"/>
  <c r="AO33" i="38"/>
  <c r="AO35" i="38"/>
  <c r="AO39" i="38"/>
  <c r="AO41" i="38"/>
  <c r="AO43" i="38"/>
  <c r="AM19" i="38"/>
  <c r="AM23" i="38"/>
  <c r="AM29" i="38"/>
  <c r="AM31" i="38"/>
  <c r="AM33" i="38"/>
  <c r="AM35" i="38"/>
  <c r="AM39" i="38"/>
  <c r="AM41" i="38"/>
  <c r="AM43" i="38"/>
  <c r="AL19" i="38"/>
  <c r="AK19" i="38" s="1"/>
  <c r="AL23" i="38"/>
  <c r="AL29" i="38"/>
  <c r="AK29" i="38" s="1"/>
  <c r="AL31" i="38"/>
  <c r="AK31" i="38" s="1"/>
  <c r="AL33" i="38"/>
  <c r="AK33" i="38" s="1"/>
  <c r="AL35" i="38"/>
  <c r="AK35" i="38" s="1"/>
  <c r="AL39" i="38"/>
  <c r="AK39" i="38" s="1"/>
  <c r="AL41" i="38"/>
  <c r="AK41" i="38" s="1"/>
  <c r="AL43" i="38"/>
  <c r="AK43" i="38" s="1"/>
  <c r="AJ19" i="38"/>
  <c r="AJ23" i="38"/>
  <c r="AJ29" i="38"/>
  <c r="AJ31" i="38"/>
  <c r="AJ33" i="38"/>
  <c r="AJ35" i="38"/>
  <c r="AJ39" i="38"/>
  <c r="AJ41" i="38"/>
  <c r="AJ43" i="38"/>
  <c r="AY17" i="38"/>
  <c r="AX17" i="38"/>
  <c r="AU17" i="38"/>
  <c r="AT17" i="38"/>
  <c r="AO17" i="38"/>
  <c r="AM17" i="38"/>
  <c r="AL17" i="38"/>
  <c r="AK17" i="38" s="1"/>
  <c r="AJ17" i="38"/>
  <c r="AY43" i="41"/>
  <c r="AX43" i="41"/>
  <c r="AV43" i="41"/>
  <c r="AU43" i="41"/>
  <c r="AT43" i="41"/>
  <c r="AR43" i="41"/>
  <c r="AO43" i="41"/>
  <c r="AM43" i="41"/>
  <c r="AL43" i="41"/>
  <c r="AK43" i="41" s="1"/>
  <c r="AJ43" i="41"/>
  <c r="AY19" i="41"/>
  <c r="AY23" i="41"/>
  <c r="AY25" i="41"/>
  <c r="AY31" i="41"/>
  <c r="AY33" i="41"/>
  <c r="AY35" i="41"/>
  <c r="AY39" i="41"/>
  <c r="AX19" i="41"/>
  <c r="AX23" i="41"/>
  <c r="AX25" i="41"/>
  <c r="AX31" i="41"/>
  <c r="AX33" i="41"/>
  <c r="AX35" i="41"/>
  <c r="AX39" i="41"/>
  <c r="AV19" i="41"/>
  <c r="AV23" i="41"/>
  <c r="AV25" i="41"/>
  <c r="AV31" i="41"/>
  <c r="AV33" i="41"/>
  <c r="AV35" i="41"/>
  <c r="AV39" i="41"/>
  <c r="AU19" i="41"/>
  <c r="AU23" i="41"/>
  <c r="AU25" i="41"/>
  <c r="AU31" i="41"/>
  <c r="AU33" i="41"/>
  <c r="AU35" i="41"/>
  <c r="AU39" i="41"/>
  <c r="AT19" i="41"/>
  <c r="AT23" i="41"/>
  <c r="AT25" i="41"/>
  <c r="AT31" i="41"/>
  <c r="AT33" i="41"/>
  <c r="AT35" i="41"/>
  <c r="AT39" i="41"/>
  <c r="AR19" i="41"/>
  <c r="AR23" i="41"/>
  <c r="AR25" i="41"/>
  <c r="AR31" i="41"/>
  <c r="AR33" i="41"/>
  <c r="AR35" i="41"/>
  <c r="AR39" i="41"/>
  <c r="AO19" i="41"/>
  <c r="AO23" i="41"/>
  <c r="AO25" i="41"/>
  <c r="AO31" i="41"/>
  <c r="AO33" i="41"/>
  <c r="AO35" i="41"/>
  <c r="AO39" i="41"/>
  <c r="AM19" i="41"/>
  <c r="AM23" i="41"/>
  <c r="AM25" i="41"/>
  <c r="AM31" i="41"/>
  <c r="AM33" i="41"/>
  <c r="AM35" i="41"/>
  <c r="AM39" i="41"/>
  <c r="AL19" i="41"/>
  <c r="AK19" i="41" s="1"/>
  <c r="AL23" i="41"/>
  <c r="AK23" i="41" s="1"/>
  <c r="AL25" i="41"/>
  <c r="AK25" i="41" s="1"/>
  <c r="AL31" i="41"/>
  <c r="AK31" i="41" s="1"/>
  <c r="AL33" i="41"/>
  <c r="AK33" i="41" s="1"/>
  <c r="AL35" i="41"/>
  <c r="AK35" i="41" s="1"/>
  <c r="AL39" i="41"/>
  <c r="AK39" i="41" s="1"/>
  <c r="AJ19" i="41"/>
  <c r="AJ23" i="41"/>
  <c r="AJ25" i="41"/>
  <c r="AJ31" i="41"/>
  <c r="AJ33" i="41"/>
  <c r="AJ35" i="41"/>
  <c r="AJ39" i="41"/>
  <c r="AY17" i="41"/>
  <c r="AX17" i="41"/>
  <c r="AU17" i="41"/>
  <c r="AT17" i="41"/>
  <c r="AR17" i="41"/>
  <c r="AO17" i="41"/>
  <c r="AM17" i="41"/>
  <c r="AL17" i="41"/>
  <c r="AK17" i="41" s="1"/>
  <c r="AJ17" i="41"/>
  <c r="D2" i="44" l="1"/>
  <c r="D3" i="44"/>
  <c r="D6" i="44"/>
  <c r="AQ17" i="37"/>
  <c r="AQ19" i="37"/>
  <c r="AJ63" i="41"/>
  <c r="AR63" i="41"/>
  <c r="J20" i="42" s="1"/>
  <c r="AT63" i="41"/>
  <c r="L20" i="42" s="1"/>
  <c r="AV63" i="41"/>
  <c r="N20" i="42" s="1"/>
  <c r="AY63" i="41"/>
  <c r="Q20" i="42" s="1"/>
  <c r="AL63" i="41"/>
  <c r="D20" i="42" s="1"/>
  <c r="AN63" i="41"/>
  <c r="F20" i="42" s="1"/>
  <c r="AM63" i="41"/>
  <c r="E20" i="42" s="1"/>
  <c r="AO63" i="41"/>
  <c r="G20" i="42" s="1"/>
  <c r="AS63" i="41"/>
  <c r="K20" i="42" s="1"/>
  <c r="AU63" i="41"/>
  <c r="M20" i="42" s="1"/>
  <c r="AX63" i="41"/>
  <c r="P20" i="42" s="1"/>
  <c r="AZ63" i="41"/>
  <c r="R20" i="42" s="1"/>
  <c r="AQ43" i="41"/>
  <c r="AR31" i="30"/>
  <c r="J9" i="42" s="1"/>
  <c r="AT31" i="30"/>
  <c r="L9" i="42" s="1"/>
  <c r="AV31" i="30"/>
  <c r="N9" i="42" s="1"/>
  <c r="AY31" i="30"/>
  <c r="Q9" i="42" s="1"/>
  <c r="AN31" i="30"/>
  <c r="F9" i="42" s="1"/>
  <c r="AM31" i="30"/>
  <c r="E9" i="42" s="1"/>
  <c r="AO31" i="30"/>
  <c r="G9" i="42" s="1"/>
  <c r="AS31" i="30"/>
  <c r="K9" i="42" s="1"/>
  <c r="AU31" i="30"/>
  <c r="M9" i="42" s="1"/>
  <c r="AX31" i="30"/>
  <c r="P9" i="42" s="1"/>
  <c r="AZ31" i="30"/>
  <c r="R9" i="42" s="1"/>
  <c r="AQ39" i="38"/>
  <c r="B17" i="42"/>
  <c r="D17" i="42"/>
  <c r="AL45" i="38"/>
  <c r="F17" i="42"/>
  <c r="AN45" i="38"/>
  <c r="AR45" i="38"/>
  <c r="J17" i="42"/>
  <c r="AT45" i="38"/>
  <c r="L17" i="42"/>
  <c r="AV45" i="38"/>
  <c r="N17" i="42"/>
  <c r="AY45" i="38"/>
  <c r="Q17" i="42"/>
  <c r="AM45" i="38"/>
  <c r="E17" i="42"/>
  <c r="AO45" i="38"/>
  <c r="G17" i="42"/>
  <c r="K17" i="42"/>
  <c r="AS45" i="38"/>
  <c r="M17" i="42"/>
  <c r="AU45" i="38"/>
  <c r="P17" i="42"/>
  <c r="AX45" i="38"/>
  <c r="R17" i="42"/>
  <c r="AZ45" i="38"/>
  <c r="B16" i="42"/>
  <c r="D16" i="42"/>
  <c r="AL33" i="37"/>
  <c r="F16" i="42"/>
  <c r="AN33" i="37"/>
  <c r="AR33" i="37"/>
  <c r="J16" i="42"/>
  <c r="AT33" i="37"/>
  <c r="L16" i="42"/>
  <c r="AV33" i="37"/>
  <c r="N16" i="42"/>
  <c r="AY33" i="37"/>
  <c r="Q16" i="42"/>
  <c r="AM33" i="37"/>
  <c r="E16" i="42"/>
  <c r="AO33" i="37"/>
  <c r="G16" i="42"/>
  <c r="K16" i="42"/>
  <c r="AS33" i="37"/>
  <c r="M16" i="42"/>
  <c r="AU33" i="37"/>
  <c r="P16" i="42"/>
  <c r="AX33" i="37"/>
  <c r="R16" i="42"/>
  <c r="AZ33" i="37"/>
  <c r="B15" i="42"/>
  <c r="AQ17" i="36"/>
  <c r="AM43" i="36"/>
  <c r="E15" i="42"/>
  <c r="AO43" i="36"/>
  <c r="G15" i="42"/>
  <c r="K15" i="42"/>
  <c r="AS43" i="36"/>
  <c r="M15" i="42"/>
  <c r="AU43" i="36"/>
  <c r="P15" i="42"/>
  <c r="AX43" i="36"/>
  <c r="R15" i="42"/>
  <c r="AZ43" i="36"/>
  <c r="AK43" i="36"/>
  <c r="D15" i="42"/>
  <c r="AL43" i="36"/>
  <c r="F15" i="42"/>
  <c r="AN43" i="36"/>
  <c r="AR43" i="36"/>
  <c r="J15" i="42"/>
  <c r="AT43" i="36"/>
  <c r="L15" i="42"/>
  <c r="AV43" i="36"/>
  <c r="N15" i="42"/>
  <c r="AY43" i="36"/>
  <c r="Q15" i="42"/>
  <c r="D11" i="42"/>
  <c r="AL61" i="32"/>
  <c r="F11" i="42"/>
  <c r="AN61" i="32"/>
  <c r="AR61" i="32"/>
  <c r="J11" i="42"/>
  <c r="AT61" i="32"/>
  <c r="L11" i="42"/>
  <c r="AV61" i="32"/>
  <c r="AY61" i="32"/>
  <c r="Q11" i="42"/>
  <c r="AJ61" i="32"/>
  <c r="B11" i="42"/>
  <c r="AM61" i="32"/>
  <c r="E11" i="42"/>
  <c r="AO61" i="32"/>
  <c r="G11" i="42"/>
  <c r="K11" i="42"/>
  <c r="AS61" i="32"/>
  <c r="M11" i="42"/>
  <c r="AU61" i="32"/>
  <c r="P11" i="42"/>
  <c r="AX61" i="32"/>
  <c r="R11" i="42"/>
  <c r="AZ61" i="32"/>
  <c r="AK31" i="31"/>
  <c r="C10" i="42" s="1"/>
  <c r="AL31" i="31"/>
  <c r="D10" i="42" s="1"/>
  <c r="AM31" i="31"/>
  <c r="E10" i="42" s="1"/>
  <c r="AN31" i="31"/>
  <c r="F10" i="42" s="1"/>
  <c r="AO31" i="31"/>
  <c r="G10" i="42" s="1"/>
  <c r="AR31" i="31"/>
  <c r="J10" i="42" s="1"/>
  <c r="AT31" i="31"/>
  <c r="L10" i="42" s="1"/>
  <c r="AU31" i="31"/>
  <c r="M10" i="42" s="1"/>
  <c r="AV31" i="31"/>
  <c r="N10" i="42" s="1"/>
  <c r="AX31" i="31"/>
  <c r="P10" i="42" s="1"/>
  <c r="AY31" i="31"/>
  <c r="Q10" i="42" s="1"/>
  <c r="AZ31" i="31"/>
  <c r="R10" i="42" s="1"/>
  <c r="AK31" i="30"/>
  <c r="C9" i="42" s="1"/>
  <c r="AL31" i="30"/>
  <c r="D9" i="42" s="1"/>
  <c r="AS31" i="31"/>
  <c r="K10" i="42" s="1"/>
  <c r="AQ17" i="41"/>
  <c r="AQ23" i="41"/>
  <c r="AQ19" i="41"/>
  <c r="AK23" i="38"/>
  <c r="AK45" i="38" s="1"/>
  <c r="AJ45" i="38"/>
  <c r="AQ35" i="38"/>
  <c r="AQ19" i="38"/>
  <c r="AQ33" i="38"/>
  <c r="AQ25" i="37"/>
  <c r="AQ27" i="37"/>
  <c r="AQ19" i="36"/>
  <c r="AQ31" i="36"/>
  <c r="AQ23" i="36"/>
  <c r="AQ33" i="36"/>
  <c r="AQ35" i="36"/>
  <c r="AQ25" i="36"/>
  <c r="AQ41" i="36"/>
  <c r="AQ21" i="36"/>
  <c r="AQ21" i="37"/>
  <c r="AQ23" i="37"/>
  <c r="AQ23" i="38"/>
  <c r="AQ43" i="38"/>
  <c r="AQ31" i="38"/>
  <c r="AQ41" i="38"/>
  <c r="AQ29" i="38"/>
  <c r="AQ17" i="38"/>
  <c r="AQ31" i="41"/>
  <c r="AQ39" i="41"/>
  <c r="AQ35" i="41"/>
  <c r="AQ25" i="41"/>
  <c r="AQ33" i="41"/>
  <c r="AR17" i="28"/>
  <c r="AO17" i="28"/>
  <c r="AM17" i="28"/>
  <c r="AL17" i="28"/>
  <c r="AJ17" i="28"/>
  <c r="AK29" i="27"/>
  <c r="AJ17" i="27"/>
  <c r="AJ29" i="27" s="1"/>
  <c r="D7" i="44" l="1"/>
  <c r="AQ63" i="41"/>
  <c r="I20" i="42" s="1"/>
  <c r="AK63" i="41"/>
  <c r="C20" i="42" s="1"/>
  <c r="C17" i="42"/>
  <c r="I17" i="42"/>
  <c r="AQ45" i="38"/>
  <c r="AK33" i="37"/>
  <c r="C16" i="42"/>
  <c r="I16" i="42"/>
  <c r="AQ33" i="37"/>
  <c r="C15" i="42"/>
  <c r="I15" i="42"/>
  <c r="AQ43" i="36"/>
  <c r="AK61" i="32"/>
  <c r="C11" i="42"/>
  <c r="I11" i="42"/>
  <c r="AQ61" i="32"/>
  <c r="AQ31" i="31"/>
  <c r="I10" i="42" s="1"/>
  <c r="AK39" i="28" l="1"/>
  <c r="C7" i="42" s="1"/>
  <c r="AL39" i="28"/>
  <c r="D7" i="42" s="1"/>
  <c r="AM39" i="28"/>
  <c r="E7" i="42" s="1"/>
  <c r="AN39" i="28"/>
  <c r="F7" i="42" s="1"/>
  <c r="AO39" i="28"/>
  <c r="G7" i="42" s="1"/>
  <c r="AR39" i="28"/>
  <c r="J7" i="42" s="1"/>
  <c r="AZ29" i="27" l="1"/>
  <c r="AY17" i="27"/>
  <c r="AY29" i="27" s="1"/>
  <c r="AX17" i="27"/>
  <c r="AV29" i="27"/>
  <c r="AU17" i="27"/>
  <c r="AU29" i="27" s="1"/>
  <c r="AT17" i="27"/>
  <c r="AS29" i="27"/>
  <c r="AR17" i="27"/>
  <c r="AO17" i="27"/>
  <c r="AO29" i="27" s="1"/>
  <c r="AN29" i="27"/>
  <c r="AM17" i="27"/>
  <c r="AM29" i="27" s="1"/>
  <c r="AL17" i="27"/>
  <c r="AL29" i="27" s="1"/>
  <c r="AX29" i="27" l="1"/>
  <c r="AR29" i="27"/>
  <c r="J6" i="42" s="1"/>
  <c r="J21" i="42" s="1"/>
  <c r="B2" i="44" s="1"/>
  <c r="C2" i="44"/>
  <c r="AT29" i="27"/>
  <c r="L6" i="42" s="1"/>
  <c r="C6" i="42"/>
  <c r="C21" i="42" s="1"/>
  <c r="G6" i="42"/>
  <c r="G21" i="42" s="1"/>
  <c r="E6" i="42"/>
  <c r="E21" i="42" s="1"/>
  <c r="D6" i="42"/>
  <c r="D21" i="42" s="1"/>
  <c r="K6" i="42"/>
  <c r="M6" i="42"/>
  <c r="P6" i="42"/>
  <c r="R6" i="42"/>
  <c r="N6" i="42"/>
  <c r="Q6" i="42"/>
  <c r="F6" i="42"/>
  <c r="F21" i="42" s="1"/>
  <c r="B20" i="42" l="1"/>
  <c r="B19" i="42" l="1"/>
  <c r="AJ33" i="37" l="1"/>
  <c r="AJ43" i="36" l="1"/>
  <c r="B14" i="42" l="1"/>
  <c r="AJ71" i="34"/>
  <c r="AJ69" i="33" l="1"/>
  <c r="AJ31" i="31" l="1"/>
  <c r="B10" i="42" s="1"/>
  <c r="AJ31" i="30" l="1"/>
  <c r="B9" i="42" s="1"/>
  <c r="AQ31" i="30"/>
  <c r="I9" i="42" s="1"/>
  <c r="B8" i="42" l="1"/>
  <c r="AZ39" i="28" l="1"/>
  <c r="R7" i="42" s="1"/>
  <c r="R21" i="42" s="1"/>
  <c r="AY17" i="28"/>
  <c r="AY39" i="28" s="1"/>
  <c r="Q7" i="42" s="1"/>
  <c r="Q21" i="42" s="1"/>
  <c r="AX17" i="28"/>
  <c r="AV17" i="28"/>
  <c r="AV39" i="28" s="1"/>
  <c r="N7" i="42" s="1"/>
  <c r="N21" i="42" s="1"/>
  <c r="AU17" i="28"/>
  <c r="AU39" i="28" s="1"/>
  <c r="M7" i="42" s="1"/>
  <c r="M21" i="42" s="1"/>
  <c r="AT17" i="28"/>
  <c r="AT39" i="28" l="1"/>
  <c r="L7" i="42" s="1"/>
  <c r="L21" i="42" s="1"/>
  <c r="B6" i="44" s="1"/>
  <c r="C6" i="44"/>
  <c r="AX39" i="28"/>
  <c r="P7" i="42" s="1"/>
  <c r="P21" i="42" s="1"/>
  <c r="B3" i="44" s="1"/>
  <c r="C3" i="44"/>
  <c r="AQ17" i="28"/>
  <c r="AQ39" i="28" s="1"/>
  <c r="I7" i="42" s="1"/>
  <c r="AS39" i="28"/>
  <c r="K7" i="42" s="1"/>
  <c r="K21" i="42" s="1"/>
  <c r="B4" i="44" s="1"/>
  <c r="AJ39" i="28"/>
  <c r="B7" i="42" s="1"/>
  <c r="B7" i="44" l="1"/>
  <c r="C7" i="44"/>
  <c r="B6" i="42" l="1"/>
  <c r="B21" i="42" s="1"/>
  <c r="AQ17" i="27"/>
  <c r="AQ29" i="27" l="1"/>
  <c r="I6" i="42" s="1"/>
  <c r="I21" i="42" s="1"/>
</calcChain>
</file>

<file path=xl/sharedStrings.xml><?xml version="1.0" encoding="utf-8"?>
<sst xmlns="http://schemas.openxmlformats.org/spreadsheetml/2006/main" count="12457" uniqueCount="494">
  <si>
    <t>по</t>
  </si>
  <si>
    <t>ТАБЕЛЬ</t>
  </si>
  <si>
    <t>ВП</t>
  </si>
  <si>
    <t>В</t>
  </si>
  <si>
    <t>Р</t>
  </si>
  <si>
    <t>Години  роботи, передбачені колдоговором</t>
  </si>
  <si>
    <t>Найменування  підприємства (установи, організації)</t>
  </si>
  <si>
    <t>назва структурного підрозділу</t>
  </si>
  <si>
    <t>Звітний період</t>
  </si>
  <si>
    <t>з</t>
  </si>
  <si>
    <t>Дата заповнення</t>
  </si>
  <si>
    <t>Номер документу</t>
  </si>
  <si>
    <t>№ п/п</t>
  </si>
  <si>
    <t>ПІБ, посада</t>
  </si>
  <si>
    <t>Табельний номер</t>
  </si>
  <si>
    <t>Стать (ч/ж)</t>
  </si>
  <si>
    <t>Відмітки  про явки та неявки за числами місяця (годин)</t>
  </si>
  <si>
    <t>Відпрацьовано за місяц</t>
  </si>
  <si>
    <t>днів</t>
  </si>
  <si>
    <t>годин</t>
  </si>
  <si>
    <t>всього</t>
  </si>
  <si>
    <t>з них</t>
  </si>
  <si>
    <t>надурочно</t>
  </si>
  <si>
    <t>нічних</t>
  </si>
  <si>
    <t>вечірніх</t>
  </si>
  <si>
    <t>Вихідних та святкових днів</t>
  </si>
  <si>
    <t>Всього неявок</t>
  </si>
  <si>
    <t>4</t>
  </si>
  <si>
    <t>з причин за місяць</t>
  </si>
  <si>
    <t>Відрядження</t>
  </si>
  <si>
    <t>Відпустка для догляду за дитиною до досягнення нею 6-ти річного віку</t>
  </si>
  <si>
    <t>Інші причини неявок</t>
  </si>
  <si>
    <t>Керівник структурного підрозділу</t>
  </si>
  <si>
    <t>Представник кадрової служби</t>
  </si>
  <si>
    <t>посада</t>
  </si>
  <si>
    <t>особистий підпис</t>
  </si>
  <si>
    <t>розшифровка підпису</t>
  </si>
  <si>
    <t>обліку використання робочого часу за</t>
  </si>
  <si>
    <t>Відпустка у зв’язку з вагітністю і пологами та відпустка для догляду за дитиною до досягнення нею 3-річного віку</t>
  </si>
  <si>
    <t>Позначки у табелі:</t>
  </si>
  <si>
    <t>Вечірні години  роботи</t>
  </si>
  <si>
    <t>ВЧ</t>
  </si>
  <si>
    <t>Нічні години  роботи</t>
  </si>
  <si>
    <t>РН</t>
  </si>
  <si>
    <t>Надурочні години  роботи</t>
  </si>
  <si>
    <t>НУ</t>
  </si>
  <si>
    <t>Години роботи у вихідні та святкові дні</t>
  </si>
  <si>
    <t>РВ</t>
  </si>
  <si>
    <t>ВД</t>
  </si>
  <si>
    <t>-</t>
  </si>
  <si>
    <t>ДД</t>
  </si>
  <si>
    <t>НА</t>
  </si>
  <si>
    <t>ТН</t>
  </si>
  <si>
    <t>Відпустка без збереження заробітної плати за згодою сторін (стаття 26 Закону України "Про відпустки")</t>
  </si>
  <si>
    <t xml:space="preserve">Оплачувана тимчасова непрацездатність </t>
  </si>
  <si>
    <t>Основна та додаткова відпустки</t>
  </si>
  <si>
    <t>Відпустки без збереження заробітної плати за згодою сторін</t>
  </si>
  <si>
    <t>Тимчасова непрацездатність</t>
  </si>
  <si>
    <t xml:space="preserve">Ідентифікаційний код ЄДРПОУ   </t>
  </si>
  <si>
    <t>відпустка у зв'язку з  навч.творчі в обов.поряд. та інші</t>
  </si>
  <si>
    <t>Інші</t>
  </si>
  <si>
    <t>Відпустка у зв’язку з вагітністю і пологами (стаття 17 ЗУ "Про відпустки") та відпустка для догляду за дитиною до 3р. (ст. 18 ЗУ «Про відпустки»)</t>
  </si>
  <si>
    <t>Відпустка для догляду за дитиною до  6-ти річного віку (ст. 25 п.3 Закону України "Про відпустки")</t>
  </si>
  <si>
    <t>ДО</t>
  </si>
  <si>
    <t>Додаткова оплачувана відпустка працівникам, які мають дітей</t>
  </si>
  <si>
    <t>Ч</t>
  </si>
  <si>
    <t>Додаткова відпустка передбачена постраждалим  внаслідок Чорнобильської катастрофи</t>
  </si>
  <si>
    <t>Основна  щорічна відпустка (ст.6 ЗУ "Про відпустки")</t>
  </si>
  <si>
    <t>ІН</t>
  </si>
  <si>
    <t>КП " Теплоенерго" Лозіської міської ради Харківської області</t>
  </si>
  <si>
    <t>Адміністративно-господарча дільниця</t>
  </si>
  <si>
    <t>АГД</t>
  </si>
  <si>
    <t>Ж</t>
  </si>
  <si>
    <t>Н</t>
  </si>
  <si>
    <t>Разом</t>
  </si>
  <si>
    <r>
      <t>Додаткова відпустка у зв'язку з навчанням (ст.13,14,15,15</t>
    </r>
    <r>
      <rPr>
        <sz val="10"/>
        <rFont val="Calibri"/>
        <family val="2"/>
        <charset val="204"/>
      </rPr>
      <t>')</t>
    </r>
  </si>
  <si>
    <t>ВБ</t>
  </si>
  <si>
    <t>Відпустка учасника бойових дій</t>
  </si>
  <si>
    <t>Аварійно-диспетчерська служба</t>
  </si>
  <si>
    <t>АДС</t>
  </si>
  <si>
    <t>ІТР</t>
  </si>
  <si>
    <t>Директор</t>
  </si>
  <si>
    <t>Ремонтно- будівельна дільниця</t>
  </si>
  <si>
    <t>РБД</t>
  </si>
  <si>
    <t>Соколенко О.М.;          покрівельник.</t>
  </si>
  <si>
    <t xml:space="preserve">Пшук С.С.;             підсобний робітник.           </t>
  </si>
  <si>
    <t>Служба електропостачання, служба з метрології</t>
  </si>
  <si>
    <t>01-ел.пост</t>
  </si>
  <si>
    <t xml:space="preserve">Шаповалов О.М.;         сл.КВП таА.         </t>
  </si>
  <si>
    <t>Костенко С.І.;               сл.КВП та А</t>
  </si>
  <si>
    <t>Мананкін А.Ю.;          слюсар-електрик</t>
  </si>
  <si>
    <t>Степаненко В.І..;          слюсар-електрик</t>
  </si>
  <si>
    <t>Тепловий район №1 дільниця №1</t>
  </si>
  <si>
    <t>01-01</t>
  </si>
  <si>
    <t>Орехов В.М.; електрогазозварник</t>
  </si>
  <si>
    <t>Мальченко А.Р.; електрогазозварник</t>
  </si>
  <si>
    <t>Тепловий район №1 дільниця №2</t>
  </si>
  <si>
    <t>01-02</t>
  </si>
  <si>
    <t>Тепловий район №1 дільниця №3</t>
  </si>
  <si>
    <t>01-03</t>
  </si>
  <si>
    <t>Тепловий район №1 дільниця №4</t>
  </si>
  <si>
    <t>01-04</t>
  </si>
  <si>
    <t>Тепловий район №2 дільниця №1</t>
  </si>
  <si>
    <t>02-01</t>
  </si>
  <si>
    <t>Воропаєв В.О.;              слюсар.</t>
  </si>
  <si>
    <t>Мартиненко С.М;              слюсар.</t>
  </si>
  <si>
    <t>Стародубцев М.В.;                     електрогазозварник.</t>
  </si>
  <si>
    <t>Ліщина О..І;               слюсар</t>
  </si>
  <si>
    <t>Тепловий район №2 дільниця №2</t>
  </si>
  <si>
    <t>02-02</t>
  </si>
  <si>
    <t>Коломієць О.А;            слюсар</t>
  </si>
  <si>
    <t>Дерев'янко М.Г;             слюсар.</t>
  </si>
  <si>
    <t>Коваленко О.А;              слюсар.</t>
  </si>
  <si>
    <t>Казачек А.М. електрогазозварник.</t>
  </si>
  <si>
    <t>Кузнецов Д.С;                слюсар.</t>
  </si>
  <si>
    <t>Тепловий район №2 дільниця №3</t>
  </si>
  <si>
    <t>02-03</t>
  </si>
  <si>
    <t>Магамедалієв Н.У;                       електрогазозварник.</t>
  </si>
  <si>
    <t>Білоус Р.Л;                 слюсар.</t>
  </si>
  <si>
    <t>Филипенко О.В;                слюсар.</t>
  </si>
  <si>
    <t>Головко С.В;                    слюсар.</t>
  </si>
  <si>
    <t>Маковієнко В.В;                    токар.</t>
  </si>
  <si>
    <t>Полтавець Т.О;                ізолювальник.</t>
  </si>
  <si>
    <t>Мовчан О.М.;             слюсар.</t>
  </si>
  <si>
    <t>Тепловий район №2 дільниця №4</t>
  </si>
  <si>
    <t>02-04</t>
  </si>
  <si>
    <t>Білий В.В.;                     слюсар-електрик.</t>
  </si>
  <si>
    <t>Романюк Г.В;                   слюсар-електрик.</t>
  </si>
  <si>
    <t>Корнієнко П.П;                       електрогазозварник.</t>
  </si>
  <si>
    <t>Терновий А.О;                 електрогазозварник.</t>
  </si>
  <si>
    <t>Петренко М.І;                            слюсар</t>
  </si>
  <si>
    <t>Боровик Д.М;                 слюсар.</t>
  </si>
  <si>
    <t>Лічманов О.О;              слюсар.</t>
  </si>
  <si>
    <t>Варганов М.Г;                    слюсар КВПтаА</t>
  </si>
  <si>
    <t>Забродін Д.С;                слюсар</t>
  </si>
  <si>
    <t>ТР №3 кот. вул Свободи 2з</t>
  </si>
  <si>
    <t>ТР №3</t>
  </si>
  <si>
    <t>Мартинов Ю.Д.; електрогазозварник</t>
  </si>
  <si>
    <t>Дмитрук Є.О.;  електрогазозварник.</t>
  </si>
  <si>
    <t>Транспортна дільниця</t>
  </si>
  <si>
    <t>трансп.</t>
  </si>
  <si>
    <t>святкових</t>
  </si>
  <si>
    <t>ВВ</t>
  </si>
  <si>
    <t>Вихідні (дні щотижневого відпочинку)</t>
  </si>
  <si>
    <t>ИТР</t>
  </si>
  <si>
    <t>ТР1-1</t>
  </si>
  <si>
    <t>ТР1-2</t>
  </si>
  <si>
    <t>ТР1-3</t>
  </si>
  <si>
    <t>ТР1-4</t>
  </si>
  <si>
    <t>ТР2-1</t>
  </si>
  <si>
    <t>ТР2-4</t>
  </si>
  <si>
    <t>ТР2-3</t>
  </si>
  <si>
    <t>ТР2-2</t>
  </si>
  <si>
    <t>ТР3</t>
  </si>
  <si>
    <t>РАЗОМ</t>
  </si>
  <si>
    <t>Назва</t>
  </si>
  <si>
    <t xml:space="preserve">Храмцов В.І.;                           слюсар-електрик.          </t>
  </si>
  <si>
    <t>Неровний В.О.; електрогазозварник</t>
  </si>
  <si>
    <t>Карпенчук М.Г.; вогнетривник</t>
  </si>
  <si>
    <t>Чемердовський А.О.; електрогазозварник</t>
  </si>
  <si>
    <t>Баєв Ю.М.;                      слюсар</t>
  </si>
  <si>
    <t>Бродовський Р.М.;                      слюсар</t>
  </si>
  <si>
    <t>Березницька Г.Г.;                маляр.</t>
  </si>
  <si>
    <t>Шевченко І.С.;           оператор АДС.</t>
  </si>
  <si>
    <t>Архіпова М.Ю.;         прибиральн. вир.прим.</t>
  </si>
  <si>
    <t xml:space="preserve">Хілова Г.О.;            комірник.          </t>
  </si>
  <si>
    <t>Шматько С.О.;          сторож.</t>
  </si>
  <si>
    <t>Базай О.В.;                         нач.відділу з метрології</t>
  </si>
  <si>
    <t>Березуцький Р.В.,                      майстер</t>
  </si>
  <si>
    <t>Бідненко В.М.;                інженер</t>
  </si>
  <si>
    <t>Бойку В.О.;                                  бухгалтер</t>
  </si>
  <si>
    <t>Волошин О.М;                     майстер РБД</t>
  </si>
  <si>
    <t>Воропаєв О.О.;                           майстер</t>
  </si>
  <si>
    <t>Головко О.О.;                         бухгалтер</t>
  </si>
  <si>
    <t>Діденко І.М.;                              начальник ТР№2</t>
  </si>
  <si>
    <t>Зайцева І.В.;                           пров.юрисконсульт</t>
  </si>
  <si>
    <t>Ізотова Г.І.;                            інженер</t>
  </si>
  <si>
    <t>Калашник С.В.;                           бухгалтер</t>
  </si>
  <si>
    <t>Катеринник С.В.;                              інженер-програміст</t>
  </si>
  <si>
    <t>Комісаренко Ю.О.;                  пров.інженер з ОП</t>
  </si>
  <si>
    <t>Корнієнко О.В.,                       бухгалтер</t>
  </si>
  <si>
    <t>Куштим І.Ю.                   інспектор</t>
  </si>
  <si>
    <t>Легонькова Т.М.;                       бухгалтер</t>
  </si>
  <si>
    <t>Литвиненко Т.С.                   референт</t>
  </si>
  <si>
    <t>Лісовий М.Ю.                         економіст ІІ кат</t>
  </si>
  <si>
    <t>Лісовий Ю.В.;                     економіст 1 кат.</t>
  </si>
  <si>
    <t>Львов А.В.;                    майстер</t>
  </si>
  <si>
    <t>Малишев С.В.                  директор</t>
  </si>
  <si>
    <t>Матвійчук В.В.;                 начальник гаража</t>
  </si>
  <si>
    <t>Мицик М.І.;                       інженер-електронік</t>
  </si>
  <si>
    <t>Мотлох О.В.;                     інженер</t>
  </si>
  <si>
    <t>Осипов В.В.;                        начальник ВТВ</t>
  </si>
  <si>
    <t>Площадна І.М.;                           інженер</t>
  </si>
  <si>
    <t>Попко О.В.;                     майстер</t>
  </si>
  <si>
    <r>
      <t xml:space="preserve">Рудь І.І.;                 </t>
    </r>
    <r>
      <rPr>
        <b/>
        <sz val="10"/>
        <rFont val="Times New Roman"/>
        <family val="1"/>
        <charset val="204"/>
      </rPr>
      <t>провідний інженер з організації та нормування праці</t>
    </r>
  </si>
  <si>
    <t>Сальник А.І.;                     начальник ТР№1</t>
  </si>
  <si>
    <t>Скиба В.В.;                інженер з охорони праці</t>
  </si>
  <si>
    <t>Соколова Н.В.;               інженер</t>
  </si>
  <si>
    <t>Торяник О.О.;                 заступник директора</t>
  </si>
  <si>
    <t>Шаповаленко І.Л. ;              нач. абон. віддіду</t>
  </si>
  <si>
    <t>Шевченко О.В.;               старший майстер</t>
  </si>
  <si>
    <t>Яковенко І.І.;                 інженер</t>
  </si>
  <si>
    <t>Лабінцев В.М.;                                  штукатур</t>
  </si>
  <si>
    <t xml:space="preserve">Шкода М.П.;        ізолювальник.         </t>
  </si>
  <si>
    <t>Яровий А.В.;           штукатур.</t>
  </si>
  <si>
    <t>Блоха В.М.;                    слюсар</t>
  </si>
  <si>
    <t>Вшевцов Д.Ю.;                слюсар</t>
  </si>
  <si>
    <t>Липовий Є.О.;                   слюсар</t>
  </si>
  <si>
    <t>Моргун М.В.;                     слюсар</t>
  </si>
  <si>
    <t>Обертас М.Л.;                   слюсар</t>
  </si>
  <si>
    <t>Пальчук М.І.;                  слюсар</t>
  </si>
  <si>
    <t>Півунков А.О.;                        слюсар</t>
  </si>
  <si>
    <t>Півунков Р.А.;                    слюсар</t>
  </si>
  <si>
    <t>Рагулін О.М.;                  слюсар</t>
  </si>
  <si>
    <t>Романюк В.Г.;                     слюсар</t>
  </si>
  <si>
    <t>Тепляк М.В.;                       слюсар</t>
  </si>
  <si>
    <t>Кузнеченков С.В.,              слюсар</t>
  </si>
  <si>
    <t>Овчаренко М.А.;               слюсар</t>
  </si>
  <si>
    <t>Тищенко Ю.І.;                  електрогазозварник</t>
  </si>
  <si>
    <t>Руденко В.В.;               слюсар</t>
  </si>
  <si>
    <t>Самохін А.О.;                  слюсар</t>
  </si>
  <si>
    <t>Кисіль В.О;                 слюсар</t>
  </si>
  <si>
    <t>Курган С.М;                        слюсар</t>
  </si>
  <si>
    <t xml:space="preserve">Погребняк С.А;                      слюсар </t>
  </si>
  <si>
    <t>Рассказ В.І;                    слюсар</t>
  </si>
  <si>
    <t>Іванов О.М;                 слюсар.</t>
  </si>
  <si>
    <t>Бойко О.Л.;                слюсар.</t>
  </si>
  <si>
    <t>Кудря Ю.П;                    слюсар.</t>
  </si>
  <si>
    <t>Тесля С.В.;                             слюсар.</t>
  </si>
  <si>
    <t>Богак І.Л.;                           водій</t>
  </si>
  <si>
    <t>Буслова Н.А.;                       медсестра</t>
  </si>
  <si>
    <t>Єнікєєв А.Ю.;                       слюсар-ремонтник</t>
  </si>
  <si>
    <t>Липовий О.О.;                     тракторист</t>
  </si>
  <si>
    <t>Матвійчук В.П.;                         слюсар з ремонту колісних трансп.х засобів</t>
  </si>
  <si>
    <t>Мільман В.А.;                        водій навантажувача</t>
  </si>
  <si>
    <t>Моргун В.М.;                     токар</t>
  </si>
  <si>
    <t>Плахотя В.І.;                        водій</t>
  </si>
  <si>
    <t>Работніков В.Б.;                    водій</t>
  </si>
  <si>
    <t>Решетов В.Ф.;                 машиніст екскаватора</t>
  </si>
  <si>
    <t>Себко В.А.;                       машиніст екскаватора</t>
  </si>
  <si>
    <t>Стьопкін В.О.;                      водій автокрану</t>
  </si>
  <si>
    <t>Тимохін М.В.;                   водій</t>
  </si>
  <si>
    <t>Бєлашов М.О;                   змінний майстер</t>
  </si>
  <si>
    <t>Волков М.В.;                        слюсар</t>
  </si>
  <si>
    <t>Довбич Д.А.;                           слюсар</t>
  </si>
  <si>
    <t>Єрмошин Ю.М.;                       слюсар</t>
  </si>
  <si>
    <t>Зайцев В.В..;                            слюсар-електрик</t>
  </si>
  <si>
    <t>Зелена Р.Ф.;                                  ізолювальник</t>
  </si>
  <si>
    <t>Кожевников А.О.;                           слюсар-електрик</t>
  </si>
  <si>
    <t>Коритник О.А.;                             сл-електр.</t>
  </si>
  <si>
    <t>Крівцов Ю.В.;                           сл.КВП та А</t>
  </si>
  <si>
    <t>Кузьменко А.С,;                        слюсар</t>
  </si>
  <si>
    <t>Лахмоткін М.В.;                      токар</t>
  </si>
  <si>
    <t>Рєутова Л.М.;                           приб.сл.пр.</t>
  </si>
  <si>
    <t>Ряснянський О.М.;                   електрогазозварник</t>
  </si>
  <si>
    <t>Ситник О.А.;                        слюсар-електрик</t>
  </si>
  <si>
    <t>Сюсін Г.О.;                       сл.КВПтаА</t>
  </si>
  <si>
    <t>Терновий Ю.І.,                      слюсар</t>
  </si>
  <si>
    <t>Торопов С.В,;                          слюсар</t>
  </si>
  <si>
    <t>Уставицький П.М.;                 нач. ТР№3</t>
  </si>
  <si>
    <t>Чеботарьов С.В..;                слюсар-електрик</t>
  </si>
  <si>
    <t>Шмаков В.М.;                    майстер</t>
  </si>
  <si>
    <t>Вакулич Л. Ю.      прибиральник вироб.прим</t>
  </si>
  <si>
    <t>Р1</t>
  </si>
  <si>
    <t>Логвиненко О.М.;                   слюсар</t>
  </si>
  <si>
    <t>Авраменко Ю.А.;      слюсар</t>
  </si>
  <si>
    <t>Красильник В.М.;            слюсар.</t>
  </si>
  <si>
    <t>Довженко М.В.;                              майстер</t>
  </si>
  <si>
    <t>Решетіло Г.В.;                          водій</t>
  </si>
  <si>
    <t>Мущенко Є.М.;                          слюсар-електр</t>
  </si>
  <si>
    <t>Сальник Н.А.;                    пров. інженер</t>
  </si>
  <si>
    <t>Скосарєв В.О.                            слюсар</t>
  </si>
  <si>
    <t>Прокопенко І.С.                    слюсар-електрик</t>
  </si>
  <si>
    <t xml:space="preserve"> </t>
  </si>
  <si>
    <t>Терновий А.М                  фрезерувальник</t>
  </si>
  <si>
    <t xml:space="preserve">Минко В.В.                    електрогазозварник </t>
  </si>
  <si>
    <t>Минко Л.О.,                  нач.відділу</t>
  </si>
  <si>
    <t>Інспектор з кадрів</t>
  </si>
  <si>
    <t>Сергій МАЛИШЕВ</t>
  </si>
  <si>
    <t>Інна ЖУРАВЕЛЬ</t>
  </si>
  <si>
    <t>Журавель І.В.                           інспектор з кадрів</t>
  </si>
  <si>
    <t>Дерев'янко В.М.         ізолювальник</t>
  </si>
  <si>
    <t>Семененко М.В.                           слюсар-електрик</t>
  </si>
  <si>
    <t>Лазуренко А.Л.              слюсар.</t>
  </si>
  <si>
    <t>Сидоренко О.М.                          слюсар-електрик</t>
  </si>
  <si>
    <t>Бєлашов О.І.;                         слюсар</t>
  </si>
  <si>
    <t xml:space="preserve">Шапко Л.А.            ст.комірник.          </t>
  </si>
  <si>
    <t>Маслов В.В;                       слюсар.</t>
  </si>
  <si>
    <t>Черкай О.В;                       слюсар.</t>
  </si>
  <si>
    <t>Дрозденко Ю.М.;                        контролер тепл.господ</t>
  </si>
  <si>
    <t>Довженко Г.С.            оператор АДС.</t>
  </si>
  <si>
    <t xml:space="preserve">Мороз Д.В.                    електрогазозварник </t>
  </si>
  <si>
    <t>Базай О.В.;                          головний енергетик</t>
  </si>
  <si>
    <t>Клименко С.О.;                      головний інженер</t>
  </si>
  <si>
    <t>Попова Н.І.;                             заст. голов. бухгалтера</t>
  </si>
  <si>
    <t>Галушка М.М.                   слюсар.</t>
  </si>
  <si>
    <t>Нікітін А.Л.;                          сторож.</t>
  </si>
  <si>
    <t>Глоба О.Л.;                           оператор АДС.</t>
  </si>
  <si>
    <t>Блоха М.М.;                        сторож.</t>
  </si>
  <si>
    <t>Ващенко А.М.         прибиральн. вир.прим.</t>
  </si>
  <si>
    <t>Кравченко К.В.                    слюсар.</t>
  </si>
  <si>
    <t>Гонтаренко Ю.В.  електрогазозварник.</t>
  </si>
  <si>
    <t>Єроменко Ю.М.           сторож</t>
  </si>
  <si>
    <t>Дмитрук Д.Є.                                слюсар</t>
  </si>
  <si>
    <t>Коренєв К.М.                          сл.КВП та А</t>
  </si>
  <si>
    <t>Маймистов О.В.                                тесляр</t>
  </si>
  <si>
    <t>Мельник О.М.;                          ст. майстер</t>
  </si>
  <si>
    <t>Верещага О.В.                            слюсар-електрик</t>
  </si>
  <si>
    <t>Мулаєва А.В.                          контролер</t>
  </si>
  <si>
    <t>ВЧ1</t>
  </si>
  <si>
    <t>Яловега С.О.                         бетоняр</t>
  </si>
  <si>
    <t>Карнаух В.В.                         сторож</t>
  </si>
  <si>
    <t>Боровенко В.А.                 слюсар-електрик.</t>
  </si>
  <si>
    <t>Гареза Н.П.,пр.фахівець з публічних закупівель</t>
  </si>
  <si>
    <t>Жук Н.О.                      диспетчер авто. транспорту</t>
  </si>
  <si>
    <t>Ремень О.В.;     інженер</t>
  </si>
  <si>
    <t xml:space="preserve">Чопенко В.Г.                  електрогазозварник </t>
  </si>
  <si>
    <t>Всього</t>
  </si>
  <si>
    <r>
      <rPr>
        <b/>
        <sz val="14"/>
        <rFont val="Arial Cyr"/>
        <charset val="204"/>
      </rPr>
      <t>О</t>
    </r>
    <r>
      <rPr>
        <sz val="14"/>
        <rFont val="Arial Cyr"/>
        <charset val="204"/>
      </rPr>
      <t xml:space="preserve">
відпустка</t>
    </r>
  </si>
  <si>
    <r>
      <rPr>
        <b/>
        <sz val="14"/>
        <rFont val="Arial Cyr"/>
        <charset val="204"/>
      </rPr>
      <t>Б</t>
    </r>
    <r>
      <rPr>
        <sz val="14"/>
        <rFont val="Arial Cyr"/>
        <charset val="204"/>
      </rPr>
      <t xml:space="preserve">
лікарняні</t>
    </r>
  </si>
  <si>
    <r>
      <rPr>
        <b/>
        <sz val="14"/>
        <rFont val="Arial Cyr"/>
        <charset val="204"/>
      </rPr>
      <t>У</t>
    </r>
    <r>
      <rPr>
        <sz val="14"/>
        <rFont val="Arial Cyr"/>
        <charset val="204"/>
      </rPr>
      <t xml:space="preserve">
навчальна відпустка</t>
    </r>
  </si>
  <si>
    <r>
      <rPr>
        <b/>
        <sz val="14"/>
        <rFont val="Arial Cyr"/>
        <charset val="204"/>
      </rPr>
      <t>З</t>
    </r>
    <r>
      <rPr>
        <sz val="14"/>
        <rFont val="Arial Cyr"/>
        <charset val="204"/>
      </rPr>
      <t xml:space="preserve">
соціальна відпустка</t>
    </r>
  </si>
  <si>
    <r>
      <rPr>
        <b/>
        <sz val="14"/>
        <rFont val="Arial Cyr"/>
        <charset val="204"/>
      </rPr>
      <t>А</t>
    </r>
    <r>
      <rPr>
        <sz val="14"/>
        <rFont val="Arial Cyr"/>
        <charset val="204"/>
      </rPr>
      <t xml:space="preserve">
відпустка без збереження</t>
    </r>
  </si>
  <si>
    <t>з них жінки</t>
  </si>
  <si>
    <t>з них чоловіки</t>
  </si>
  <si>
    <t>НЗ</t>
  </si>
  <si>
    <t>Плотников О.В.;       водій</t>
  </si>
  <si>
    <t>Михайлечко В.Д.                        тракторист</t>
  </si>
  <si>
    <t>Кошмідько Д.В.                    водій</t>
  </si>
  <si>
    <t>Хвостиков В.В.;                слюсар.</t>
  </si>
  <si>
    <t>Чиж В.Л.;                             слюсар.</t>
  </si>
  <si>
    <t>Шумілін К.Є;                     електрогазозварник.</t>
  </si>
  <si>
    <t>Ульянич С.О.           слюсар</t>
  </si>
  <si>
    <t>Форост Ю.Г.                   слюсар</t>
  </si>
  <si>
    <t>Чеботарьов А.С.         слюсар</t>
  </si>
  <si>
    <t>Гонтаренко Н.Ю.                 гол. бухгалтер</t>
  </si>
  <si>
    <t>Кушнір В.В..;                          пр.фах. з кадрів</t>
  </si>
  <si>
    <t>Грузін М.В.              прибиральн. служб.прим.</t>
  </si>
  <si>
    <t>Герасименко О.В.;                          бухгалтер</t>
  </si>
  <si>
    <t>Работнікова В.Ю.              оператор АДС</t>
  </si>
  <si>
    <t>Мокренко В.І.                      електрогазозварник</t>
  </si>
  <si>
    <t>Коваленко В.В.                слюсар</t>
  </si>
  <si>
    <t>Шульга О.В.;                       сл.КВПта</t>
  </si>
  <si>
    <t>Пономаренко О.В.              оператор АДС</t>
  </si>
  <si>
    <t>Франко С.М.;                майстер АДС</t>
  </si>
  <si>
    <t>Вареник Є.В.;                             майстер АГД</t>
  </si>
  <si>
    <t xml:space="preserve">Миколенко О.В.;                    ст. майстер </t>
  </si>
  <si>
    <t>Скиба О.В;                 юрисконсульт 2 кат</t>
  </si>
  <si>
    <t>Чуніхін С.О. ;             слюсар з ремонту устаткув. тепл. Мереж</t>
  </si>
  <si>
    <t>Малицький Г.Д.                     слюсар</t>
  </si>
  <si>
    <t>Підгайний М.О.;                    машиніст екскаватора</t>
  </si>
  <si>
    <t>Гуменюк С.М.;                     маш.крана автомоб</t>
  </si>
  <si>
    <t>Коломієць О.А.             лаборант хім.аналізу</t>
  </si>
  <si>
    <t>Рябчинська Т.В.                   апаратник деаерації</t>
  </si>
  <si>
    <t>Р2</t>
  </si>
  <si>
    <t>Маньковський І.А.                     заст.гол.інженера</t>
  </si>
  <si>
    <t>Слюніна С.А.                           оператор кот.</t>
  </si>
  <si>
    <t>Бондаренко Н.Я.                        оператор кот.</t>
  </si>
  <si>
    <t>Палієвець С.Ю.                   оператор кот.</t>
  </si>
  <si>
    <t>Третякова Л.В.                   оператор кот.</t>
  </si>
  <si>
    <t>Семенова А.Л.                   оператор кот.</t>
  </si>
  <si>
    <t>Літвінова Н.В.                           оператор кот.</t>
  </si>
  <si>
    <t>Шевченко О.П.                           оператор кот.</t>
  </si>
  <si>
    <t>Радченко Т.М.                   оператор кот.</t>
  </si>
  <si>
    <t>Шевченко С.І.                   оператор кот.</t>
  </si>
  <si>
    <t>Пономарьова Н.М.                   оператор кот.</t>
  </si>
  <si>
    <t>Волкова Л.О.              оператор кот.</t>
  </si>
  <si>
    <t>Гончарук З.П.              оператор кот.</t>
  </si>
  <si>
    <t>Кириленко Н.Ю.              оператор кот.</t>
  </si>
  <si>
    <t>Малиношевська О.В.              оператор кот.</t>
  </si>
  <si>
    <t>Авраменко Л.Г.                   оператор кот.</t>
  </si>
  <si>
    <t>Анацька Т.В.                     оператор кот.</t>
  </si>
  <si>
    <t>Анцупова Я.С.                        оператор кот.</t>
  </si>
  <si>
    <t>Біленко В.І.                        майстер зміни</t>
  </si>
  <si>
    <t>Біленко С.В.                        машин.насос.устан</t>
  </si>
  <si>
    <t>Бєлашова Л.М.                        машин.насос.устан.</t>
  </si>
  <si>
    <t>Бєлікова Г.О.                     оператор кот.</t>
  </si>
  <si>
    <t>Бєльська Ю.О.                        апаратн.деаерації</t>
  </si>
  <si>
    <t>Брусник В.В.                   операт.котельні</t>
  </si>
  <si>
    <t>Білоус О.О.                   апаратник ХВО</t>
  </si>
  <si>
    <t>Будник І.А.                     оператор кот.</t>
  </si>
  <si>
    <t>Васько О.І.                    оператор кот.</t>
  </si>
  <si>
    <t>Вовасова А.П.                        апаратник ХВО</t>
  </si>
  <si>
    <t>Вовасова Н.М.                       машин.насос.устан.</t>
  </si>
  <si>
    <t>Вовченко Л.Л.                        оператор кот.</t>
  </si>
  <si>
    <t>Волошина Г.П.                       машин.насос.устан.</t>
  </si>
  <si>
    <t>Глазунова О.Ю.                        апаратник ХВО</t>
  </si>
  <si>
    <t>Гелих В.О.              оператор кот.</t>
  </si>
  <si>
    <t>Гноєва С.В.                   операт.котельні</t>
  </si>
  <si>
    <t>Головко Л.С.                       машин.насос.устан.</t>
  </si>
  <si>
    <t>Городинська С.М.              оператор кот.</t>
  </si>
  <si>
    <t>Довженко С.О.                    оператор кот.</t>
  </si>
  <si>
    <t>Єнікєєва Н.М.              оператор кот.</t>
  </si>
  <si>
    <t>Журавель Т.Л.              оператор кот.</t>
  </si>
  <si>
    <t>Журавльова Т.М.                        оператор кот.</t>
  </si>
  <si>
    <t>Зайцева Т.М.                        оператор кот.</t>
  </si>
  <si>
    <t>Зінченко Т.О.                        оператор кот.</t>
  </si>
  <si>
    <t>Кальченко О.Г.              оператор кот.</t>
  </si>
  <si>
    <t>Кіщенко О.М.                    оператор кот.</t>
  </si>
  <si>
    <t>Коваленко Р.М.                       машин.насос.устан.</t>
  </si>
  <si>
    <t>Коваль С.А.              оператор кот.</t>
  </si>
  <si>
    <t>Курдіна В.В.                        оператор кот.</t>
  </si>
  <si>
    <t>Коритник В.І.                        оператор кот.</t>
  </si>
  <si>
    <t>Крамаренко Л.А.                        оператор кот.</t>
  </si>
  <si>
    <t>Лагутіна М.С.                    оператор кот.</t>
  </si>
  <si>
    <t>Лашин М.М.                    оператор кот.</t>
  </si>
  <si>
    <t>Лашина В.В.              оператор кот.</t>
  </si>
  <si>
    <t>Ліфанова Л.О.                        апаратник ХВО</t>
  </si>
  <si>
    <t>Литвиненко С.В.                   оператор кот.</t>
  </si>
  <si>
    <t>Логвиненко А.Л.                   оператор кот.</t>
  </si>
  <si>
    <t>Ляшун Н.О.                           оператор кот.</t>
  </si>
  <si>
    <t>Маник Н.І.                        апаратн.деаерації</t>
  </si>
  <si>
    <t>Місюра С.В.              оператор кот.</t>
  </si>
  <si>
    <t>Мироненко Т.О.                   операт.котельні</t>
  </si>
  <si>
    <t>Медовкіна Н.А.                    оператор кот.</t>
  </si>
  <si>
    <t>Мельник С.В.                           оператор кот.</t>
  </si>
  <si>
    <t>Могильченко А.І.                   оператор кот.</t>
  </si>
  <si>
    <t>Мущенко К.Є.                        апаратник ХВО</t>
  </si>
  <si>
    <t>Нікітіна Г.В.                    оператор кот.</t>
  </si>
  <si>
    <t>Небога О.С.             оператор кот.</t>
  </si>
  <si>
    <t>Некрасова Л.В.                    оператор кот.</t>
  </si>
  <si>
    <t>Непран О.А.                   операт.котельні</t>
  </si>
  <si>
    <t>Омельченко В.Б.             оператор кот.</t>
  </si>
  <si>
    <t>Осипова Т.І.                   операт.котельні</t>
  </si>
  <si>
    <t>Падусенко Н.І.                    оператор кот.</t>
  </si>
  <si>
    <t>Піскун І.Я.                    оператор кот.</t>
  </si>
  <si>
    <t>Петрова Н.П.                   операт.котельні</t>
  </si>
  <si>
    <t>Понеділок А.В.                        майстер зміни</t>
  </si>
  <si>
    <t>Рибак Г.В.                           оператор кот.</t>
  </si>
  <si>
    <t>Рибак М.В.;                          майстер зміни</t>
  </si>
  <si>
    <t>Калінін В.М.;                оператор котельні</t>
  </si>
  <si>
    <t>Ряснянська В.А.                           оператор кот.</t>
  </si>
  <si>
    <t>Самохін О.Ф.                   оператор кот.</t>
  </si>
  <si>
    <t>Панкова О.М.                    оператор кот.</t>
  </si>
  <si>
    <t>Січова Л.С.                    оператор кот.</t>
  </si>
  <si>
    <t>Смєла А.М.                           оператор кот.</t>
  </si>
  <si>
    <t>Соколова І.Г.                           оператор кот.</t>
  </si>
  <si>
    <t>Строгіс А.І.                    оператор кот.</t>
  </si>
  <si>
    <t>Строгіс А.Д.                    оператор кот.</t>
  </si>
  <si>
    <t>Стьопкіна Л.М.             оператор кот.</t>
  </si>
  <si>
    <t>Суржко Т.М.                   оператор кот.</t>
  </si>
  <si>
    <t>Сухопар Н.С.                       машин.насос.устан.</t>
  </si>
  <si>
    <t>Тесленко О.А.             оператор кот.</t>
  </si>
  <si>
    <t>Товстограй Г.М.                  кочегар</t>
  </si>
  <si>
    <t>Трофимець В.А.             оператор кот.</t>
  </si>
  <si>
    <t>Тубельцева Г.І.                    оператор кот.</t>
  </si>
  <si>
    <t>Українець Л.А.                       машин.насос.устан.</t>
  </si>
  <si>
    <t>Уманцова К.В.                    оператор кот.</t>
  </si>
  <si>
    <t>Уставицька В.В.                           оператор кот.</t>
  </si>
  <si>
    <t>Фесенко В.С.                  кочегар</t>
  </si>
  <si>
    <t>Чеботарьова Н.М.                           оператор кот.</t>
  </si>
  <si>
    <t>Чеботарьова О.І.                       машин.насос.устан.</t>
  </si>
  <si>
    <t>Чужинова А.В.             оператор кот.</t>
  </si>
  <si>
    <t>Мущенко О.О.                        апаратн.деаерації</t>
  </si>
  <si>
    <t>Яковенко В.В.                  оператор кот.</t>
  </si>
  <si>
    <t>Боровенко С.В.              апаратник ХВО.</t>
  </si>
  <si>
    <t>Пєчкурова Т.А.                   апаратник ХВО.</t>
  </si>
  <si>
    <t>Пасічний А.В.                       водій</t>
  </si>
  <si>
    <t>Кондратенко В.А.                 слюсар</t>
  </si>
  <si>
    <t xml:space="preserve">Щербак Р.М.            прибир.служб.прим          </t>
  </si>
  <si>
    <t>Калюжний О.С.                                ст. майстер</t>
  </si>
  <si>
    <t>Трощин В.С.                 інженер</t>
  </si>
  <si>
    <t xml:space="preserve">Рембалович В.Б.                  слюсар </t>
  </si>
  <si>
    <t>Галаган В.В.                     Водій</t>
  </si>
  <si>
    <t>Березень 2025 року</t>
  </si>
  <si>
    <t xml:space="preserve">Шабельник В.В.         слюсар-електрик.         </t>
  </si>
  <si>
    <t>при</t>
  </si>
  <si>
    <t>йня</t>
  </si>
  <si>
    <t>тий</t>
  </si>
  <si>
    <t>в</t>
  </si>
  <si>
    <t>и</t>
  </si>
  <si>
    <t>к</t>
  </si>
  <si>
    <t>л</t>
  </si>
  <si>
    <t>ю</t>
  </si>
  <si>
    <t>ч</t>
  </si>
  <si>
    <t>е</t>
  </si>
  <si>
    <t>н</t>
  </si>
  <si>
    <t xml:space="preserve">а </t>
  </si>
  <si>
    <t>зі</t>
  </si>
  <si>
    <t>с</t>
  </si>
  <si>
    <t>п</t>
  </si>
  <si>
    <t>і</t>
  </si>
  <si>
    <t>ь</t>
  </si>
  <si>
    <t>й</t>
  </si>
  <si>
    <t>а</t>
  </si>
  <si>
    <t xml:space="preserve">Кошель С.О.            прибир.служб.прим          </t>
  </si>
  <si>
    <t>р</t>
  </si>
  <si>
    <t>я</t>
  </si>
  <si>
    <t>т</t>
  </si>
  <si>
    <t>Калінін В.М.;                слюсар</t>
  </si>
  <si>
    <t>Рибак М.В.;                          тракторист</t>
  </si>
  <si>
    <t>зві</t>
  </si>
  <si>
    <t>льн</t>
  </si>
  <si>
    <t>нений</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</si>
</sst>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
    <numFmt numFmtId="165" formatCode="0.0"/>
    <numFmt numFmtId="166" formatCode="[$-FC22]d\ mmmm\ yyyy&quot; р.&quot;;@"/>
  </numFmts>
  <fonts count="16" x14ac:knownFonts="1">
    <font>
      <sz val="10"/>
      <name val="Arial Cyr"/>
      <charset val="204"/>
    </font>
    <font>
      <sz val="10"/>
      <name val="Times New Roman"/>
      <family val="1"/>
      <charset val="204"/>
    </font>
    <font>
      <b/>
      <sz val="10"/>
      <name val="Times New Roman"/>
      <family val="1"/>
      <charset val="204"/>
    </font>
    <font>
      <sz val="8"/>
      <name val="Times New Roman"/>
      <family val="1"/>
      <charset val="204"/>
    </font>
    <font>
      <b/>
      <sz val="12"/>
      <name val="Times New Roman"/>
      <family val="1"/>
      <charset val="204"/>
    </font>
    <font>
      <b/>
      <sz val="14"/>
      <name val="Times New Roman"/>
      <family val="1"/>
      <charset val="204"/>
    </font>
    <font>
      <b/>
      <sz val="8"/>
      <name val="Times New Roman"/>
      <family val="1"/>
      <charset val="204"/>
    </font>
    <font>
      <b/>
      <sz val="5"/>
      <name val="Times New Roman"/>
      <family val="1"/>
      <charset val="204"/>
    </font>
    <font>
      <b/>
      <sz val="4"/>
      <name val="Times New Roman"/>
      <family val="1"/>
      <charset val="204"/>
    </font>
    <font>
      <sz val="10"/>
      <color rgb="FF000000"/>
      <name val="Arial Cyr"/>
    </font>
    <font>
      <b/>
      <sz val="10"/>
      <name val="Arial Cyr"/>
      <charset val="204"/>
    </font>
    <font>
      <b/>
      <sz val="11"/>
      <name val="Times New Roman"/>
      <family val="1"/>
      <charset val="204"/>
    </font>
    <font>
      <sz val="10"/>
      <name val="Calibri"/>
      <family val="2"/>
      <charset val="204"/>
    </font>
    <font>
      <sz val="11"/>
      <name val="Arial Cyr"/>
      <charset val="204"/>
    </font>
    <font>
      <sz val="14"/>
      <name val="Arial Cyr"/>
      <charset val="204"/>
    </font>
    <font>
      <b/>
      <sz val="14"/>
      <name val="Arial Cyr"/>
      <charset val="204"/>
    </font>
  </fonts>
  <fills count="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rgb="FF9FE1B8"/>
        <bgColor indexed="64"/>
      </patternFill>
    </fill>
  </fills>
  <borders count="67">
    <border>
      <left/>
      <right/>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style="medium">
        <color indexed="64"/>
      </top>
      <bottom/>
      <diagonal/>
    </border>
    <border>
      <left/>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style="thin">
        <color indexed="64"/>
      </left>
      <right/>
      <top/>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s>
  <cellStyleXfs count="1">
    <xf numFmtId="0" fontId="0" fillId="0" borderId="0"/>
  </cellStyleXfs>
  <cellXfs count="381">
    <xf numFmtId="0" fontId="0" fillId="0" borderId="0" xfId="0"/>
    <xf numFmtId="0" fontId="1" fillId="0" borderId="0" xfId="0" applyFont="1" applyAlignment="1">
      <alignment horizontal="center" vertical="center" wrapText="1"/>
    </xf>
    <xf numFmtId="0" fontId="3" fillId="0" borderId="1" xfId="0" applyFont="1" applyBorder="1" applyAlignment="1"/>
    <xf numFmtId="0" fontId="1" fillId="0" borderId="0" xfId="0" applyFont="1" applyBorder="1" applyAlignment="1">
      <alignment horizontal="center" vertical="center" wrapText="1"/>
    </xf>
    <xf numFmtId="0" fontId="1" fillId="0" borderId="0" xfId="0" applyFont="1" applyBorder="1" applyAlignment="1">
      <alignment vertical="center"/>
    </xf>
    <xf numFmtId="0" fontId="1" fillId="0" borderId="0" xfId="0" applyFont="1" applyBorder="1" applyAlignment="1"/>
    <xf numFmtId="0" fontId="1" fillId="0" borderId="0" xfId="0" applyFont="1" applyBorder="1" applyAlignment="1">
      <alignment vertical="center" wrapText="1"/>
    </xf>
    <xf numFmtId="0" fontId="5" fillId="0" borderId="0" xfId="0" applyFont="1" applyAlignment="1">
      <alignment vertical="center" wrapText="1"/>
    </xf>
    <xf numFmtId="49" fontId="1" fillId="0" borderId="0" xfId="0" applyNumberFormat="1" applyFont="1" applyAlignment="1">
      <alignment horizontal="center" vertical="center" wrapText="1"/>
    </xf>
    <xf numFmtId="0" fontId="1" fillId="0" borderId="0" xfId="0" applyFont="1" applyAlignment="1">
      <alignment horizontal="right" wrapText="1"/>
    </xf>
    <xf numFmtId="0" fontId="1" fillId="0" borderId="0" xfId="0" applyFont="1" applyAlignment="1">
      <alignment horizontal="right"/>
    </xf>
    <xf numFmtId="0" fontId="3" fillId="0" borderId="0" xfId="0" applyFont="1" applyBorder="1" applyAlignment="1"/>
    <xf numFmtId="0" fontId="6" fillId="0" borderId="3" xfId="0" applyFont="1" applyBorder="1" applyAlignment="1">
      <alignment horizontal="center" vertical="center" textRotation="90" wrapText="1"/>
    </xf>
    <xf numFmtId="0" fontId="3" fillId="0" borderId="0" xfId="0" applyFont="1" applyAlignment="1">
      <alignment horizontal="center" vertical="center" wrapText="1"/>
    </xf>
    <xf numFmtId="0" fontId="6" fillId="0" borderId="0" xfId="0" applyFont="1" applyAlignment="1">
      <alignment horizontal="center" vertical="center" wrapText="1"/>
    </xf>
    <xf numFmtId="0" fontId="1" fillId="0" borderId="2" xfId="0" applyFont="1" applyBorder="1" applyAlignment="1">
      <alignment horizontal="center" vertical="center" wrapText="1"/>
    </xf>
    <xf numFmtId="0" fontId="6" fillId="0" borderId="0" xfId="0" applyFont="1" applyAlignment="1"/>
    <xf numFmtId="0" fontId="3" fillId="0" borderId="0" xfId="0" applyFont="1" applyAlignment="1">
      <alignment vertical="center"/>
    </xf>
    <xf numFmtId="0" fontId="4" fillId="0" borderId="0" xfId="0" applyFont="1" applyAlignment="1">
      <alignment vertical="center" wrapText="1"/>
    </xf>
    <xf numFmtId="0" fontId="4" fillId="0" borderId="0" xfId="0" applyFont="1" applyBorder="1" applyAlignment="1">
      <alignment vertical="center" wrapText="1"/>
    </xf>
    <xf numFmtId="49" fontId="3" fillId="0" borderId="0" xfId="0" applyNumberFormat="1" applyFont="1" applyAlignment="1">
      <alignment horizontal="center" vertical="center" wrapText="1"/>
    </xf>
    <xf numFmtId="0" fontId="3" fillId="0" borderId="2" xfId="0" applyFont="1" applyBorder="1" applyAlignment="1">
      <alignment horizontal="center" vertical="center" wrapText="1"/>
    </xf>
    <xf numFmtId="0" fontId="4" fillId="0" borderId="8" xfId="0" applyFont="1" applyBorder="1" applyAlignment="1">
      <alignment horizontal="left" vertical="center"/>
    </xf>
    <xf numFmtId="0" fontId="6" fillId="0" borderId="10" xfId="0" applyFont="1" applyBorder="1" applyAlignment="1">
      <alignment horizontal="centerContinuous" vertical="center" wrapText="1"/>
    </xf>
    <xf numFmtId="0" fontId="6" fillId="0" borderId="26" xfId="0" applyFont="1" applyBorder="1" applyAlignment="1">
      <alignment horizontal="centerContinuous" vertical="center" wrapText="1"/>
    </xf>
    <xf numFmtId="0" fontId="3" fillId="0" borderId="3" xfId="0" applyFont="1" applyBorder="1" applyAlignment="1">
      <alignment horizontal="centerContinuous" vertical="center" wrapText="1"/>
    </xf>
    <xf numFmtId="165" fontId="1" fillId="0" borderId="0" xfId="0" applyNumberFormat="1" applyFont="1" applyAlignment="1">
      <alignment horizontal="center" vertical="center" wrapText="1"/>
    </xf>
    <xf numFmtId="0" fontId="6" fillId="0" borderId="27" xfId="0" applyFont="1" applyBorder="1" applyAlignment="1">
      <alignment horizontal="centerContinuous" vertical="center" wrapText="1"/>
    </xf>
    <xf numFmtId="0" fontId="6" fillId="0" borderId="6" xfId="0" applyFont="1" applyBorder="1" applyAlignment="1">
      <alignment horizontal="centerContinuous" vertical="center" wrapText="1"/>
    </xf>
    <xf numFmtId="0" fontId="6" fillId="0" borderId="25" xfId="0" applyFont="1" applyBorder="1" applyAlignment="1">
      <alignment horizontal="centerContinuous" vertical="center" wrapText="1"/>
    </xf>
    <xf numFmtId="0" fontId="6" fillId="0" borderId="29" xfId="0" applyFont="1" applyBorder="1" applyAlignment="1">
      <alignment horizontal="centerContinuous" vertical="center" wrapText="1"/>
    </xf>
    <xf numFmtId="0" fontId="3" fillId="0" borderId="0" xfId="0" applyFont="1" applyBorder="1" applyAlignment="1">
      <alignment horizontal="left" vertical="top" wrapText="1"/>
    </xf>
    <xf numFmtId="0" fontId="2" fillId="0" borderId="0" xfId="0" applyFont="1" applyAlignment="1"/>
    <xf numFmtId="0" fontId="10" fillId="0" borderId="0" xfId="0" applyFont="1" applyAlignment="1">
      <alignment horizontal="centerContinuous" vertical="center"/>
    </xf>
    <xf numFmtId="0" fontId="3" fillId="0" borderId="2" xfId="0" applyFont="1" applyBorder="1" applyAlignment="1">
      <alignment horizontal="center" vertical="center"/>
    </xf>
    <xf numFmtId="0" fontId="1" fillId="0" borderId="2" xfId="0" applyFont="1" applyBorder="1" applyAlignment="1">
      <alignment horizontal="center" vertical="center"/>
    </xf>
    <xf numFmtId="0" fontId="3" fillId="0" borderId="0" xfId="0" applyFont="1" applyBorder="1" applyAlignment="1">
      <alignment horizontal="center" vertical="center" wrapText="1"/>
    </xf>
    <xf numFmtId="0" fontId="0" fillId="0" borderId="0" xfId="0" applyBorder="1"/>
    <xf numFmtId="0" fontId="1" fillId="0" borderId="33" xfId="0" applyFont="1" applyBorder="1" applyAlignment="1" applyProtection="1">
      <alignment horizontal="center" vertical="center" wrapText="1" shrinkToFit="1"/>
      <protection locked="0"/>
    </xf>
    <xf numFmtId="0" fontId="6" fillId="0" borderId="20" xfId="0" applyFont="1"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4" fillId="0" borderId="0" xfId="0" applyFont="1" applyAlignment="1">
      <alignment horizontal="center" vertical="center" wrapText="1"/>
    </xf>
    <xf numFmtId="0" fontId="6" fillId="0" borderId="20" xfId="0" applyFont="1" applyBorder="1" applyAlignment="1">
      <alignment horizontal="center" vertical="center" wrapText="1"/>
    </xf>
    <xf numFmtId="0" fontId="4" fillId="0" borderId="0" xfId="0" applyFont="1" applyAlignment="1">
      <alignment horizontal="center" vertical="center" wrapText="1"/>
    </xf>
    <xf numFmtId="0" fontId="6" fillId="0" borderId="20" xfId="0" applyFont="1" applyBorder="1" applyAlignment="1">
      <alignment horizontal="center" vertical="center" wrapText="1"/>
    </xf>
    <xf numFmtId="0" fontId="3" fillId="0" borderId="1" xfId="0" applyFont="1" applyBorder="1"/>
    <xf numFmtId="0" fontId="3" fillId="0" borderId="0" xfId="0" applyFont="1"/>
    <xf numFmtId="0" fontId="1" fillId="0" borderId="0" xfId="0" applyFont="1" applyAlignment="1">
      <alignment vertical="center"/>
    </xf>
    <xf numFmtId="0" fontId="1" fillId="0" borderId="0" xfId="0" applyFont="1"/>
    <xf numFmtId="0" fontId="1" fillId="0" borderId="0" xfId="0" applyFont="1" applyAlignment="1">
      <alignment vertical="center" wrapText="1"/>
    </xf>
    <xf numFmtId="0" fontId="1" fillId="0" borderId="0" xfId="0" applyFont="1" applyAlignment="1">
      <alignment horizontal="center" vertical="center" wrapText="1"/>
    </xf>
    <xf numFmtId="0" fontId="11" fillId="0" borderId="0" xfId="0" applyFont="1" applyAlignment="1">
      <alignment horizontal="center" vertical="center" wrapText="1" shrinkToFit="1"/>
    </xf>
    <xf numFmtId="0" fontId="1" fillId="0" borderId="0" xfId="0" applyFont="1" applyAlignment="1" applyProtection="1">
      <alignment horizontal="center" vertical="center" wrapText="1" shrinkToFit="1"/>
      <protection locked="0"/>
    </xf>
    <xf numFmtId="0" fontId="1" fillId="2" borderId="0" xfId="0" applyFont="1" applyFill="1" applyAlignment="1">
      <alignment horizontal="center" vertical="center" wrapText="1"/>
    </xf>
    <xf numFmtId="0" fontId="4" fillId="2" borderId="0" xfId="0" applyFont="1" applyFill="1" applyAlignment="1">
      <alignment horizontal="center" vertical="center" wrapText="1"/>
    </xf>
    <xf numFmtId="0" fontId="4" fillId="2" borderId="0" xfId="0" applyFont="1" applyFill="1" applyAlignment="1">
      <alignment vertical="center" wrapText="1"/>
    </xf>
    <xf numFmtId="0" fontId="1" fillId="0" borderId="0" xfId="0" applyFont="1" applyAlignment="1">
      <alignment horizontal="center" vertical="center" wrapText="1" shrinkToFit="1"/>
    </xf>
    <xf numFmtId="0" fontId="1" fillId="0" borderId="0" xfId="0" applyFont="1" applyAlignment="1">
      <alignment horizontal="center" vertical="center" wrapText="1"/>
    </xf>
    <xf numFmtId="0" fontId="0" fillId="0" borderId="0" xfId="0" applyAlignment="1">
      <alignment horizontal="center" wrapText="1"/>
    </xf>
    <xf numFmtId="0" fontId="1" fillId="0" borderId="0" xfId="0" applyFont="1" applyBorder="1" applyAlignment="1">
      <alignment vertical="center" wrapText="1" shrinkToFit="1"/>
    </xf>
    <xf numFmtId="0" fontId="2" fillId="0" borderId="0" xfId="0" applyFont="1" applyBorder="1" applyAlignment="1">
      <alignment vertical="center" wrapText="1" shrinkToFit="1"/>
    </xf>
    <xf numFmtId="49" fontId="3" fillId="0" borderId="0" xfId="0" applyNumberFormat="1" applyFont="1" applyBorder="1" applyAlignment="1">
      <alignment vertical="center" wrapText="1" shrinkToFit="1"/>
    </xf>
    <xf numFmtId="49" fontId="1" fillId="0" borderId="0" xfId="0" applyNumberFormat="1" applyFont="1" applyBorder="1" applyAlignment="1">
      <alignment horizontal="center" vertical="center" wrapText="1" shrinkToFit="1"/>
    </xf>
    <xf numFmtId="0" fontId="2" fillId="0" borderId="0" xfId="0" applyFont="1" applyBorder="1" applyAlignment="1" applyProtection="1">
      <alignment horizontal="center" vertical="center" wrapText="1" shrinkToFit="1"/>
      <protection locked="0"/>
    </xf>
    <xf numFmtId="0" fontId="2" fillId="0" borderId="34" xfId="0" applyFont="1" applyBorder="1" applyAlignment="1" applyProtection="1">
      <alignment horizontal="center" vertical="center" wrapText="1" shrinkToFit="1"/>
      <protection locked="0"/>
    </xf>
    <xf numFmtId="0" fontId="6" fillId="0" borderId="20" xfId="0" applyFont="1" applyBorder="1" applyAlignment="1">
      <alignment horizontal="center" vertical="center" wrapText="1"/>
    </xf>
    <xf numFmtId="0" fontId="6" fillId="0" borderId="27" xfId="0" applyFont="1" applyBorder="1" applyAlignment="1">
      <alignment horizontal="center" vertical="center" wrapText="1"/>
    </xf>
    <xf numFmtId="0" fontId="11" fillId="0" borderId="20" xfId="0" applyFont="1" applyBorder="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49" fontId="6" fillId="0" borderId="20" xfId="0" applyNumberFormat="1" applyFont="1" applyBorder="1" applyAlignment="1">
      <alignment horizontal="center" vertical="center" wrapText="1"/>
    </xf>
    <xf numFmtId="0" fontId="2" fillId="0" borderId="47" xfId="0" applyFont="1" applyBorder="1" applyAlignment="1" applyProtection="1">
      <alignment horizontal="center" vertical="center" wrapText="1" shrinkToFit="1"/>
      <protection locked="0"/>
    </xf>
    <xf numFmtId="0" fontId="1" fillId="0" borderId="48" xfId="0" applyFont="1" applyBorder="1" applyAlignment="1" applyProtection="1">
      <alignment horizontal="center" vertical="center" wrapText="1" shrinkToFit="1"/>
      <protection locked="0"/>
    </xf>
    <xf numFmtId="0" fontId="11" fillId="0" borderId="27" xfId="0" applyFont="1" applyBorder="1" applyAlignment="1">
      <alignment horizontal="center" vertical="center" wrapText="1"/>
    </xf>
    <xf numFmtId="49" fontId="11" fillId="0" borderId="20" xfId="0" applyNumberFormat="1" applyFont="1" applyBorder="1" applyAlignment="1">
      <alignment horizontal="center" vertical="center" wrapText="1"/>
    </xf>
    <xf numFmtId="49" fontId="1" fillId="0" borderId="43" xfId="0" applyNumberFormat="1" applyFont="1" applyBorder="1" applyAlignment="1">
      <alignment horizontal="center" vertical="center" wrapText="1" shrinkToFit="1"/>
    </xf>
    <xf numFmtId="49" fontId="1" fillId="0" borderId="39" xfId="0" applyNumberFormat="1" applyFont="1" applyBorder="1" applyAlignment="1">
      <alignment horizontal="center" vertical="center" wrapText="1" shrinkToFit="1"/>
    </xf>
    <xf numFmtId="49" fontId="1" fillId="0" borderId="38" xfId="0" applyNumberFormat="1" applyFont="1" applyBorder="1" applyAlignment="1">
      <alignment horizontal="center" vertical="center" wrapText="1" shrinkToFit="1"/>
    </xf>
    <xf numFmtId="0" fontId="6" fillId="0" borderId="2" xfId="0" applyFont="1" applyBorder="1" applyAlignment="1">
      <alignment horizontal="center" vertical="center" textRotation="90" wrapText="1"/>
    </xf>
    <xf numFmtId="0" fontId="1" fillId="0" borderId="55" xfId="0" applyFont="1" applyBorder="1" applyAlignment="1">
      <alignment horizontal="center" vertical="center"/>
    </xf>
    <xf numFmtId="0" fontId="1" fillId="0" borderId="37" xfId="0" applyFont="1" applyBorder="1" applyAlignment="1">
      <alignment horizontal="center" vertical="center"/>
    </xf>
    <xf numFmtId="0" fontId="1" fillId="0" borderId="44" xfId="0" applyFont="1" applyBorder="1" applyAlignment="1">
      <alignment horizontal="center" vertical="center"/>
    </xf>
    <xf numFmtId="0" fontId="6" fillId="0" borderId="48" xfId="0" applyFont="1" applyBorder="1" applyAlignment="1">
      <alignment horizontal="center" vertical="center" wrapText="1"/>
    </xf>
    <xf numFmtId="0" fontId="1" fillId="0" borderId="19" xfId="0" applyFont="1" applyBorder="1" applyAlignment="1">
      <alignment horizontal="center" vertical="center"/>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0" borderId="41" xfId="0" applyFont="1" applyBorder="1" applyAlignment="1">
      <alignment horizontal="center" vertical="center"/>
    </xf>
    <xf numFmtId="0" fontId="1" fillId="0" borderId="45" xfId="0" applyFont="1" applyBorder="1" applyAlignment="1">
      <alignment horizontal="center" vertical="center"/>
    </xf>
    <xf numFmtId="0" fontId="2" fillId="0" borderId="56" xfId="0" applyFont="1" applyBorder="1" applyAlignment="1">
      <alignment horizontal="center" vertical="center" wrapText="1"/>
    </xf>
    <xf numFmtId="0" fontId="2" fillId="0" borderId="42" xfId="0" applyFont="1" applyBorder="1" applyAlignment="1">
      <alignment horizontal="center" vertical="center" wrapText="1"/>
    </xf>
    <xf numFmtId="0" fontId="2" fillId="0" borderId="4" xfId="0" applyFont="1" applyBorder="1" applyAlignment="1">
      <alignment horizontal="center" vertical="center"/>
    </xf>
    <xf numFmtId="0" fontId="2" fillId="0" borderId="40" xfId="0" applyFont="1" applyBorder="1" applyAlignment="1">
      <alignment horizontal="center" vertical="center"/>
    </xf>
    <xf numFmtId="0" fontId="2" fillId="0" borderId="57" xfId="0" applyFont="1" applyBorder="1" applyAlignment="1">
      <alignment horizontal="center" vertical="center"/>
    </xf>
    <xf numFmtId="0" fontId="2" fillId="0" borderId="58" xfId="0" applyFont="1" applyBorder="1" applyAlignment="1">
      <alignment horizontal="center" vertical="center"/>
    </xf>
    <xf numFmtId="0" fontId="6" fillId="0" borderId="13" xfId="0" applyFont="1" applyBorder="1" applyAlignment="1">
      <alignment horizontal="center" vertical="center" textRotation="90" wrapText="1"/>
    </xf>
    <xf numFmtId="0" fontId="6" fillId="0" borderId="39" xfId="0" applyFont="1" applyBorder="1" applyAlignment="1">
      <alignment horizontal="center" vertical="center" wrapText="1"/>
    </xf>
    <xf numFmtId="0" fontId="1" fillId="0" borderId="0" xfId="0" applyFont="1" applyAlignment="1">
      <alignment horizontal="center" vertical="center" wrapText="1"/>
    </xf>
    <xf numFmtId="0" fontId="3" fillId="0" borderId="0" xfId="0" applyFont="1" applyBorder="1" applyAlignment="1">
      <alignment horizontal="center" vertical="top"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1" fillId="0" borderId="0" xfId="0" applyFont="1" applyAlignment="1">
      <alignment horizontal="center" vertical="center" wrapText="1"/>
    </xf>
    <xf numFmtId="0" fontId="6" fillId="0" borderId="3" xfId="0" applyFont="1" applyBorder="1" applyAlignment="1">
      <alignment horizontal="centerContinuous"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2" fillId="0" borderId="2" xfId="0" applyFont="1" applyBorder="1" applyAlignment="1" applyProtection="1">
      <alignment horizontal="center" vertical="center" wrapText="1" shrinkToFit="1"/>
      <protection locked="0"/>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2" fillId="0" borderId="47" xfId="0" applyFont="1" applyBorder="1" applyAlignment="1" applyProtection="1">
      <alignment horizontal="center" vertical="center" wrapText="1" shrinkToFit="1"/>
      <protection locked="0"/>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6" fillId="0" borderId="20" xfId="0" applyFont="1" applyBorder="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shrinkToFit="1"/>
    </xf>
    <xf numFmtId="0" fontId="1" fillId="0" borderId="0" xfId="0" applyFont="1" applyAlignment="1">
      <alignment horizontal="center" vertical="center" wrapText="1"/>
    </xf>
    <xf numFmtId="0" fontId="14" fillId="0" borderId="0" xfId="0" applyFont="1"/>
    <xf numFmtId="0" fontId="1" fillId="0" borderId="0" xfId="0" applyFont="1" applyFill="1" applyAlignment="1">
      <alignment horizontal="center" vertical="center" wrapText="1"/>
    </xf>
    <xf numFmtId="0" fontId="5" fillId="0" borderId="0" xfId="0" applyFont="1" applyFill="1" applyAlignment="1">
      <alignment vertical="center" wrapText="1"/>
    </xf>
    <xf numFmtId="0" fontId="6" fillId="0" borderId="26" xfId="0" applyFont="1" applyFill="1" applyBorder="1" applyAlignment="1">
      <alignment horizontal="centerContinuous" vertical="center" wrapText="1"/>
    </xf>
    <xf numFmtId="0" fontId="6" fillId="0" borderId="6" xfId="0" applyFont="1" applyFill="1" applyBorder="1" applyAlignment="1">
      <alignment horizontal="centerContinuous" vertical="center" wrapText="1"/>
    </xf>
    <xf numFmtId="0" fontId="3" fillId="0" borderId="0" xfId="0" applyFont="1" applyFill="1" applyAlignment="1">
      <alignment horizontal="center" vertical="center" wrapText="1"/>
    </xf>
    <xf numFmtId="0" fontId="14" fillId="0" borderId="2" xfId="0" applyFont="1" applyBorder="1" applyAlignment="1">
      <alignment horizontal="center" vertical="center"/>
    </xf>
    <xf numFmtId="0" fontId="14" fillId="0" borderId="37" xfId="0" applyFont="1" applyBorder="1" applyAlignment="1">
      <alignment horizontal="center" vertical="center"/>
    </xf>
    <xf numFmtId="0" fontId="14" fillId="0" borderId="66" xfId="0" applyFont="1" applyBorder="1" applyAlignment="1">
      <alignment horizontal="center" vertical="center"/>
    </xf>
    <xf numFmtId="0" fontId="14" fillId="0" borderId="19" xfId="0" applyFont="1" applyBorder="1" applyAlignment="1">
      <alignment horizontal="center" vertical="center"/>
    </xf>
    <xf numFmtId="0" fontId="14" fillId="0" borderId="15" xfId="0" applyFont="1" applyBorder="1" applyAlignment="1">
      <alignment horizontal="center" vertical="center"/>
    </xf>
    <xf numFmtId="0" fontId="14" fillId="0" borderId="38" xfId="0" applyFont="1" applyBorder="1" applyAlignment="1">
      <alignment horizontal="center" vertical="center" wrapText="1"/>
    </xf>
    <xf numFmtId="0" fontId="14" fillId="0" borderId="56" xfId="0" applyFont="1" applyBorder="1" applyAlignment="1">
      <alignment horizontal="center" vertical="center" wrapText="1"/>
    </xf>
    <xf numFmtId="0" fontId="15" fillId="0" borderId="39" xfId="0" applyFont="1" applyBorder="1" applyAlignment="1">
      <alignment horizontal="center" vertical="center"/>
    </xf>
    <xf numFmtId="0" fontId="14" fillId="0" borderId="17" xfId="0" applyFont="1" applyBorder="1" applyAlignment="1">
      <alignment horizontal="center" vertical="center"/>
    </xf>
    <xf numFmtId="0" fontId="14" fillId="0" borderId="41" xfId="0" applyFont="1" applyBorder="1" applyAlignment="1">
      <alignment horizontal="center" vertical="center"/>
    </xf>
    <xf numFmtId="0" fontId="14" fillId="4" borderId="57" xfId="0" applyFont="1" applyFill="1" applyBorder="1" applyAlignment="1">
      <alignment horizontal="center" vertical="center"/>
    </xf>
    <xf numFmtId="0" fontId="14" fillId="4" borderId="58" xfId="0" applyFont="1" applyFill="1" applyBorder="1" applyAlignment="1">
      <alignment horizontal="center" vertical="center"/>
    </xf>
    <xf numFmtId="0" fontId="15" fillId="4" borderId="57" xfId="0" applyFont="1" applyFill="1" applyBorder="1" applyAlignment="1">
      <alignment horizontal="center" vertical="center"/>
    </xf>
    <xf numFmtId="0" fontId="14" fillId="4" borderId="0" xfId="0" applyFont="1" applyFill="1" applyBorder="1" applyAlignment="1">
      <alignment horizontal="center" vertical="center"/>
    </xf>
    <xf numFmtId="0" fontId="14" fillId="0" borderId="0" xfId="0" applyFont="1" applyBorder="1" applyAlignment="1">
      <alignment horizontal="center" vertical="center"/>
    </xf>
    <xf numFmtId="0" fontId="14" fillId="0" borderId="44" xfId="0" applyFont="1" applyBorder="1" applyAlignment="1">
      <alignment horizontal="center" vertical="center"/>
    </xf>
    <xf numFmtId="0" fontId="14" fillId="0" borderId="55" xfId="0" applyFont="1" applyBorder="1" applyAlignment="1">
      <alignment horizontal="center" vertical="center"/>
    </xf>
    <xf numFmtId="0" fontId="14" fillId="0" borderId="45" xfId="0" applyFont="1" applyBorder="1" applyAlignment="1">
      <alignment horizontal="center" vertical="center"/>
    </xf>
    <xf numFmtId="0" fontId="14" fillId="0" borderId="4" xfId="0" applyFont="1" applyBorder="1" applyAlignment="1">
      <alignment horizontal="center" vertical="center"/>
    </xf>
    <xf numFmtId="0" fontId="2" fillId="0" borderId="47" xfId="0" applyFont="1" applyBorder="1" applyAlignment="1" applyProtection="1">
      <alignment horizontal="center" vertical="center" wrapText="1" shrinkToFit="1"/>
      <protection locked="0"/>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0" fillId="0" borderId="0" xfId="0"/>
    <xf numFmtId="0" fontId="1" fillId="0" borderId="0" xfId="0" applyFont="1" applyAlignment="1">
      <alignment horizontal="center" vertical="center" wrapText="1"/>
    </xf>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2" fillId="0" borderId="33" xfId="0" applyFont="1" applyBorder="1" applyAlignment="1" applyProtection="1">
      <alignment horizontal="center" vertical="center" wrapText="1" shrinkToFit="1"/>
      <protection locked="0"/>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2" fillId="0" borderId="47" xfId="0" applyFont="1" applyBorder="1" applyAlignment="1" applyProtection="1">
      <alignment horizontal="center" vertical="center" wrapText="1" shrinkToFit="1"/>
      <protection locked="0"/>
    </xf>
    <xf numFmtId="0" fontId="1" fillId="0" borderId="48" xfId="0" applyFont="1" applyBorder="1" applyAlignment="1" applyProtection="1">
      <alignment horizontal="center" vertical="center" wrapText="1" shrinkToFit="1"/>
      <protection locked="0"/>
    </xf>
    <xf numFmtId="0" fontId="1" fillId="0" borderId="0" xfId="0" applyFont="1" applyAlignment="1">
      <alignment horizontal="center" vertical="center" wrapText="1"/>
    </xf>
    <xf numFmtId="0" fontId="1" fillId="0" borderId="0" xfId="0" applyFont="1" applyAlignment="1">
      <alignment horizontal="center" vertical="center" wrapText="1"/>
    </xf>
    <xf numFmtId="0" fontId="2" fillId="0" borderId="47" xfId="0" applyFont="1" applyBorder="1" applyAlignment="1" applyProtection="1">
      <alignment horizontal="center" vertical="center" wrapText="1" shrinkToFit="1"/>
      <protection locked="0"/>
    </xf>
    <xf numFmtId="0" fontId="1" fillId="0" borderId="48" xfId="0" applyFont="1" applyBorder="1" applyAlignment="1" applyProtection="1">
      <alignment horizontal="center" vertical="center" wrapText="1" shrinkToFit="1"/>
      <protection locked="0"/>
    </xf>
    <xf numFmtId="0" fontId="1" fillId="0" borderId="0" xfId="0" applyFont="1" applyAlignment="1">
      <alignment horizontal="center" vertical="center" wrapText="1"/>
    </xf>
    <xf numFmtId="0" fontId="1" fillId="0" borderId="0" xfId="0" applyFont="1" applyAlignment="1">
      <alignment horizontal="center" vertical="center" wrapText="1"/>
    </xf>
    <xf numFmtId="0" fontId="2" fillId="0" borderId="47" xfId="0" applyFont="1" applyBorder="1" applyAlignment="1" applyProtection="1">
      <alignment horizontal="center" vertical="center" wrapText="1" shrinkToFit="1"/>
      <protection locked="0"/>
    </xf>
    <xf numFmtId="0" fontId="1" fillId="0" borderId="48" xfId="0" applyFont="1" applyBorder="1" applyAlignment="1" applyProtection="1">
      <alignment horizontal="center" vertical="center" wrapText="1" shrinkToFit="1"/>
      <protection locked="0"/>
    </xf>
    <xf numFmtId="0" fontId="2" fillId="0" borderId="47" xfId="0" applyFont="1" applyBorder="1" applyAlignment="1" applyProtection="1">
      <alignment horizontal="center" vertical="center" wrapText="1" shrinkToFit="1"/>
      <protection locked="0"/>
    </xf>
    <xf numFmtId="0" fontId="1" fillId="0" borderId="48" xfId="0" applyFont="1" applyBorder="1" applyAlignment="1" applyProtection="1">
      <alignment horizontal="center" vertical="center" wrapText="1" shrinkToFit="1"/>
      <protection locked="0"/>
    </xf>
    <xf numFmtId="0" fontId="1" fillId="0" borderId="0" xfId="0" applyFont="1" applyAlignment="1">
      <alignment horizontal="center" vertical="center" wrapText="1"/>
    </xf>
    <xf numFmtId="0" fontId="1" fillId="0" borderId="0" xfId="0" applyFont="1" applyAlignment="1">
      <alignment horizontal="center" vertical="center" wrapText="1"/>
    </xf>
    <xf numFmtId="0" fontId="7" fillId="0" borderId="20" xfId="0" applyFont="1" applyFill="1" applyBorder="1" applyAlignment="1">
      <alignment horizontal="center" vertical="center" textRotation="90" wrapText="1"/>
    </xf>
    <xf numFmtId="0" fontId="7" fillId="0" borderId="21" xfId="0" applyFont="1" applyFill="1" applyBorder="1" applyAlignment="1">
      <alignment horizontal="center" vertical="center" textRotation="90" wrapText="1"/>
    </xf>
    <xf numFmtId="0" fontId="7" fillId="0" borderId="22" xfId="0" applyFont="1" applyFill="1" applyBorder="1" applyAlignment="1">
      <alignment horizontal="center" vertical="center" textRotation="90" wrapText="1"/>
    </xf>
    <xf numFmtId="0" fontId="1" fillId="0" borderId="11" xfId="0" applyFont="1" applyFill="1" applyBorder="1" applyAlignment="1">
      <alignment horizontal="center" vertical="center" wrapText="1" shrinkToFit="1"/>
    </xf>
    <xf numFmtId="0" fontId="1" fillId="0" borderId="9" xfId="0" applyFont="1" applyFill="1" applyBorder="1" applyAlignment="1">
      <alignment horizontal="center" vertical="center" wrapText="1" shrinkToFit="1"/>
    </xf>
    <xf numFmtId="0" fontId="1" fillId="0" borderId="64" xfId="0" applyFont="1" applyBorder="1" applyAlignment="1">
      <alignment horizontal="center" vertical="center" wrapText="1" shrinkToFit="1"/>
    </xf>
    <xf numFmtId="0" fontId="1" fillId="0" borderId="65" xfId="0" applyFont="1" applyBorder="1" applyAlignment="1">
      <alignment horizontal="center" vertical="center" wrapText="1" shrinkToFit="1"/>
    </xf>
    <xf numFmtId="0" fontId="1" fillId="0" borderId="11" xfId="0" applyFont="1" applyBorder="1" applyAlignment="1">
      <alignment horizontal="center" vertical="center" wrapText="1" shrinkToFit="1"/>
    </xf>
    <xf numFmtId="0" fontId="1" fillId="0" borderId="9" xfId="0" applyFont="1" applyBorder="1" applyAlignment="1">
      <alignment horizontal="center" vertical="center" wrapText="1" shrinkToFit="1"/>
    </xf>
    <xf numFmtId="0" fontId="7" fillId="0" borderId="20" xfId="0" applyFont="1" applyBorder="1" applyAlignment="1">
      <alignment horizontal="center" vertical="center" textRotation="90" wrapText="1"/>
    </xf>
    <xf numFmtId="0" fontId="7" fillId="0" borderId="21" xfId="0" applyFont="1" applyBorder="1" applyAlignment="1">
      <alignment horizontal="center" vertical="center" textRotation="90" wrapText="1"/>
    </xf>
    <xf numFmtId="0" fontId="7" fillId="0" borderId="22" xfId="0" applyFont="1" applyBorder="1" applyAlignment="1">
      <alignment horizontal="center" vertical="center" textRotation="90" wrapText="1"/>
    </xf>
    <xf numFmtId="0" fontId="2" fillId="0" borderId="11" xfId="0" applyFont="1" applyFill="1" applyBorder="1" applyAlignment="1">
      <alignment horizontal="center" vertical="center" wrapText="1" shrinkToFit="1"/>
    </xf>
    <xf numFmtId="0" fontId="2" fillId="0" borderId="9" xfId="0" applyFont="1" applyFill="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9" xfId="0" applyFont="1" applyBorder="1" applyAlignment="1">
      <alignment horizontal="center" vertical="center" wrapText="1" shrinkToFit="1"/>
    </xf>
    <xf numFmtId="0" fontId="1" fillId="0" borderId="34" xfId="0" applyFont="1" applyBorder="1" applyAlignment="1">
      <alignment horizontal="center" vertical="center" wrapText="1" shrinkToFit="1"/>
    </xf>
    <xf numFmtId="0" fontId="0" fillId="0" borderId="33" xfId="0" applyBorder="1" applyAlignment="1">
      <alignment horizontal="center" vertical="center" wrapText="1" shrinkToFit="1"/>
    </xf>
    <xf numFmtId="0" fontId="1" fillId="0" borderId="29" xfId="0" applyFont="1" applyBorder="1" applyAlignment="1">
      <alignment horizontal="center" vertical="center" wrapText="1" shrinkToFit="1"/>
    </xf>
    <xf numFmtId="0" fontId="1" fillId="0" borderId="63" xfId="0" applyFont="1" applyBorder="1" applyAlignment="1">
      <alignment horizontal="center" vertical="center" wrapText="1" shrinkToFit="1"/>
    </xf>
    <xf numFmtId="0" fontId="2" fillId="0" borderId="64" xfId="0" applyFont="1" applyBorder="1" applyAlignment="1">
      <alignment horizontal="center" vertical="center" wrapText="1" shrinkToFit="1"/>
    </xf>
    <xf numFmtId="0" fontId="2" fillId="0" borderId="65"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63" xfId="0" applyFont="1" applyBorder="1" applyAlignment="1">
      <alignment horizontal="center" vertical="center" wrapText="1" shrinkToFit="1"/>
    </xf>
    <xf numFmtId="0" fontId="1" fillId="0" borderId="28" xfId="0" applyFont="1" applyBorder="1" applyAlignment="1">
      <alignment horizontal="left" vertical="center" wrapText="1"/>
    </xf>
    <xf numFmtId="0" fontId="1" fillId="0" borderId="0" xfId="0" applyFont="1" applyBorder="1" applyAlignment="1">
      <alignment horizontal="left" vertical="center" wrapText="1"/>
    </xf>
    <xf numFmtId="166" fontId="2" fillId="0" borderId="8" xfId="0" applyNumberFormat="1" applyFont="1" applyBorder="1" applyAlignment="1">
      <alignment horizontal="center"/>
    </xf>
    <xf numFmtId="0" fontId="3" fillId="0" borderId="1" xfId="0" applyFont="1" applyBorder="1" applyAlignment="1">
      <alignment horizontal="center" vertical="top" wrapText="1"/>
    </xf>
    <xf numFmtId="0" fontId="2" fillId="0" borderId="8" xfId="0" applyFont="1" applyBorder="1" applyAlignment="1">
      <alignment horizontal="center"/>
    </xf>
    <xf numFmtId="0" fontId="1" fillId="0" borderId="8" xfId="0" applyFont="1" applyBorder="1" applyAlignment="1">
      <alignment horizontal="center" wrapText="1"/>
    </xf>
    <xf numFmtId="0" fontId="2" fillId="0" borderId="8" xfId="0" applyFont="1" applyBorder="1" applyAlignment="1">
      <alignment horizontal="center" wrapText="1"/>
    </xf>
    <xf numFmtId="0" fontId="2" fillId="0" borderId="0" xfId="0" applyFont="1" applyAlignment="1">
      <alignment horizontal="justify" vertical="center" wrapText="1"/>
    </xf>
    <xf numFmtId="0" fontId="2" fillId="0" borderId="8" xfId="0" applyFont="1" applyBorder="1" applyAlignment="1">
      <alignment horizontal="center" vertical="center" wrapText="1"/>
    </xf>
    <xf numFmtId="0" fontId="11" fillId="0" borderId="38" xfId="0" applyFont="1" applyBorder="1" applyAlignment="1">
      <alignment horizontal="center" vertical="center" wrapText="1" shrinkToFit="1"/>
    </xf>
    <xf numFmtId="0" fontId="11" fillId="0" borderId="39" xfId="0" applyFont="1" applyBorder="1" applyAlignment="1">
      <alignment horizontal="center" vertical="center" wrapText="1" shrinkToFit="1"/>
    </xf>
    <xf numFmtId="0" fontId="11" fillId="0" borderId="20" xfId="0" applyFont="1" applyBorder="1" applyAlignment="1">
      <alignment horizontal="center" vertical="center" wrapText="1" shrinkToFit="1"/>
    </xf>
    <xf numFmtId="0" fontId="11" fillId="0" borderId="22" xfId="0" applyFont="1" applyBorder="1" applyAlignment="1">
      <alignment horizontal="center" vertical="center" wrapText="1" shrinkToFit="1"/>
    </xf>
    <xf numFmtId="0" fontId="6" fillId="0" borderId="6" xfId="0" applyFont="1" applyBorder="1" applyAlignment="1">
      <alignment horizontal="center" vertical="center" wrapText="1"/>
    </xf>
    <xf numFmtId="0" fontId="6" fillId="0" borderId="27" xfId="0" applyFont="1" applyBorder="1" applyAlignment="1">
      <alignment horizontal="center" vertical="center" wrapText="1"/>
    </xf>
    <xf numFmtId="0" fontId="6" fillId="0" borderId="25" xfId="0" applyFont="1" applyBorder="1" applyAlignment="1">
      <alignment horizontal="center" vertical="center" wrapText="1"/>
    </xf>
    <xf numFmtId="0" fontId="8" fillId="0" borderId="20" xfId="0" applyFont="1" applyBorder="1" applyAlignment="1">
      <alignment horizontal="center" vertical="center" textRotation="90" wrapText="1"/>
    </xf>
    <xf numFmtId="0" fontId="0" fillId="0" borderId="21" xfId="0" applyBorder="1" applyAlignment="1">
      <alignment horizontal="center" vertical="center" textRotation="90" wrapText="1"/>
    </xf>
    <xf numFmtId="0" fontId="0" fillId="0" borderId="22" xfId="0" applyBorder="1" applyAlignment="1">
      <alignment horizontal="center" vertical="center" textRotation="90" wrapText="1"/>
    </xf>
    <xf numFmtId="0" fontId="6" fillId="3" borderId="11"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6" fillId="2" borderId="12"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4" fillId="0" borderId="0" xfId="0" applyFont="1" applyAlignment="1">
      <alignment horizontal="right" vertical="center" wrapText="1"/>
    </xf>
    <xf numFmtId="0" fontId="6" fillId="0" borderId="20" xfId="0" applyFont="1" applyBorder="1" applyAlignment="1">
      <alignment horizontal="center" vertical="center" textRotation="90" wrapText="1"/>
    </xf>
    <xf numFmtId="0" fontId="6" fillId="0" borderId="21" xfId="0" applyFont="1" applyBorder="1" applyAlignment="1">
      <alignment horizontal="center" vertical="center" textRotation="90" wrapText="1"/>
    </xf>
    <xf numFmtId="0" fontId="6" fillId="0" borderId="22" xfId="0" applyFont="1" applyBorder="1" applyAlignment="1">
      <alignment horizontal="center" vertical="center" textRotation="90" wrapText="1"/>
    </xf>
    <xf numFmtId="0" fontId="6" fillId="0" borderId="10" xfId="0" applyFont="1" applyBorder="1" applyAlignment="1">
      <alignment horizontal="center" vertical="center" wrapText="1"/>
    </xf>
    <xf numFmtId="0" fontId="6" fillId="0" borderId="26" xfId="0" applyFont="1" applyBorder="1" applyAlignment="1">
      <alignment horizontal="center" vertical="center" wrapText="1"/>
    </xf>
    <xf numFmtId="0" fontId="6" fillId="0" borderId="3" xfId="0" applyFont="1" applyBorder="1" applyAlignment="1">
      <alignment horizontal="center" vertical="center" wrapText="1"/>
    </xf>
    <xf numFmtId="0" fontId="1" fillId="0" borderId="1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 fillId="0" borderId="8" xfId="0" applyFont="1" applyBorder="1" applyAlignment="1">
      <alignment horizontal="center" vertical="center" wrapText="1"/>
    </xf>
    <xf numFmtId="0" fontId="1" fillId="0" borderId="19" xfId="0" applyFont="1" applyBorder="1" applyAlignment="1">
      <alignment horizontal="center" vertical="center" wrapText="1"/>
    </xf>
    <xf numFmtId="0" fontId="2" fillId="0" borderId="8" xfId="0" applyFont="1" applyBorder="1" applyAlignment="1">
      <alignment horizontal="center" vertical="center"/>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5" xfId="0" applyFont="1" applyBorder="1" applyAlignment="1">
      <alignment horizontal="center" vertical="center" wrapText="1"/>
    </xf>
    <xf numFmtId="164" fontId="2" fillId="0" borderId="13" xfId="0" applyNumberFormat="1" applyFont="1" applyBorder="1" applyAlignment="1">
      <alignment horizontal="center" vertical="center" wrapText="1"/>
    </xf>
    <xf numFmtId="164" fontId="2" fillId="0" borderId="14" xfId="0" applyNumberFormat="1" applyFont="1" applyBorder="1" applyAlignment="1">
      <alignment horizontal="center" vertical="center" wrapText="1"/>
    </xf>
    <xf numFmtId="164" fontId="2" fillId="0" borderId="15" xfId="0" applyNumberFormat="1" applyFont="1" applyBorder="1" applyAlignment="1">
      <alignment horizontal="center" vertical="center" wrapText="1"/>
    </xf>
    <xf numFmtId="0" fontId="6" fillId="0" borderId="27" xfId="0" applyFont="1" applyBorder="1" applyAlignment="1">
      <alignment horizontal="center" vertical="center" textRotation="90" wrapText="1"/>
    </xf>
    <xf numFmtId="0" fontId="6" fillId="0" borderId="23" xfId="0" applyFont="1" applyBorder="1" applyAlignment="1">
      <alignment horizontal="center" vertical="center" textRotation="90" wrapText="1"/>
    </xf>
    <xf numFmtId="0" fontId="6" fillId="0" borderId="24" xfId="0" applyFont="1" applyBorder="1" applyAlignment="1">
      <alignment horizontal="center" vertical="center" textRotation="90" wrapText="1"/>
    </xf>
    <xf numFmtId="0" fontId="6" fillId="0" borderId="20"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3" fillId="0" borderId="1" xfId="0" applyFont="1" applyBorder="1" applyAlignment="1">
      <alignment horizontal="center" vertical="center" wrapText="1"/>
    </xf>
    <xf numFmtId="0" fontId="2" fillId="0" borderId="0" xfId="0" applyFont="1" applyAlignment="1">
      <alignment horizontal="center" vertical="center" wrapText="1"/>
    </xf>
    <xf numFmtId="49" fontId="2" fillId="0" borderId="13" xfId="0" applyNumberFormat="1"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6" fillId="3" borderId="7" xfId="0" applyFont="1" applyFill="1" applyBorder="1" applyAlignment="1">
      <alignment horizontal="center" vertical="center" wrapText="1"/>
    </xf>
    <xf numFmtId="0" fontId="6" fillId="3" borderId="32" xfId="0" applyFont="1" applyFill="1" applyBorder="1" applyAlignment="1">
      <alignment horizontal="center" vertical="center" wrapText="1"/>
    </xf>
    <xf numFmtId="0" fontId="6" fillId="3" borderId="5" xfId="0" applyFont="1" applyFill="1" applyBorder="1" applyAlignment="1">
      <alignment horizontal="center" vertical="center" wrapText="1"/>
    </xf>
    <xf numFmtId="0" fontId="4" fillId="0" borderId="0" xfId="0" applyFont="1" applyAlignment="1">
      <alignment horizontal="center" vertical="center" wrapText="1"/>
    </xf>
    <xf numFmtId="0" fontId="4" fillId="0" borderId="38" xfId="0" applyFont="1" applyBorder="1" applyAlignment="1">
      <alignment horizontal="center" vertical="center" wrapText="1" shrinkToFit="1"/>
    </xf>
    <xf numFmtId="0" fontId="4" fillId="0" borderId="39" xfId="0" applyFont="1" applyBorder="1" applyAlignment="1">
      <alignment horizontal="center" vertical="center" wrapText="1" shrinkToFit="1"/>
    </xf>
    <xf numFmtId="0" fontId="1" fillId="0" borderId="0" xfId="0" applyFont="1" applyAlignment="1">
      <alignment horizontal="center" vertical="center" wrapText="1" shrinkToFit="1"/>
    </xf>
    <xf numFmtId="0" fontId="0" fillId="0" borderId="0" xfId="0" applyAlignment="1">
      <alignment horizontal="center" vertical="center" wrapText="1" shrinkToFit="1"/>
    </xf>
    <xf numFmtId="166" fontId="2" fillId="0" borderId="0" xfId="0" applyNumberFormat="1" applyFont="1" applyBorder="1" applyAlignment="1">
      <alignment horizontal="center"/>
    </xf>
    <xf numFmtId="0" fontId="4" fillId="0" borderId="43" xfId="0" applyFont="1" applyBorder="1" applyAlignment="1">
      <alignment horizontal="center" vertical="center" wrapText="1" shrinkToFit="1"/>
    </xf>
    <xf numFmtId="0" fontId="1" fillId="0" borderId="23" xfId="0" applyFont="1" applyBorder="1" applyAlignment="1">
      <alignment horizontal="center" vertical="center" wrapText="1" shrinkToFit="1"/>
    </xf>
    <xf numFmtId="0" fontId="1" fillId="0" borderId="41" xfId="0" applyFont="1" applyBorder="1" applyAlignment="1">
      <alignment horizontal="center" vertical="center" wrapText="1" shrinkToFit="1"/>
    </xf>
    <xf numFmtId="164" fontId="2" fillId="0" borderId="0" xfId="0" applyNumberFormat="1" applyFont="1" applyAlignment="1">
      <alignment horizontal="center" vertical="center" wrapText="1"/>
    </xf>
    <xf numFmtId="0" fontId="1" fillId="0" borderId="0" xfId="0" applyFont="1" applyAlignment="1">
      <alignment horizontal="center" vertical="center" wrapText="1"/>
    </xf>
    <xf numFmtId="0" fontId="11" fillId="0" borderId="30" xfId="0" applyFont="1" applyBorder="1" applyAlignment="1">
      <alignment horizontal="center" vertical="center" wrapText="1" shrinkToFit="1"/>
    </xf>
    <xf numFmtId="0" fontId="11" fillId="0" borderId="31" xfId="0" applyFont="1" applyBorder="1" applyAlignment="1">
      <alignment horizontal="center" vertical="center" wrapText="1" shrinkToFit="1"/>
    </xf>
    <xf numFmtId="49" fontId="2" fillId="0" borderId="0" xfId="0" applyNumberFormat="1" applyFont="1" applyAlignment="1">
      <alignment horizontal="center" vertical="center" wrapText="1"/>
    </xf>
    <xf numFmtId="14" fontId="2" fillId="0" borderId="0" xfId="0" applyNumberFormat="1" applyFont="1" applyAlignment="1">
      <alignment horizontal="center" vertical="center" wrapText="1"/>
    </xf>
    <xf numFmtId="0" fontId="11" fillId="0" borderId="43" xfId="0" applyFont="1" applyBorder="1" applyAlignment="1">
      <alignment horizontal="center" vertical="center" wrapText="1" shrinkToFit="1"/>
    </xf>
    <xf numFmtId="0" fontId="1" fillId="0" borderId="49" xfId="0" applyFont="1" applyBorder="1" applyAlignment="1">
      <alignment horizontal="center" vertical="center" wrapText="1" shrinkToFit="1"/>
    </xf>
    <xf numFmtId="0" fontId="1" fillId="0" borderId="54" xfId="0" applyFont="1" applyBorder="1" applyAlignment="1">
      <alignment horizontal="center" vertical="center" wrapText="1" shrinkToFit="1"/>
    </xf>
    <xf numFmtId="0" fontId="1" fillId="0" borderId="51" xfId="0" applyFont="1" applyBorder="1" applyAlignment="1">
      <alignment horizontal="center" vertical="center" wrapText="1" shrinkToFit="1"/>
    </xf>
    <xf numFmtId="0" fontId="1" fillId="0" borderId="50" xfId="0" applyFont="1" applyBorder="1" applyAlignment="1">
      <alignment horizontal="center" vertical="center" wrapText="1" shrinkToFit="1"/>
    </xf>
    <xf numFmtId="0" fontId="2" fillId="0" borderId="18" xfId="0" applyFont="1" applyBorder="1" applyAlignment="1">
      <alignment horizontal="right" vertical="center" wrapText="1" shrinkToFit="1"/>
    </xf>
    <xf numFmtId="0" fontId="2" fillId="0" borderId="53" xfId="0" applyFont="1" applyBorder="1" applyAlignment="1">
      <alignment horizontal="right" vertical="center" wrapText="1" shrinkToFit="1"/>
    </xf>
    <xf numFmtId="49" fontId="3" fillId="0" borderId="43" xfId="0" applyNumberFormat="1" applyFont="1" applyBorder="1" applyAlignment="1">
      <alignment horizontal="center" vertical="center" wrapText="1" shrinkToFit="1"/>
    </xf>
    <xf numFmtId="49" fontId="3" fillId="0" borderId="39" xfId="0" applyNumberFormat="1" applyFont="1" applyBorder="1" applyAlignment="1">
      <alignment horizontal="center" vertical="center" wrapText="1" shrinkToFit="1"/>
    </xf>
    <xf numFmtId="0" fontId="11" fillId="0" borderId="38" xfId="0" applyFont="1" applyBorder="1" applyAlignment="1">
      <alignment horizontal="center" vertical="center"/>
    </xf>
    <xf numFmtId="0" fontId="13" fillId="0" borderId="39" xfId="0" applyFont="1" applyBorder="1" applyAlignment="1">
      <alignment horizontal="center" vertical="center"/>
    </xf>
    <xf numFmtId="0" fontId="0" fillId="0" borderId="39" xfId="0" applyBorder="1" applyAlignment="1">
      <alignment horizontal="center" vertical="center"/>
    </xf>
    <xf numFmtId="0" fontId="4" fillId="0" borderId="30" xfId="0" applyFont="1" applyBorder="1" applyAlignment="1">
      <alignment horizontal="center" vertical="center" wrapText="1" shrinkToFit="1"/>
    </xf>
    <xf numFmtId="0" fontId="4" fillId="0" borderId="31" xfId="0" applyFont="1" applyBorder="1" applyAlignment="1">
      <alignment horizontal="center" vertical="center" wrapText="1" shrinkToFit="1"/>
    </xf>
    <xf numFmtId="0" fontId="11" fillId="0" borderId="38" xfId="0" applyFont="1" applyBorder="1" applyAlignment="1">
      <alignment horizontal="center" vertical="center" wrapText="1"/>
    </xf>
    <xf numFmtId="0" fontId="13" fillId="0" borderId="39" xfId="0" applyFont="1" applyBorder="1" applyAlignment="1">
      <alignment horizontal="center" vertical="center" wrapText="1"/>
    </xf>
    <xf numFmtId="0" fontId="4" fillId="0" borderId="38" xfId="0" applyFont="1" applyBorder="1" applyAlignment="1">
      <alignment horizontal="center" vertical="center"/>
    </xf>
    <xf numFmtId="0" fontId="4" fillId="0" borderId="46" xfId="0" applyFont="1" applyBorder="1" applyAlignment="1">
      <alignment horizontal="center" vertical="center" wrapText="1" shrinkToFit="1"/>
    </xf>
    <xf numFmtId="0" fontId="1" fillId="0" borderId="33" xfId="0" applyFont="1" applyBorder="1" applyAlignment="1">
      <alignment horizontal="center" vertical="center" wrapText="1" shrinkToFit="1"/>
    </xf>
    <xf numFmtId="0" fontId="1" fillId="0" borderId="35" xfId="0" applyFont="1" applyBorder="1" applyAlignment="1">
      <alignment horizontal="center" vertical="center" wrapText="1" shrinkToFit="1"/>
    </xf>
    <xf numFmtId="0" fontId="0" fillId="0" borderId="36" xfId="0" applyBorder="1" applyAlignment="1">
      <alignment horizontal="center" vertical="center" wrapText="1" shrinkToFit="1"/>
    </xf>
    <xf numFmtId="0" fontId="0" fillId="0" borderId="50" xfId="0" applyBorder="1" applyAlignment="1">
      <alignment horizontal="center" vertical="center" wrapText="1" shrinkToFit="1"/>
    </xf>
    <xf numFmtId="0" fontId="2" fillId="0" borderId="34" xfId="0" applyFont="1" applyBorder="1" applyAlignment="1">
      <alignment horizontal="center" vertical="center" wrapText="1" shrinkToFit="1"/>
    </xf>
    <xf numFmtId="0" fontId="10" fillId="0" borderId="33" xfId="0" applyFont="1" applyBorder="1" applyAlignment="1">
      <alignment horizontal="center" vertical="center" wrapText="1" shrinkToFit="1"/>
    </xf>
    <xf numFmtId="0" fontId="2" fillId="0" borderId="33" xfId="0" applyFont="1" applyBorder="1" applyAlignment="1">
      <alignment horizontal="center" vertical="center" wrapText="1" shrinkToFit="1"/>
    </xf>
    <xf numFmtId="0" fontId="2" fillId="0" borderId="35" xfId="0" applyFont="1" applyBorder="1" applyAlignment="1">
      <alignment horizontal="center" vertical="center" wrapText="1" shrinkToFit="1"/>
    </xf>
    <xf numFmtId="0" fontId="10" fillId="0" borderId="36" xfId="0" applyFont="1" applyBorder="1" applyAlignment="1">
      <alignment horizontal="center" vertical="center" wrapText="1" shrinkToFit="1"/>
    </xf>
    <xf numFmtId="0" fontId="2" fillId="0" borderId="49" xfId="0" applyFont="1" applyBorder="1" applyAlignment="1">
      <alignment horizontal="center" vertical="center" wrapText="1" shrinkToFit="1"/>
    </xf>
    <xf numFmtId="0" fontId="10" fillId="0" borderId="50" xfId="0" applyFont="1" applyBorder="1" applyAlignment="1">
      <alignment horizontal="center" vertical="center" wrapText="1" shrinkToFit="1"/>
    </xf>
    <xf numFmtId="0" fontId="1" fillId="0" borderId="46" xfId="0" applyFont="1" applyBorder="1" applyAlignment="1">
      <alignment horizontal="center" vertical="center" wrapText="1" shrinkToFit="1"/>
    </xf>
    <xf numFmtId="0" fontId="1" fillId="0" borderId="31" xfId="0" applyFont="1" applyBorder="1" applyAlignment="1">
      <alignment horizontal="center" vertical="center" wrapText="1" shrinkToFit="1"/>
    </xf>
    <xf numFmtId="0" fontId="1" fillId="0" borderId="43" xfId="0" applyFont="1" applyBorder="1" applyAlignment="1">
      <alignment horizontal="center" vertical="center" wrapText="1" shrinkToFit="1"/>
    </xf>
    <xf numFmtId="0" fontId="1" fillId="0" borderId="39" xfId="0" applyFont="1" applyBorder="1" applyAlignment="1">
      <alignment horizontal="center" vertical="center" wrapText="1" shrinkToFit="1"/>
    </xf>
    <xf numFmtId="0" fontId="2" fillId="0" borderId="50" xfId="0" applyFont="1" applyBorder="1" applyAlignment="1">
      <alignment horizontal="center" vertical="center" wrapText="1" shrinkToFit="1"/>
    </xf>
    <xf numFmtId="0" fontId="1" fillId="0" borderId="36" xfId="0" applyFont="1" applyBorder="1" applyAlignment="1">
      <alignment horizontal="center" vertical="center" wrapText="1" shrinkToFit="1"/>
    </xf>
    <xf numFmtId="0" fontId="11" fillId="0" borderId="46" xfId="0" applyFont="1" applyBorder="1" applyAlignment="1">
      <alignment horizontal="center" vertical="center" wrapText="1" shrinkToFit="1"/>
    </xf>
    <xf numFmtId="0" fontId="1" fillId="0" borderId="45" xfId="0" applyFont="1" applyBorder="1" applyAlignment="1">
      <alignment horizontal="center" vertical="center" wrapText="1" shrinkToFit="1"/>
    </xf>
    <xf numFmtId="0" fontId="11" fillId="2" borderId="38" xfId="0" applyFont="1" applyFill="1" applyBorder="1" applyAlignment="1">
      <alignment horizontal="center" vertical="center" wrapText="1" shrinkToFit="1"/>
    </xf>
    <xf numFmtId="0" fontId="11" fillId="2" borderId="39" xfId="0" applyFont="1" applyFill="1" applyBorder="1" applyAlignment="1">
      <alignment horizontal="center" vertical="center" wrapText="1" shrinkToFit="1"/>
    </xf>
    <xf numFmtId="0" fontId="1" fillId="0" borderId="38" xfId="0" applyFont="1" applyBorder="1" applyAlignment="1">
      <alignment horizontal="center" vertical="center" wrapText="1" shrinkToFit="1"/>
    </xf>
    <xf numFmtId="0" fontId="1" fillId="0" borderId="47" xfId="0" applyFont="1" applyBorder="1" applyAlignment="1">
      <alignment horizontal="center" vertical="center" wrapText="1" shrinkToFit="1"/>
    </xf>
    <xf numFmtId="0" fontId="1" fillId="0" borderId="17" xfId="0" applyFont="1" applyBorder="1" applyAlignment="1">
      <alignment horizontal="center" vertical="center" wrapText="1" shrinkToFit="1"/>
    </xf>
    <xf numFmtId="0" fontId="1" fillId="0" borderId="42" xfId="0" applyFont="1" applyBorder="1" applyAlignment="1">
      <alignment horizontal="center" vertical="center" wrapText="1" shrinkToFit="1"/>
    </xf>
    <xf numFmtId="0" fontId="11" fillId="2" borderId="43" xfId="0" applyFont="1" applyFill="1" applyBorder="1" applyAlignment="1">
      <alignment horizontal="center" vertical="center" wrapText="1" shrinkToFit="1"/>
    </xf>
    <xf numFmtId="0" fontId="0" fillId="0" borderId="39" xfId="0" applyBorder="1" applyAlignment="1">
      <alignment horizontal="center" vertical="center" wrapText="1" shrinkToFit="1"/>
    </xf>
    <xf numFmtId="0" fontId="11" fillId="0" borderId="42" xfId="0" applyFont="1" applyBorder="1" applyAlignment="1">
      <alignment horizontal="center" vertical="center" wrapText="1" shrinkToFit="1"/>
    </xf>
    <xf numFmtId="0" fontId="13" fillId="2" borderId="39" xfId="0" applyFont="1" applyFill="1" applyBorder="1" applyAlignment="1">
      <alignment horizontal="center" vertical="center" wrapText="1" shrinkToFit="1"/>
    </xf>
    <xf numFmtId="0" fontId="11" fillId="0" borderId="62" xfId="0" applyFont="1" applyBorder="1" applyAlignment="1">
      <alignment horizontal="center" vertical="center" wrapText="1" shrinkToFit="1"/>
    </xf>
    <xf numFmtId="0" fontId="0" fillId="0" borderId="60" xfId="0" applyBorder="1" applyAlignment="1">
      <alignment horizontal="center" vertical="center" wrapText="1" shrinkToFit="1"/>
    </xf>
    <xf numFmtId="0" fontId="1" fillId="0" borderId="30" xfId="0" applyFont="1" applyBorder="1" applyAlignment="1">
      <alignment horizontal="center" vertical="center" wrapText="1" shrinkToFit="1"/>
    </xf>
    <xf numFmtId="0" fontId="5" fillId="0" borderId="38" xfId="0" applyFont="1" applyBorder="1" applyAlignment="1">
      <alignment horizontal="center" vertical="center" wrapText="1" shrinkToFit="1"/>
    </xf>
    <xf numFmtId="0" fontId="5" fillId="0" borderId="39" xfId="0" applyFont="1" applyBorder="1" applyAlignment="1">
      <alignment horizontal="center" vertical="center" wrapText="1" shrinkToFit="1"/>
    </xf>
    <xf numFmtId="49" fontId="3" fillId="0" borderId="38" xfId="0" applyNumberFormat="1" applyFont="1" applyBorder="1" applyAlignment="1">
      <alignment horizontal="center" vertical="center" wrapText="1" shrinkToFit="1"/>
    </xf>
    <xf numFmtId="0" fontId="2" fillId="0" borderId="38" xfId="0" applyFont="1" applyBorder="1" applyAlignment="1">
      <alignment horizontal="center" vertical="center" wrapText="1" shrinkToFit="1"/>
    </xf>
    <xf numFmtId="0" fontId="2" fillId="0" borderId="39" xfId="0" applyFont="1" applyBorder="1" applyAlignment="1">
      <alignment horizontal="center" vertical="center" wrapText="1" shrinkToFit="1"/>
    </xf>
    <xf numFmtId="0" fontId="11" fillId="2" borderId="20" xfId="0" applyFont="1" applyFill="1" applyBorder="1" applyAlignment="1">
      <alignment horizontal="center" vertical="center" wrapText="1" shrinkToFit="1"/>
    </xf>
    <xf numFmtId="0" fontId="11" fillId="2" borderId="22" xfId="0" applyFont="1" applyFill="1" applyBorder="1" applyAlignment="1">
      <alignment horizontal="center" vertical="center" wrapText="1" shrinkToFit="1"/>
    </xf>
    <xf numFmtId="0" fontId="1" fillId="0" borderId="20" xfId="0" applyFont="1" applyBorder="1" applyAlignment="1">
      <alignment horizontal="center" vertical="center" wrapText="1" shrinkToFit="1"/>
    </xf>
    <xf numFmtId="0" fontId="1" fillId="0" borderId="22" xfId="0" applyFont="1" applyBorder="1" applyAlignment="1">
      <alignment horizontal="center" vertical="center" wrapText="1" shrinkToFit="1"/>
    </xf>
    <xf numFmtId="0" fontId="11" fillId="2" borderId="42" xfId="0" applyFont="1" applyFill="1" applyBorder="1" applyAlignment="1">
      <alignment horizontal="center" vertical="center" wrapText="1" shrinkToFit="1"/>
    </xf>
    <xf numFmtId="0" fontId="11" fillId="2" borderId="30" xfId="0" applyFont="1" applyFill="1" applyBorder="1" applyAlignment="1">
      <alignment horizontal="center" vertical="center" wrapText="1" shrinkToFit="1"/>
    </xf>
    <xf numFmtId="0" fontId="11" fillId="2" borderId="31" xfId="0" applyFont="1" applyFill="1" applyBorder="1" applyAlignment="1">
      <alignment horizontal="center" vertical="center" wrapText="1" shrinkToFit="1"/>
    </xf>
    <xf numFmtId="0" fontId="0" fillId="0" borderId="48" xfId="0" applyBorder="1" applyAlignment="1">
      <alignment horizontal="center" vertical="center" wrapText="1" shrinkToFit="1"/>
    </xf>
    <xf numFmtId="0" fontId="1" fillId="0" borderId="48" xfId="0" applyFont="1" applyBorder="1" applyAlignment="1">
      <alignment horizontal="center" vertical="center" wrapText="1" shrinkToFit="1"/>
    </xf>
    <xf numFmtId="0" fontId="1" fillId="0" borderId="7" xfId="0" applyFont="1" applyBorder="1" applyAlignment="1">
      <alignment horizontal="center" vertical="center" wrapText="1" shrinkToFit="1"/>
    </xf>
    <xf numFmtId="0" fontId="1" fillId="0" borderId="5" xfId="0" applyFont="1" applyBorder="1" applyAlignment="1">
      <alignment horizontal="center" vertical="center" wrapText="1" shrinkToFit="1"/>
    </xf>
    <xf numFmtId="0" fontId="6" fillId="0" borderId="33" xfId="0" applyFont="1" applyBorder="1" applyAlignment="1">
      <alignment horizontal="center" vertical="center" wrapText="1"/>
    </xf>
    <xf numFmtId="0" fontId="6" fillId="0" borderId="53" xfId="0" applyFont="1" applyBorder="1" applyAlignment="1">
      <alignment horizontal="center" vertical="center" wrapText="1"/>
    </xf>
    <xf numFmtId="0" fontId="1" fillId="0" borderId="38" xfId="0" applyFont="1" applyBorder="1" applyAlignment="1">
      <alignment horizontal="center" vertical="center"/>
    </xf>
    <xf numFmtId="0" fontId="1" fillId="0" borderId="56" xfId="0" applyFont="1" applyBorder="1" applyAlignment="1">
      <alignment horizontal="center" vertical="center"/>
    </xf>
    <xf numFmtId="0" fontId="6" fillId="0" borderId="59" xfId="0" applyFont="1" applyBorder="1" applyAlignment="1">
      <alignment horizontal="center" vertical="center" wrapText="1"/>
    </xf>
    <xf numFmtId="0" fontId="6" fillId="0" borderId="60" xfId="0" applyFont="1" applyBorder="1" applyAlignment="1">
      <alignment horizontal="center" vertical="center" wrapText="1"/>
    </xf>
    <xf numFmtId="0" fontId="6" fillId="0" borderId="52" xfId="0" applyFont="1" applyBorder="1" applyAlignment="1">
      <alignment horizontal="center" vertical="center" wrapText="1"/>
    </xf>
    <xf numFmtId="0" fontId="6" fillId="0" borderId="61" xfId="0" applyFont="1" applyBorder="1" applyAlignment="1">
      <alignment horizontal="center" vertical="center" wrapText="1"/>
    </xf>
    <xf numFmtId="0" fontId="6" fillId="0" borderId="62" xfId="0" applyFont="1" applyBorder="1" applyAlignment="1">
      <alignment horizontal="center" vertical="center" wrapText="1"/>
    </xf>
    <xf numFmtId="0" fontId="6" fillId="0" borderId="2" xfId="0" applyFont="1" applyBorder="1" applyAlignment="1">
      <alignment horizontal="center" vertical="center" textRotation="90" wrapText="1"/>
    </xf>
    <xf numFmtId="0" fontId="6" fillId="0" borderId="47" xfId="0" applyFont="1" applyBorder="1" applyAlignment="1">
      <alignment horizontal="center" vertical="center" wrapText="1"/>
    </xf>
    <xf numFmtId="0" fontId="6" fillId="0" borderId="34" xfId="0" applyFont="1" applyBorder="1" applyAlignment="1">
      <alignment horizontal="center" vertical="center" wrapText="1"/>
    </xf>
    <xf numFmtId="0" fontId="6" fillId="0" borderId="38" xfId="0" applyFont="1" applyBorder="1" applyAlignment="1">
      <alignment horizontal="center" vertical="center" textRotation="90" wrapText="1"/>
    </xf>
    <xf numFmtId="0" fontId="6" fillId="0" borderId="56" xfId="0" applyFont="1" applyBorder="1" applyAlignment="1">
      <alignment horizontal="center" vertical="center" textRotation="90" wrapText="1"/>
    </xf>
    <xf numFmtId="0" fontId="6" fillId="0" borderId="47" xfId="0" applyFont="1" applyBorder="1" applyAlignment="1">
      <alignment horizontal="center" vertical="center" textRotation="90" wrapText="1"/>
    </xf>
    <xf numFmtId="0" fontId="6" fillId="0" borderId="15" xfId="0" applyFont="1" applyBorder="1" applyAlignment="1">
      <alignment horizontal="center" vertical="center" textRotation="90" wrapText="1"/>
    </xf>
    <xf numFmtId="0" fontId="6" fillId="0" borderId="41" xfId="0" applyFont="1" applyBorder="1" applyAlignment="1">
      <alignment horizontal="center" vertical="center" textRotation="90" wrapText="1"/>
    </xf>
    <xf numFmtId="0" fontId="6" fillId="0" borderId="12" xfId="0" applyFont="1" applyBorder="1" applyAlignment="1">
      <alignment horizontal="center" vertical="center" textRotation="90" wrapText="1"/>
    </xf>
    <xf numFmtId="0" fontId="6" fillId="0" borderId="37" xfId="0" applyFont="1" applyBorder="1" applyAlignment="1">
      <alignment horizontal="center" vertical="center" textRotation="90" wrapText="1"/>
    </xf>
    <xf numFmtId="0" fontId="6" fillId="0" borderId="2"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55" xfId="0" applyFont="1" applyBorder="1" applyAlignment="1">
      <alignment horizontal="center" vertical="center" textRotation="90" wrapText="1"/>
    </xf>
  </cellXfs>
  <cellStyles count="1">
    <cellStyle name="Обычный" xfId="0" builtinId="0"/>
  </cellStyles>
  <dxfs count="1483">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
      <font>
        <color indexed="9"/>
      </font>
    </dxf>
  </dxfs>
  <tableStyles count="0" defaultTableStyle="TableStyleMedium9" defaultPivotStyle="PivotStyleLight16"/>
  <colors>
    <mruColors>
      <color rgb="FF9FE1B8"/>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104775</xdr:colOff>
          <xdr:row>1</xdr:row>
          <xdr:rowOff>0</xdr:rowOff>
        </xdr:from>
        <xdr:to>
          <xdr:col>17</xdr:col>
          <xdr:colOff>171450</xdr:colOff>
          <xdr:row>2</xdr:row>
          <xdr:rowOff>38100</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104775</xdr:colOff>
          <xdr:row>3</xdr:row>
          <xdr:rowOff>0</xdr:rowOff>
        </xdr:from>
        <xdr:to>
          <xdr:col>17</xdr:col>
          <xdr:colOff>180975</xdr:colOff>
          <xdr:row>4</xdr:row>
          <xdr:rowOff>9525</xdr:rowOff>
        </xdr:to>
        <xdr:sp macro="" textlink="">
          <xdr:nvSpPr>
            <xdr:cNvPr id="24578" name="Button 2" hidden="1">
              <a:extLst>
                <a:ext uri="{63B3BB69-23CF-44E3-9099-C40C66FF867C}">
                  <a14:compatExt spid="_x0000_s245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xdr:row>
          <xdr:rowOff>142875</xdr:rowOff>
        </xdr:from>
        <xdr:to>
          <xdr:col>17</xdr:col>
          <xdr:colOff>190500</xdr:colOff>
          <xdr:row>6</xdr:row>
          <xdr:rowOff>9525</xdr:rowOff>
        </xdr:to>
        <xdr:sp macro="" textlink="">
          <xdr:nvSpPr>
            <xdr:cNvPr id="24579" name="Button 3" hidden="1">
              <a:extLst>
                <a:ext uri="{63B3BB69-23CF-44E3-9099-C40C66FF867C}">
                  <a14:compatExt spid="_x0000_s245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180975</xdr:colOff>
          <xdr:row>1</xdr:row>
          <xdr:rowOff>19050</xdr:rowOff>
        </xdr:from>
        <xdr:to>
          <xdr:col>21</xdr:col>
          <xdr:colOff>95250</xdr:colOff>
          <xdr:row>2</xdr:row>
          <xdr:rowOff>95250</xdr:rowOff>
        </xdr:to>
        <xdr:sp macro="" textlink="">
          <xdr:nvSpPr>
            <xdr:cNvPr id="25604" name="Button 4" hidden="1">
              <a:extLst>
                <a:ext uri="{63B3BB69-23CF-44E3-9099-C40C66FF867C}">
                  <a14:compatExt spid="_x0000_s256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180975</xdr:colOff>
          <xdr:row>3</xdr:row>
          <xdr:rowOff>85725</xdr:rowOff>
        </xdr:from>
        <xdr:to>
          <xdr:col>21</xdr:col>
          <xdr:colOff>104775</xdr:colOff>
          <xdr:row>4</xdr:row>
          <xdr:rowOff>123825</xdr:rowOff>
        </xdr:to>
        <xdr:sp macro="" textlink="">
          <xdr:nvSpPr>
            <xdr:cNvPr id="25605" name="Button 5" hidden="1">
              <a:extLst>
                <a:ext uri="{63B3BB69-23CF-44E3-9099-C40C66FF867C}">
                  <a14:compatExt spid="_x0000_s256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5</xdr:row>
          <xdr:rowOff>114300</xdr:rowOff>
        </xdr:from>
        <xdr:to>
          <xdr:col>21</xdr:col>
          <xdr:colOff>104775</xdr:colOff>
          <xdr:row>7</xdr:row>
          <xdr:rowOff>9525</xdr:rowOff>
        </xdr:to>
        <xdr:sp macro="" textlink="">
          <xdr:nvSpPr>
            <xdr:cNvPr id="25606" name="Button 6" hidden="1">
              <a:extLst>
                <a:ext uri="{63B3BB69-23CF-44E3-9099-C40C66FF867C}">
                  <a14:compatExt spid="_x0000_s256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200025</xdr:colOff>
          <xdr:row>0</xdr:row>
          <xdr:rowOff>142875</xdr:rowOff>
        </xdr:from>
        <xdr:to>
          <xdr:col>28</xdr:col>
          <xdr:colOff>200025</xdr:colOff>
          <xdr:row>2</xdr:row>
          <xdr:rowOff>57150</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200025</xdr:colOff>
          <xdr:row>3</xdr:row>
          <xdr:rowOff>28575</xdr:rowOff>
        </xdr:from>
        <xdr:to>
          <xdr:col>28</xdr:col>
          <xdr:colOff>209550</xdr:colOff>
          <xdr:row>4</xdr:row>
          <xdr:rowOff>66675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47625</xdr:colOff>
          <xdr:row>5</xdr:row>
          <xdr:rowOff>66675</xdr:rowOff>
        </xdr:from>
        <xdr:to>
          <xdr:col>28</xdr:col>
          <xdr:colOff>209550</xdr:colOff>
          <xdr:row>6</xdr:row>
          <xdr:rowOff>114300</xdr:rowOff>
        </xdr:to>
        <xdr:sp macro="" textlink="">
          <xdr:nvSpPr>
            <xdr:cNvPr id="26630" name="Button 6" hidden="1">
              <a:extLst>
                <a:ext uri="{63B3BB69-23CF-44E3-9099-C40C66FF867C}">
                  <a14:compatExt spid="_x0000_s266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219075</xdr:colOff>
          <xdr:row>1</xdr:row>
          <xdr:rowOff>28575</xdr:rowOff>
        </xdr:from>
        <xdr:to>
          <xdr:col>21</xdr:col>
          <xdr:colOff>123825</xdr:colOff>
          <xdr:row>2</xdr:row>
          <xdr:rowOff>104775</xdr:rowOff>
        </xdr:to>
        <xdr:sp macro="" textlink="">
          <xdr:nvSpPr>
            <xdr:cNvPr id="27652" name="Button 4" hidden="1">
              <a:extLst>
                <a:ext uri="{63B3BB69-23CF-44E3-9099-C40C66FF867C}">
                  <a14:compatExt spid="_x0000_s276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219075</xdr:colOff>
          <xdr:row>3</xdr:row>
          <xdr:rowOff>85725</xdr:rowOff>
        </xdr:from>
        <xdr:to>
          <xdr:col>21</xdr:col>
          <xdr:colOff>133350</xdr:colOff>
          <xdr:row>4</xdr:row>
          <xdr:rowOff>123825</xdr:rowOff>
        </xdr:to>
        <xdr:sp macro="" textlink="">
          <xdr:nvSpPr>
            <xdr:cNvPr id="27653" name="Button 5" hidden="1">
              <a:extLst>
                <a:ext uri="{63B3BB69-23CF-44E3-9099-C40C66FF867C}">
                  <a14:compatExt spid="_x0000_s276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5</xdr:row>
          <xdr:rowOff>114300</xdr:rowOff>
        </xdr:from>
        <xdr:to>
          <xdr:col>21</xdr:col>
          <xdr:colOff>133350</xdr:colOff>
          <xdr:row>7</xdr:row>
          <xdr:rowOff>0</xdr:rowOff>
        </xdr:to>
        <xdr:sp macro="" textlink="">
          <xdr:nvSpPr>
            <xdr:cNvPr id="27654" name="Button 6" hidden="1">
              <a:extLst>
                <a:ext uri="{63B3BB69-23CF-44E3-9099-C40C66FF867C}">
                  <a14:compatExt spid="_x0000_s276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133350</xdr:rowOff>
        </xdr:from>
        <xdr:to>
          <xdr:col>17</xdr:col>
          <xdr:colOff>57150</xdr:colOff>
          <xdr:row>2</xdr:row>
          <xdr:rowOff>9525</xdr:rowOff>
        </xdr:to>
        <xdr:sp macro="" textlink="">
          <xdr:nvSpPr>
            <xdr:cNvPr id="28676" name="Button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2</xdr:row>
          <xdr:rowOff>123825</xdr:rowOff>
        </xdr:from>
        <xdr:to>
          <xdr:col>17</xdr:col>
          <xdr:colOff>66675</xdr:colOff>
          <xdr:row>3</xdr:row>
          <xdr:rowOff>142875</xdr:rowOff>
        </xdr:to>
        <xdr:sp macro="" textlink="">
          <xdr:nvSpPr>
            <xdr:cNvPr id="28677" name="Button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161925</xdr:colOff>
          <xdr:row>4</xdr:row>
          <xdr:rowOff>95250</xdr:rowOff>
        </xdr:from>
        <xdr:to>
          <xdr:col>17</xdr:col>
          <xdr:colOff>76200</xdr:colOff>
          <xdr:row>5</xdr:row>
          <xdr:rowOff>95250</xdr:rowOff>
        </xdr:to>
        <xdr:sp macro="" textlink="">
          <xdr:nvSpPr>
            <xdr:cNvPr id="28678" name="Button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190500</xdr:colOff>
          <xdr:row>1</xdr:row>
          <xdr:rowOff>19050</xdr:rowOff>
        </xdr:from>
        <xdr:to>
          <xdr:col>20</xdr:col>
          <xdr:colOff>219075</xdr:colOff>
          <xdr:row>2</xdr:row>
          <xdr:rowOff>85725</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190500</xdr:colOff>
          <xdr:row>3</xdr:row>
          <xdr:rowOff>66675</xdr:rowOff>
        </xdr:from>
        <xdr:to>
          <xdr:col>20</xdr:col>
          <xdr:colOff>228600</xdr:colOff>
          <xdr:row>4</xdr:row>
          <xdr:rowOff>104775</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171450</xdr:colOff>
          <xdr:row>5</xdr:row>
          <xdr:rowOff>85725</xdr:rowOff>
        </xdr:from>
        <xdr:to>
          <xdr:col>20</xdr:col>
          <xdr:colOff>228600</xdr:colOff>
          <xdr:row>6</xdr:row>
          <xdr:rowOff>123825</xdr:rowOff>
        </xdr:to>
        <xdr:sp macro="" textlink="">
          <xdr:nvSpPr>
            <xdr:cNvPr id="29705" name="Button 9" hidden="1">
              <a:extLst>
                <a:ext uri="{63B3BB69-23CF-44E3-9099-C40C66FF867C}">
                  <a14:compatExt spid="_x0000_s29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180975</xdr:colOff>
          <xdr:row>1</xdr:row>
          <xdr:rowOff>9525</xdr:rowOff>
        </xdr:from>
        <xdr:to>
          <xdr:col>21</xdr:col>
          <xdr:colOff>95250</xdr:colOff>
          <xdr:row>2</xdr:row>
          <xdr:rowOff>85725</xdr:rowOff>
        </xdr:to>
        <xdr:sp macro="" textlink="">
          <xdr:nvSpPr>
            <xdr:cNvPr id="30724" name="Button 4" hidden="1">
              <a:extLst>
                <a:ext uri="{63B3BB69-23CF-44E3-9099-C40C66FF867C}">
                  <a14:compatExt spid="_x0000_s307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180975</xdr:colOff>
          <xdr:row>3</xdr:row>
          <xdr:rowOff>66675</xdr:rowOff>
        </xdr:from>
        <xdr:to>
          <xdr:col>21</xdr:col>
          <xdr:colOff>104775</xdr:colOff>
          <xdr:row>4</xdr:row>
          <xdr:rowOff>104775</xdr:rowOff>
        </xdr:to>
        <xdr:sp macro="" textlink="">
          <xdr:nvSpPr>
            <xdr:cNvPr id="30725" name="Button 5" hidden="1">
              <a:extLst>
                <a:ext uri="{63B3BB69-23CF-44E3-9099-C40C66FF867C}">
                  <a14:compatExt spid="_x0000_s307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5</xdr:row>
          <xdr:rowOff>95250</xdr:rowOff>
        </xdr:from>
        <xdr:to>
          <xdr:col>21</xdr:col>
          <xdr:colOff>104775</xdr:colOff>
          <xdr:row>6</xdr:row>
          <xdr:rowOff>133350</xdr:rowOff>
        </xdr:to>
        <xdr:sp macro="" textlink="">
          <xdr:nvSpPr>
            <xdr:cNvPr id="30726" name="Button 6" hidden="1">
              <a:extLst>
                <a:ext uri="{63B3BB69-23CF-44E3-9099-C40C66FF867C}">
                  <a14:compatExt spid="_x0000_s307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47625</xdr:colOff>
          <xdr:row>0</xdr:row>
          <xdr:rowOff>142875</xdr:rowOff>
        </xdr:from>
        <xdr:to>
          <xdr:col>16</xdr:col>
          <xdr:colOff>104775</xdr:colOff>
          <xdr:row>2</xdr:row>
          <xdr:rowOff>19050</xdr:rowOff>
        </xdr:to>
        <xdr:sp macro="" textlink="">
          <xdr:nvSpPr>
            <xdr:cNvPr id="31748" name="Button 4" hidden="1">
              <a:extLst>
                <a:ext uri="{63B3BB69-23CF-44E3-9099-C40C66FF867C}">
                  <a14:compatExt spid="_x0000_s317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2</xdr:row>
          <xdr:rowOff>142875</xdr:rowOff>
        </xdr:from>
        <xdr:to>
          <xdr:col>16</xdr:col>
          <xdr:colOff>104775</xdr:colOff>
          <xdr:row>3</xdr:row>
          <xdr:rowOff>161925</xdr:rowOff>
        </xdr:to>
        <xdr:sp macro="" textlink="">
          <xdr:nvSpPr>
            <xdr:cNvPr id="31749" name="Button 5" hidden="1">
              <a:extLst>
                <a:ext uri="{63B3BB69-23CF-44E3-9099-C40C66FF867C}">
                  <a14:compatExt spid="_x0000_s317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209550</xdr:colOff>
          <xdr:row>4</xdr:row>
          <xdr:rowOff>114300</xdr:rowOff>
        </xdr:from>
        <xdr:to>
          <xdr:col>16</xdr:col>
          <xdr:colOff>104775</xdr:colOff>
          <xdr:row>5</xdr:row>
          <xdr:rowOff>133350</xdr:rowOff>
        </xdr:to>
        <xdr:sp macro="" textlink="">
          <xdr:nvSpPr>
            <xdr:cNvPr id="31750" name="Button 6" hidden="1">
              <a:extLst>
                <a:ext uri="{63B3BB69-23CF-44E3-9099-C40C66FF867C}">
                  <a14:compatExt spid="_x0000_s317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28575</xdr:colOff>
          <xdr:row>1</xdr:row>
          <xdr:rowOff>9525</xdr:rowOff>
        </xdr:from>
        <xdr:to>
          <xdr:col>21</xdr:col>
          <xdr:colOff>9525</xdr:colOff>
          <xdr:row>2</xdr:row>
          <xdr:rowOff>85725</xdr:rowOff>
        </xdr:to>
        <xdr:sp macro="" textlink="">
          <xdr:nvSpPr>
            <xdr:cNvPr id="32772" name="Button 4" hidden="1">
              <a:extLst>
                <a:ext uri="{63B3BB69-23CF-44E3-9099-C40C66FF867C}">
                  <a14:compatExt spid="_x0000_s327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3</xdr:row>
          <xdr:rowOff>66675</xdr:rowOff>
        </xdr:from>
        <xdr:to>
          <xdr:col>21</xdr:col>
          <xdr:colOff>19050</xdr:colOff>
          <xdr:row>4</xdr:row>
          <xdr:rowOff>104775</xdr:rowOff>
        </xdr:to>
        <xdr:sp macro="" textlink="">
          <xdr:nvSpPr>
            <xdr:cNvPr id="32773" name="Button 5" hidden="1">
              <a:extLst>
                <a:ext uri="{63B3BB69-23CF-44E3-9099-C40C66FF867C}">
                  <a14:compatExt spid="_x0000_s327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5</xdr:row>
          <xdr:rowOff>95250</xdr:rowOff>
        </xdr:from>
        <xdr:to>
          <xdr:col>21</xdr:col>
          <xdr:colOff>19050</xdr:colOff>
          <xdr:row>6</xdr:row>
          <xdr:rowOff>133350</xdr:rowOff>
        </xdr:to>
        <xdr:sp macro="" textlink="">
          <xdr:nvSpPr>
            <xdr:cNvPr id="32774" name="Button 6" hidden="1">
              <a:extLst>
                <a:ext uri="{63B3BB69-23CF-44E3-9099-C40C66FF867C}">
                  <a14:compatExt spid="_x0000_s327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219075</xdr:colOff>
          <xdr:row>1</xdr:row>
          <xdr:rowOff>19050</xdr:rowOff>
        </xdr:from>
        <xdr:to>
          <xdr:col>21</xdr:col>
          <xdr:colOff>0</xdr:colOff>
          <xdr:row>2</xdr:row>
          <xdr:rowOff>95250</xdr:rowOff>
        </xdr:to>
        <xdr:sp macro="" textlink="">
          <xdr:nvSpPr>
            <xdr:cNvPr id="33796" name="Button 4" hidden="1">
              <a:extLst>
                <a:ext uri="{63B3BB69-23CF-44E3-9099-C40C66FF867C}">
                  <a14:compatExt spid="_x0000_s33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219075</xdr:colOff>
          <xdr:row>3</xdr:row>
          <xdr:rowOff>76200</xdr:rowOff>
        </xdr:from>
        <xdr:to>
          <xdr:col>21</xdr:col>
          <xdr:colOff>9525</xdr:colOff>
          <xdr:row>4</xdr:row>
          <xdr:rowOff>114300</xdr:rowOff>
        </xdr:to>
        <xdr:sp macro="" textlink="">
          <xdr:nvSpPr>
            <xdr:cNvPr id="33797" name="Button 5" hidden="1">
              <a:extLst>
                <a:ext uri="{63B3BB69-23CF-44E3-9099-C40C66FF867C}">
                  <a14:compatExt spid="_x0000_s33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5</xdr:row>
          <xdr:rowOff>104775</xdr:rowOff>
        </xdr:from>
        <xdr:to>
          <xdr:col>21</xdr:col>
          <xdr:colOff>9525</xdr:colOff>
          <xdr:row>6</xdr:row>
          <xdr:rowOff>142875</xdr:rowOff>
        </xdr:to>
        <xdr:sp macro="" textlink="">
          <xdr:nvSpPr>
            <xdr:cNvPr id="33798" name="Button 6" hidden="1">
              <a:extLst>
                <a:ext uri="{63B3BB69-23CF-44E3-9099-C40C66FF867C}">
                  <a14:compatExt spid="_x0000_s337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104775</xdr:colOff>
          <xdr:row>1</xdr:row>
          <xdr:rowOff>9525</xdr:rowOff>
        </xdr:from>
        <xdr:to>
          <xdr:col>21</xdr:col>
          <xdr:colOff>9525</xdr:colOff>
          <xdr:row>2</xdr:row>
          <xdr:rowOff>85725</xdr:rowOff>
        </xdr:to>
        <xdr:sp macro="" textlink="">
          <xdr:nvSpPr>
            <xdr:cNvPr id="34820" name="Button 4" hidden="1">
              <a:extLst>
                <a:ext uri="{63B3BB69-23CF-44E3-9099-C40C66FF867C}">
                  <a14:compatExt spid="_x0000_s348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104775</xdr:colOff>
          <xdr:row>3</xdr:row>
          <xdr:rowOff>66675</xdr:rowOff>
        </xdr:from>
        <xdr:to>
          <xdr:col>21</xdr:col>
          <xdr:colOff>19050</xdr:colOff>
          <xdr:row>4</xdr:row>
          <xdr:rowOff>104775</xdr:rowOff>
        </xdr:to>
        <xdr:sp macro="" textlink="">
          <xdr:nvSpPr>
            <xdr:cNvPr id="34821" name="Button 5" hidden="1">
              <a:extLst>
                <a:ext uri="{63B3BB69-23CF-44E3-9099-C40C66FF867C}">
                  <a14:compatExt spid="_x0000_s348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200025</xdr:colOff>
          <xdr:row>5</xdr:row>
          <xdr:rowOff>95250</xdr:rowOff>
        </xdr:from>
        <xdr:to>
          <xdr:col>21</xdr:col>
          <xdr:colOff>19050</xdr:colOff>
          <xdr:row>6</xdr:row>
          <xdr:rowOff>133350</xdr:rowOff>
        </xdr:to>
        <xdr:sp macro="" textlink="">
          <xdr:nvSpPr>
            <xdr:cNvPr id="34822" name="Button 6" hidden="1">
              <a:extLst>
                <a:ext uri="{63B3BB69-23CF-44E3-9099-C40C66FF867C}">
                  <a14:compatExt spid="_x0000_s348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123825</xdr:rowOff>
        </xdr:from>
        <xdr:to>
          <xdr:col>12</xdr:col>
          <xdr:colOff>228600</xdr:colOff>
          <xdr:row>1</xdr:row>
          <xdr:rowOff>133350</xdr:rowOff>
        </xdr:to>
        <xdr:sp macro="" textlink="">
          <xdr:nvSpPr>
            <xdr:cNvPr id="35844" name="Button 4" hidden="1">
              <a:extLst>
                <a:ext uri="{63B3BB69-23CF-44E3-9099-C40C66FF867C}">
                  <a14:compatExt spid="_x0000_s358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2</xdr:row>
          <xdr:rowOff>76200</xdr:rowOff>
        </xdr:from>
        <xdr:to>
          <xdr:col>13</xdr:col>
          <xdr:colOff>0</xdr:colOff>
          <xdr:row>3</xdr:row>
          <xdr:rowOff>66675</xdr:rowOff>
        </xdr:to>
        <xdr:sp macro="" textlink="">
          <xdr:nvSpPr>
            <xdr:cNvPr id="35845" name="Button 5" hidden="1">
              <a:extLst>
                <a:ext uri="{63B3BB69-23CF-44E3-9099-C40C66FF867C}">
                  <a14:compatExt spid="_x0000_s358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xdr:colOff>
          <xdr:row>3</xdr:row>
          <xdr:rowOff>161925</xdr:rowOff>
        </xdr:from>
        <xdr:to>
          <xdr:col>13</xdr:col>
          <xdr:colOff>0</xdr:colOff>
          <xdr:row>4</xdr:row>
          <xdr:rowOff>133350</xdr:rowOff>
        </xdr:to>
        <xdr:sp macro="" textlink="">
          <xdr:nvSpPr>
            <xdr:cNvPr id="35846" name="Button 6" hidden="1">
              <a:extLst>
                <a:ext uri="{63B3BB69-23CF-44E3-9099-C40C66FF867C}">
                  <a14:compatExt spid="_x0000_s358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xdr:colOff>
          <xdr:row>1</xdr:row>
          <xdr:rowOff>19050</xdr:rowOff>
        </xdr:from>
        <xdr:to>
          <xdr:col>20</xdr:col>
          <xdr:colOff>228600</xdr:colOff>
          <xdr:row>2</xdr:row>
          <xdr:rowOff>95250</xdr:rowOff>
        </xdr:to>
        <xdr:sp macro="" textlink="">
          <xdr:nvSpPr>
            <xdr:cNvPr id="36868" name="Button 4" hidden="1">
              <a:extLst>
                <a:ext uri="{63B3BB69-23CF-44E3-9099-C40C66FF867C}">
                  <a14:compatExt spid="_x0000_s368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3</xdr:row>
          <xdr:rowOff>76200</xdr:rowOff>
        </xdr:from>
        <xdr:to>
          <xdr:col>20</xdr:col>
          <xdr:colOff>238125</xdr:colOff>
          <xdr:row>4</xdr:row>
          <xdr:rowOff>114300</xdr:rowOff>
        </xdr:to>
        <xdr:sp macro="" textlink="">
          <xdr:nvSpPr>
            <xdr:cNvPr id="36869" name="Button 5" hidden="1">
              <a:extLst>
                <a:ext uri="{63B3BB69-23CF-44E3-9099-C40C66FF867C}">
                  <a14:compatExt spid="_x0000_s368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5</xdr:row>
          <xdr:rowOff>104775</xdr:rowOff>
        </xdr:from>
        <xdr:to>
          <xdr:col>20</xdr:col>
          <xdr:colOff>238125</xdr:colOff>
          <xdr:row>6</xdr:row>
          <xdr:rowOff>142875</xdr:rowOff>
        </xdr:to>
        <xdr:sp macro="" textlink="">
          <xdr:nvSpPr>
            <xdr:cNvPr id="36870" name="Button 6" hidden="1">
              <a:extLst>
                <a:ext uri="{63B3BB69-23CF-44E3-9099-C40C66FF867C}">
                  <a14:compatExt spid="_x0000_s368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0</xdr:row>
          <xdr:rowOff>133350</xdr:rowOff>
        </xdr:from>
        <xdr:to>
          <xdr:col>14</xdr:col>
          <xdr:colOff>152400</xdr:colOff>
          <xdr:row>1</xdr:row>
          <xdr:rowOff>152400</xdr:rowOff>
        </xdr:to>
        <xdr:sp macro="" textlink="">
          <xdr:nvSpPr>
            <xdr:cNvPr id="37892" name="Button 4" hidden="1">
              <a:extLst>
                <a:ext uri="{63B3BB69-23CF-44E3-9099-C40C66FF867C}">
                  <a14:compatExt spid="_x0000_s37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2</xdr:row>
          <xdr:rowOff>95250</xdr:rowOff>
        </xdr:from>
        <xdr:to>
          <xdr:col>14</xdr:col>
          <xdr:colOff>161925</xdr:colOff>
          <xdr:row>3</xdr:row>
          <xdr:rowOff>95250</xdr:rowOff>
        </xdr:to>
        <xdr:sp macro="" textlink="">
          <xdr:nvSpPr>
            <xdr:cNvPr id="37893" name="Button 5" hidden="1">
              <a:extLst>
                <a:ext uri="{63B3BB69-23CF-44E3-9099-C40C66FF867C}">
                  <a14:compatExt spid="_x0000_s37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161925</xdr:colOff>
          <xdr:row>4</xdr:row>
          <xdr:rowOff>57150</xdr:rowOff>
        </xdr:from>
        <xdr:to>
          <xdr:col>14</xdr:col>
          <xdr:colOff>161925</xdr:colOff>
          <xdr:row>5</xdr:row>
          <xdr:rowOff>57150</xdr:rowOff>
        </xdr:to>
        <xdr:sp macro="" textlink="">
          <xdr:nvSpPr>
            <xdr:cNvPr id="37894" name="Button 6" hidden="1">
              <a:extLst>
                <a:ext uri="{63B3BB69-23CF-44E3-9099-C40C66FF867C}">
                  <a14:compatExt spid="_x0000_s378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904875</xdr:colOff>
          <xdr:row>0</xdr:row>
          <xdr:rowOff>47625</xdr:rowOff>
        </xdr:from>
        <xdr:to>
          <xdr:col>1</xdr:col>
          <xdr:colOff>1181100</xdr:colOff>
          <xdr:row>0</xdr:row>
          <xdr:rowOff>104775</xdr:rowOff>
        </xdr:to>
        <xdr:sp macro="" textlink="">
          <xdr:nvSpPr>
            <xdr:cNvPr id="38916" name="Button 4" hidden="1">
              <a:extLst>
                <a:ext uri="{63B3BB69-23CF-44E3-9099-C40C66FF867C}">
                  <a14:compatExt spid="_x0000_s389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буквы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0</xdr:row>
          <xdr:rowOff>123825</xdr:rowOff>
        </xdr:from>
        <xdr:to>
          <xdr:col>1</xdr:col>
          <xdr:colOff>1181100</xdr:colOff>
          <xdr:row>1</xdr:row>
          <xdr:rowOff>19050</xdr:rowOff>
        </xdr:to>
        <xdr:sp macro="" textlink="">
          <xdr:nvSpPr>
            <xdr:cNvPr id="38917" name="Button 5" hidden="1">
              <a:extLst>
                <a:ext uri="{63B3BB69-23CF-44E3-9099-C40C66FF867C}">
                  <a14:compatExt spid="_x0000_s389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Скрываем часы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838200</xdr:colOff>
          <xdr:row>1</xdr:row>
          <xdr:rowOff>47625</xdr:rowOff>
        </xdr:from>
        <xdr:to>
          <xdr:col>1</xdr:col>
          <xdr:colOff>1190625</xdr:colOff>
          <xdr:row>1</xdr:row>
          <xdr:rowOff>95250</xdr:rowOff>
        </xdr:to>
        <xdr:sp macro="" textlink="">
          <xdr:nvSpPr>
            <xdr:cNvPr id="38918" name="Button 6" hidden="1">
              <a:extLst>
                <a:ext uri="{63B3BB69-23CF-44E3-9099-C40C66FF867C}">
                  <a14:compatExt spid="_x0000_s389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Удалить форматирование</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
    <pageSetUpPr fitToPage="1"/>
  </sheetPr>
  <dimension ref="A2:AZ45"/>
  <sheetViews>
    <sheetView showZeros="0" topLeftCell="C1" zoomScale="90" zoomScaleNormal="90" zoomScaleSheetLayoutView="80" workbookViewId="0">
      <pane ySplit="15" topLeftCell="A23" activePane="bottomLeft" state="frozen"/>
      <selection pane="bottomLeft" activeCell="AX29" sqref="AX29:AX30"/>
    </sheetView>
  </sheetViews>
  <sheetFormatPr defaultColWidth="9.140625" defaultRowHeight="12.75" x14ac:dyDescent="0.2"/>
  <cols>
    <col min="1" max="1" width="5.28515625" style="1" customWidth="1"/>
    <col min="2" max="2" width="25.85546875" style="1" customWidth="1"/>
    <col min="3" max="3" width="5.85546875" style="13" customWidth="1"/>
    <col min="4" max="4" width="3.7109375" style="1" customWidth="1"/>
    <col min="5" max="5" width="5" style="1" customWidth="1"/>
    <col min="6" max="18" width="3.7109375" style="1" customWidth="1"/>
    <col min="19" max="19" width="5.28515625" style="1" customWidth="1"/>
    <col min="20" max="20" width="3.7109375" style="1" customWidth="1"/>
    <col min="21" max="21" width="4.28515625" style="1" customWidth="1"/>
    <col min="22" max="35" width="3.7109375" style="1" customWidth="1"/>
    <col min="36" max="36" width="4" style="1" customWidth="1"/>
    <col min="37" max="37" width="6.5703125" style="1" customWidth="1"/>
    <col min="38" max="42" width="4.7109375" style="1" customWidth="1"/>
    <col min="43" max="43" width="5.85546875" style="1" customWidth="1"/>
    <col min="44" max="44" width="6.5703125" style="1" customWidth="1"/>
    <col min="45" max="48" width="4.7109375" style="1" customWidth="1"/>
    <col min="49" max="49" width="4.7109375" style="133" customWidth="1"/>
    <col min="50" max="52" width="4.7109375" style="1" customWidth="1"/>
    <col min="53" max="16384" width="9.140625" style="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2" t="s">
        <v>6</v>
      </c>
      <c r="D3" s="11"/>
      <c r="W3" s="258" t="s">
        <v>9</v>
      </c>
      <c r="X3" s="259"/>
      <c r="Y3" s="260"/>
      <c r="Z3" s="254" t="s">
        <v>0</v>
      </c>
      <c r="AA3" s="255"/>
      <c r="AB3" s="256"/>
    </row>
    <row r="4" spans="1:52" ht="13.5" customHeight="1" x14ac:dyDescent="0.2">
      <c r="I4" s="3"/>
      <c r="J4" s="3"/>
      <c r="K4" s="3"/>
      <c r="L4" s="3"/>
      <c r="M4" s="3"/>
      <c r="N4" s="3"/>
      <c r="O4" s="4"/>
      <c r="P4" s="4"/>
      <c r="Q4" s="4"/>
      <c r="W4" s="261">
        <v>45717</v>
      </c>
      <c r="X4" s="262"/>
      <c r="Y4" s="263"/>
      <c r="Z4" s="261">
        <v>45747</v>
      </c>
      <c r="AA4" s="262"/>
      <c r="AB4" s="263"/>
    </row>
    <row r="5" spans="1:52" x14ac:dyDescent="0.2">
      <c r="A5" s="257" t="s">
        <v>70</v>
      </c>
      <c r="B5" s="257"/>
      <c r="C5" s="257"/>
      <c r="D5" s="257"/>
      <c r="E5" s="257"/>
      <c r="F5" s="257"/>
      <c r="G5" s="257"/>
      <c r="H5" s="257"/>
      <c r="I5" s="257"/>
      <c r="J5" s="257"/>
      <c r="K5" s="257"/>
      <c r="L5" s="257"/>
      <c r="M5" s="257"/>
      <c r="N5" s="257"/>
      <c r="O5" s="5"/>
      <c r="P5" s="5"/>
    </row>
    <row r="6" spans="1:52" ht="12.75" customHeight="1" x14ac:dyDescent="0.2">
      <c r="A6" s="270" t="s">
        <v>7</v>
      </c>
      <c r="B6" s="270"/>
      <c r="C6" s="270"/>
      <c r="D6" s="270"/>
      <c r="E6" s="270"/>
      <c r="F6" s="270"/>
      <c r="G6" s="270"/>
      <c r="H6" s="270"/>
      <c r="I6" s="270"/>
      <c r="J6" s="270"/>
      <c r="K6" s="270"/>
      <c r="L6" s="270"/>
      <c r="M6" s="270"/>
      <c r="N6" s="270"/>
      <c r="O6" s="4"/>
      <c r="P6" s="4"/>
      <c r="W6" s="251" t="s">
        <v>11</v>
      </c>
      <c r="X6" s="252"/>
      <c r="Y6" s="253"/>
      <c r="Z6" s="251" t="s">
        <v>10</v>
      </c>
      <c r="AA6" s="252"/>
      <c r="AB6" s="253"/>
    </row>
    <row r="7" spans="1:52" ht="12.75" customHeight="1" x14ac:dyDescent="0.2">
      <c r="O7" s="6"/>
      <c r="P7" s="6"/>
      <c r="W7" s="254"/>
      <c r="X7" s="255"/>
      <c r="Y7" s="256"/>
      <c r="Z7" s="254"/>
      <c r="AA7" s="255"/>
      <c r="AB7" s="256"/>
    </row>
    <row r="8" spans="1:52" ht="12.75" customHeight="1" x14ac:dyDescent="0.2">
      <c r="A8" s="271" t="s">
        <v>58</v>
      </c>
      <c r="B8" s="271"/>
      <c r="C8" s="227">
        <v>38076191</v>
      </c>
      <c r="D8" s="227"/>
      <c r="E8" s="227"/>
      <c r="F8" s="227"/>
      <c r="W8" s="272" t="s">
        <v>71</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0"/>
      <c r="U9" s="40"/>
      <c r="V9" s="40"/>
      <c r="W9" s="40"/>
      <c r="X9" s="40"/>
      <c r="Y9" s="40"/>
      <c r="Z9" s="40"/>
      <c r="AA9" s="40"/>
      <c r="AB9" s="40"/>
      <c r="AC9" s="40"/>
      <c r="AD9" s="40"/>
      <c r="AE9" s="40"/>
      <c r="AF9" s="40"/>
      <c r="AG9" s="40"/>
      <c r="AH9" s="40"/>
      <c r="AI9" s="40"/>
      <c r="AJ9" s="7"/>
      <c r="AK9" s="7"/>
      <c r="AL9" s="7"/>
      <c r="AM9" s="7"/>
      <c r="AN9" s="7"/>
      <c r="AO9" s="7"/>
      <c r="AP9" s="7"/>
      <c r="AQ9" s="7"/>
      <c r="AR9" s="7"/>
      <c r="AS9" s="7"/>
      <c r="AT9" s="7"/>
      <c r="AU9" s="7"/>
      <c r="AV9" s="7"/>
      <c r="AW9" s="134"/>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9"/>
      <c r="W10" s="19"/>
      <c r="X10" s="19"/>
      <c r="Y10" s="19"/>
      <c r="Z10" s="19"/>
      <c r="AA10" s="19"/>
      <c r="AB10" s="19"/>
      <c r="AC10" s="19"/>
      <c r="AD10" s="19"/>
      <c r="AE10" s="19"/>
      <c r="AF10" s="19"/>
      <c r="AG10" s="19"/>
      <c r="AH10" s="19"/>
      <c r="AI10" s="19"/>
      <c r="AJ10" s="19"/>
      <c r="AK10" s="7"/>
      <c r="AL10" s="7"/>
      <c r="AM10" s="7"/>
      <c r="AN10" s="7"/>
      <c r="AO10" s="7"/>
      <c r="AP10" s="7"/>
      <c r="AQ10" s="7"/>
      <c r="AR10" s="7"/>
      <c r="AS10" s="7"/>
      <c r="AT10" s="7"/>
      <c r="AU10" s="7"/>
      <c r="AV10" s="7"/>
      <c r="AW10" s="134"/>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135"/>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195"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196"/>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197"/>
      <c r="AX15" s="206"/>
      <c r="AY15" s="206"/>
      <c r="AZ15" s="206"/>
    </row>
    <row r="16" spans="1:52" s="14" customFormat="1" ht="13.5" customHeight="1" thickBot="1" x14ac:dyDescent="0.25">
      <c r="A16" s="67">
        <v>1</v>
      </c>
      <c r="B16" s="66">
        <v>2</v>
      </c>
      <c r="C16" s="71">
        <v>3</v>
      </c>
      <c r="D16" s="71" t="s">
        <v>27</v>
      </c>
      <c r="E16" s="232">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39">
        <v>6</v>
      </c>
      <c r="AK16" s="233">
        <v>7</v>
      </c>
      <c r="AL16" s="232"/>
      <c r="AM16" s="232"/>
      <c r="AN16" s="232"/>
      <c r="AO16" s="234"/>
      <c r="AP16" s="39">
        <v>8</v>
      </c>
      <c r="AQ16" s="27">
        <v>9</v>
      </c>
      <c r="AR16" s="28"/>
      <c r="AS16" s="28"/>
      <c r="AT16" s="28"/>
      <c r="AU16" s="28"/>
      <c r="AV16" s="28"/>
      <c r="AW16" s="136"/>
      <c r="AX16" s="28"/>
      <c r="AY16" s="29"/>
      <c r="AZ16" s="30"/>
    </row>
    <row r="17" spans="1:52" ht="20.100000000000001" customHeight="1" x14ac:dyDescent="0.2">
      <c r="A17" s="228">
        <v>1</v>
      </c>
      <c r="B17" s="228" t="s">
        <v>164</v>
      </c>
      <c r="C17" s="228">
        <v>2120</v>
      </c>
      <c r="D17" s="230" t="s">
        <v>72</v>
      </c>
      <c r="E17" s="181" t="s">
        <v>3</v>
      </c>
      <c r="F17" s="191" t="s">
        <v>3</v>
      </c>
      <c r="G17" s="191" t="s">
        <v>4</v>
      </c>
      <c r="H17" s="191" t="s">
        <v>4</v>
      </c>
      <c r="I17" s="191" t="s">
        <v>4</v>
      </c>
      <c r="J17" s="191" t="s">
        <v>4</v>
      </c>
      <c r="K17" s="191" t="s">
        <v>4</v>
      </c>
      <c r="L17" s="191" t="s">
        <v>142</v>
      </c>
      <c r="M17" s="191" t="s">
        <v>142</v>
      </c>
      <c r="N17" s="191" t="s">
        <v>4</v>
      </c>
      <c r="O17" s="191" t="s">
        <v>4</v>
      </c>
      <c r="P17" s="191" t="s">
        <v>4</v>
      </c>
      <c r="Q17" s="191" t="s">
        <v>4</v>
      </c>
      <c r="R17" s="191" t="s">
        <v>4</v>
      </c>
      <c r="S17" s="191" t="s">
        <v>142</v>
      </c>
      <c r="T17" s="191" t="s">
        <v>142</v>
      </c>
      <c r="U17" s="191" t="s">
        <v>4</v>
      </c>
      <c r="V17" s="191" t="s">
        <v>4</v>
      </c>
      <c r="W17" s="191" t="s">
        <v>52</v>
      </c>
      <c r="X17" s="191" t="s">
        <v>52</v>
      </c>
      <c r="Y17" s="191" t="s">
        <v>52</v>
      </c>
      <c r="Z17" s="191" t="s">
        <v>52</v>
      </c>
      <c r="AA17" s="191" t="s">
        <v>52</v>
      </c>
      <c r="AB17" s="191" t="s">
        <v>52</v>
      </c>
      <c r="AC17" s="191" t="s">
        <v>52</v>
      </c>
      <c r="AD17" s="191" t="s">
        <v>52</v>
      </c>
      <c r="AE17" s="191" t="s">
        <v>4</v>
      </c>
      <c r="AF17" s="191" t="s">
        <v>4</v>
      </c>
      <c r="AG17" s="191" t="s">
        <v>142</v>
      </c>
      <c r="AH17" s="191" t="s">
        <v>142</v>
      </c>
      <c r="AI17" s="191" t="s">
        <v>4</v>
      </c>
      <c r="AJ17" s="213">
        <f>IFERROR(COUNTIF(E17:AI17,"=Р")+COUNTIF(E17:AI17,"=Р1")+COUNTIF(E17:AI17,"=ВЧ")+COUNTIF(E17:AI17,"=РН")+COUNTIF(E17:AI17,"=Р2")+COUNTIF(E17:AI17,"=Р1/РВ")+COUNTIF(E17:AI17,"=Р2/РВ")+COUNTIF(E17:AI17,"=ВЧ/РВ")+COUNTIF(E17:AI17,"=РН/РВ"),0)</f>
        <v>15</v>
      </c>
      <c r="AK17" s="202">
        <f>IFERROR(SUMIF(E17:AI17,"=Р2",E18:AI18)+SUMIF(E17:AI17,"=ВЧ/РВ",E18:AI18)+SUMIF(E17:AI17,"=РН/РВ",E18:AI18)+SUMIF(E17:AI17,"=Р1/РВ",E18:AI18)+SUMIF(E17:AI17,"=ВЧ2/РВ",E18:AI18)+SUMIF(E17:AI17,"=Р2/РВ",E18:AI18)+SUMIF(E17:AI17,"=Р",E18:AI18)+SUMIF(E17:AI17,"=Р1",E18:AI18)+SUMIF(E17:AI17,"=ВЧ1",E18:AI18)+SUMIF(E17:AI17,"=РН",E18:AI18)+SUMIF(E17:AI17,"=ВЧ",E18:AI18),0)</f>
        <v>119.80000000000003</v>
      </c>
      <c r="AL17" s="202">
        <f>IFERROR(SUMIF(E17:AI17,"=НУ",E18:AI18),0)</f>
        <v>0</v>
      </c>
      <c r="AM17" s="202">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02">
        <f>IFERROR(SUMIF(E17:AI17,"=РВ",E18:AI18)+SUMIF(E17:AI17,"=ВЧ/РВ",E18:AI18)+SUMIF(E17:AI17,"=РН/РВ",E18:AI18)+SUMIF(E17:AI17,"=Р1/РВ",E18:AI18)+SUMIF(E17:AI17,"=ВЧ2/РВ",E18:AI18)+SUMIF(E17:AI17,"=Р2/РВ",E18:AI18),0)</f>
        <v>0</v>
      </c>
      <c r="AP17" s="202">
        <f>IFERROR(COUNTIF(E17:AI17,"=ВВ")+COUNTIF(E17:AI17,"=Р1/ВВ")+COUNTIF(E17:AI17,"=РН/ВВ")+COUNTIF(E17:AI17,"=ВЧ/ВВ"),0)</f>
        <v>6</v>
      </c>
      <c r="AQ17" s="202">
        <f>SUM(AR17:AZ17)</f>
        <v>48.2</v>
      </c>
      <c r="AR17" s="202">
        <f>IFERROR(SUMIF(E17:AI17,"=В",E18:AI18)+SUMIF(E17:AI17,"=Ч",E18:AI18)+SUMIF(E17:AI17,"=ВБ",E18:AI18),0)</f>
        <v>0</v>
      </c>
      <c r="AS17" s="202">
        <f>IFERROR(SUMIF(E17:AI17,"=Н",E18:AI18),0)</f>
        <v>0</v>
      </c>
      <c r="AT17" s="202">
        <f>IFERROR(SUMIF(E17:AI17,"=НА",E18:AI18),0)</f>
        <v>0</v>
      </c>
      <c r="AU17" s="202">
        <f>IFERROR(SUMIF(E17:AI17,"=ВП",E18:AI18),0)</f>
        <v>0</v>
      </c>
      <c r="AV17" s="202">
        <f>IFERROR(SUMIF(E17:AI17,"=ДД",E18:AI18),0)</f>
        <v>0</v>
      </c>
      <c r="AW17" s="198">
        <f>IFERROR(SUMIF(E17:AI17,"=ДО",E18:AI18),0)</f>
        <v>0</v>
      </c>
      <c r="AX17" s="202">
        <f>IFERROR(SUMIF(E17:AI17,"=ТН",E18:AI18),0)</f>
        <v>48.2</v>
      </c>
      <c r="AY17" s="202">
        <f>IFERROR(SUMIF(E17:AI17,"=ВД",E18:AI18),0)</f>
        <v>0</v>
      </c>
      <c r="AZ17" s="200">
        <f>IFERROR(SUMIF(E17:AI17,"=ІН",E18:AI18),0)+SUMIF(E17:AI17,"=НЗ",E18:AI18)</f>
        <v>0</v>
      </c>
    </row>
    <row r="18" spans="1:52" ht="20.100000000000001" customHeight="1" thickBot="1" x14ac:dyDescent="0.25">
      <c r="A18" s="229"/>
      <c r="B18" s="229"/>
      <c r="C18" s="229"/>
      <c r="D18" s="231"/>
      <c r="E18" s="182"/>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c r="AH18" s="192"/>
      <c r="AI18" s="192">
        <v>8.1999999999999993</v>
      </c>
      <c r="AJ18" s="214"/>
      <c r="AK18" s="203"/>
      <c r="AL18" s="203"/>
      <c r="AM18" s="203"/>
      <c r="AN18" s="212"/>
      <c r="AO18" s="203"/>
      <c r="AP18" s="203"/>
      <c r="AQ18" s="203"/>
      <c r="AR18" s="203"/>
      <c r="AS18" s="203"/>
      <c r="AT18" s="203"/>
      <c r="AU18" s="203"/>
      <c r="AV18" s="203"/>
      <c r="AW18" s="199"/>
      <c r="AX18" s="203"/>
      <c r="AY18" s="203"/>
      <c r="AZ18" s="201"/>
    </row>
    <row r="19" spans="1:52" s="118" customFormat="1" ht="20.100000000000001" customHeight="1" x14ac:dyDescent="0.2">
      <c r="A19" s="228">
        <v>2</v>
      </c>
      <c r="B19" s="228" t="s">
        <v>299</v>
      </c>
      <c r="C19" s="228">
        <v>2170</v>
      </c>
      <c r="D19" s="230" t="s">
        <v>72</v>
      </c>
      <c r="E19" s="191" t="s">
        <v>142</v>
      </c>
      <c r="F19" s="191" t="s">
        <v>142</v>
      </c>
      <c r="G19" s="191" t="s">
        <v>4</v>
      </c>
      <c r="H19" s="191" t="s">
        <v>4</v>
      </c>
      <c r="I19" s="191" t="s">
        <v>4</v>
      </c>
      <c r="J19" s="191" t="s">
        <v>4</v>
      </c>
      <c r="K19" s="191" t="s">
        <v>4</v>
      </c>
      <c r="L19" s="191" t="s">
        <v>142</v>
      </c>
      <c r="M19" s="191" t="s">
        <v>142</v>
      </c>
      <c r="N19" s="191" t="s">
        <v>4</v>
      </c>
      <c r="O19" s="191" t="s">
        <v>4</v>
      </c>
      <c r="P19" s="191" t="s">
        <v>4</v>
      </c>
      <c r="Q19" s="191" t="s">
        <v>4</v>
      </c>
      <c r="R19" s="191" t="s">
        <v>4</v>
      </c>
      <c r="S19" s="191" t="s">
        <v>142</v>
      </c>
      <c r="T19" s="191" t="s">
        <v>142</v>
      </c>
      <c r="U19" s="191" t="s">
        <v>4</v>
      </c>
      <c r="V19" s="191" t="s">
        <v>4</v>
      </c>
      <c r="W19" s="191" t="s">
        <v>4</v>
      </c>
      <c r="X19" s="191" t="s">
        <v>4</v>
      </c>
      <c r="Y19" s="191" t="s">
        <v>4</v>
      </c>
      <c r="Z19" s="191" t="s">
        <v>142</v>
      </c>
      <c r="AA19" s="191" t="s">
        <v>142</v>
      </c>
      <c r="AB19" s="191" t="s">
        <v>4</v>
      </c>
      <c r="AC19" s="191" t="s">
        <v>4</v>
      </c>
      <c r="AD19" s="191" t="s">
        <v>4</v>
      </c>
      <c r="AE19" s="191" t="s">
        <v>4</v>
      </c>
      <c r="AF19" s="191" t="s">
        <v>4</v>
      </c>
      <c r="AG19" s="191" t="s">
        <v>142</v>
      </c>
      <c r="AH19" s="191" t="s">
        <v>142</v>
      </c>
      <c r="AI19" s="191" t="s">
        <v>4</v>
      </c>
      <c r="AJ19" s="213">
        <f>IFERROR(COUNTIF(E19:AI19,"=Р")+COUNTIF(E19:AI19,"=Р1")+COUNTIF(E19:AI19,"=ВЧ")+COUNTIF(E19:AI19,"=РН")+COUNTIF(E19:AI19,"=Р2")+COUNTIF(E19:AI19,"=Р1/РВ")+COUNTIF(E19:AI19,"=Р2/РВ")+COUNTIF(E19:AI19,"=ВЧ/РВ")+COUNTIF(E19:AI19,"=РН/РВ"),0)</f>
        <v>21</v>
      </c>
      <c r="AK19" s="202">
        <f>IFERROR(SUMIF(E19:AI19,"=Р2",E20:AI20)+SUMIF(E19:AI19,"=ВЧ/РВ",E20:AI20)+SUMIF(E19:AI19,"=РН/РВ",E20:AI20)+SUMIF(E19:AI19,"=Р1/РВ",E20:AI20)+SUMIF(E19:AI19,"=ВЧ2/РВ",E20:AI20)+SUMIF(E19:AI19,"=Р2/РВ",E20:AI20)+SUMIF(E19:AI19,"=Р",E20:AI20)+SUMIF(E19:AI19,"=Р1",E20:AI20)+SUMIF(E19:AI19,"=ВЧ1",E20:AI20)+SUMIF(E19:AI19,"=РН",E20:AI20)+SUMIF(E19:AI19,"=ВЧ",E20:AI20),0)</f>
        <v>167.99999999999997</v>
      </c>
      <c r="AL19" s="202">
        <f>IFERROR(SUMIF(E19:AI19,"=НУ",E20:AI20),0)</f>
        <v>0</v>
      </c>
      <c r="AM19" s="202">
        <f>IFERROR(SUMIF(E19:AI19,"=РН",E20:AI20)+SUMIF(E19:AI19,"=РН/РВ",E20:AI20)+SUMIFS(E20:AI20,E19:AI19,"=Р2",E20:AI20,"=8"),0)</f>
        <v>0</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0</v>
      </c>
      <c r="AO19" s="202">
        <f>IFERROR(SUMIF(E19:AI19,"=РВ",E20:AI20)+SUMIF(E19:AI19,"=ВЧ/РВ",E20:AI20)+SUMIF(E19:AI19,"=РН/РВ",E20:AI20)+SUMIF(E19:AI19,"=Р1/РВ",E20:AI20)+SUMIF(E19:AI19,"=ВЧ2/РВ",E20:AI20)+SUMIF(E19:AI19,"=Р2/РВ",E20:AI20),0)</f>
        <v>0</v>
      </c>
      <c r="AP19" s="202">
        <f>IFERROR(COUNTIF(E19:AI19,"=ВВ")+COUNTIF(E19:AI19,"=Р1/ВВ")+COUNTIF(E19:AI19,"=РН/ВВ")+COUNTIF(E19:AI19,"=ВЧ/ВВ"),0)</f>
        <v>10</v>
      </c>
      <c r="AQ19" s="202">
        <f>SUM(AR19:AZ19)</f>
        <v>0</v>
      </c>
      <c r="AR19" s="202">
        <f>IFERROR(SUMIF(E19:AI19,"=В",E20:AI20)+SUMIF(E19:AI19,"=Ч",E20:AI20)+SUMIF(E19:AI19,"=ВБ",E20:AI20),0)</f>
        <v>0</v>
      </c>
      <c r="AS19" s="202">
        <f>IFERROR(SUMIF(E19:AI19,"=Н",E20:AI20),0)</f>
        <v>0</v>
      </c>
      <c r="AT19" s="202">
        <f>IFERROR(SUMIF(E19:AI19,"=НА",E20:AI20),0)</f>
        <v>0</v>
      </c>
      <c r="AU19" s="202">
        <f>IFERROR(SUMIF(E19:AI19,"=ВП",E20:AI20),0)</f>
        <v>0</v>
      </c>
      <c r="AV19" s="202">
        <f>IFERROR(SUMIF(E19:AI19,"=ДД",E20:AI20),0)</f>
        <v>0</v>
      </c>
      <c r="AW19" s="198">
        <f>IFERROR(SUMIF(E19:AI19,"=ДО",E20:AI20),0)</f>
        <v>0</v>
      </c>
      <c r="AX19" s="202">
        <f>IFERROR(SUMIF(E19:AI19,"=ТН",E20:AI20),0)</f>
        <v>0</v>
      </c>
      <c r="AY19" s="202">
        <f>IFERROR(SUMIF(E19:AI19,"=ВД",E20:AI20),0)</f>
        <v>0</v>
      </c>
      <c r="AZ19" s="200">
        <f>IFERROR(SUMIF(E19:AI19,"=ІН",E20:AI20),0)+SUMIF(E19:AI19,"=НЗ",E20:AI20)</f>
        <v>0</v>
      </c>
    </row>
    <row r="20" spans="1:52" s="118" customFormat="1" ht="20.100000000000001" customHeight="1" thickBot="1" x14ac:dyDescent="0.25">
      <c r="A20" s="229"/>
      <c r="B20" s="229"/>
      <c r="C20" s="229"/>
      <c r="D20" s="231"/>
      <c r="E20" s="192"/>
      <c r="F20" s="192"/>
      <c r="G20" s="192">
        <v>8.1999999999999993</v>
      </c>
      <c r="H20" s="192">
        <v>8.1999999999999993</v>
      </c>
      <c r="I20" s="192">
        <v>8.1999999999999993</v>
      </c>
      <c r="J20" s="192">
        <v>8.1999999999999993</v>
      </c>
      <c r="K20" s="192">
        <v>7</v>
      </c>
      <c r="L20" s="192"/>
      <c r="M20" s="192"/>
      <c r="N20" s="192">
        <v>8.1999999999999993</v>
      </c>
      <c r="O20" s="192">
        <v>8.1999999999999993</v>
      </c>
      <c r="P20" s="192">
        <v>8.1999999999999993</v>
      </c>
      <c r="Q20" s="192">
        <v>8.1999999999999993</v>
      </c>
      <c r="R20" s="192">
        <v>7.2</v>
      </c>
      <c r="S20" s="192"/>
      <c r="T20" s="192"/>
      <c r="U20" s="192">
        <v>8.1999999999999993</v>
      </c>
      <c r="V20" s="192">
        <v>8.1999999999999993</v>
      </c>
      <c r="W20" s="192">
        <v>8.1999999999999993</v>
      </c>
      <c r="X20" s="192">
        <v>8.1999999999999993</v>
      </c>
      <c r="Y20" s="192">
        <v>7.2</v>
      </c>
      <c r="Z20" s="192"/>
      <c r="AA20" s="192"/>
      <c r="AB20" s="192">
        <v>8.1999999999999993</v>
      </c>
      <c r="AC20" s="192">
        <v>8.1999999999999993</v>
      </c>
      <c r="AD20" s="192">
        <v>8.1999999999999993</v>
      </c>
      <c r="AE20" s="192">
        <v>8.1999999999999993</v>
      </c>
      <c r="AF20" s="192">
        <v>7.2</v>
      </c>
      <c r="AG20" s="192"/>
      <c r="AH20" s="192"/>
      <c r="AI20" s="192">
        <v>8.1999999999999993</v>
      </c>
      <c r="AJ20" s="214"/>
      <c r="AK20" s="203"/>
      <c r="AL20" s="203"/>
      <c r="AM20" s="203"/>
      <c r="AN20" s="212"/>
      <c r="AO20" s="203"/>
      <c r="AP20" s="203"/>
      <c r="AQ20" s="203"/>
      <c r="AR20" s="203"/>
      <c r="AS20" s="203"/>
      <c r="AT20" s="203"/>
      <c r="AU20" s="203"/>
      <c r="AV20" s="203"/>
      <c r="AW20" s="199"/>
      <c r="AX20" s="203"/>
      <c r="AY20" s="203"/>
      <c r="AZ20" s="201"/>
    </row>
    <row r="21" spans="1:52" s="193" customFormat="1" ht="20.100000000000001" customHeight="1" x14ac:dyDescent="0.2">
      <c r="A21" s="228">
        <v>3</v>
      </c>
      <c r="B21" s="228" t="s">
        <v>485</v>
      </c>
      <c r="C21" s="228"/>
      <c r="D21" s="230" t="s">
        <v>72</v>
      </c>
      <c r="E21" s="191"/>
      <c r="F21" s="191"/>
      <c r="G21" s="191"/>
      <c r="H21" s="191"/>
      <c r="I21" s="191"/>
      <c r="J21" s="191"/>
      <c r="K21" s="191"/>
      <c r="L21" s="191"/>
      <c r="M21" s="191"/>
      <c r="N21" s="191"/>
      <c r="O21" s="191"/>
      <c r="P21" s="191"/>
      <c r="Q21" s="191"/>
      <c r="R21" s="191"/>
      <c r="S21" s="191"/>
      <c r="T21" s="191"/>
      <c r="U21" s="191"/>
      <c r="V21" s="191"/>
      <c r="W21" s="191"/>
      <c r="X21" s="191"/>
      <c r="Y21" s="191"/>
      <c r="Z21" s="191"/>
      <c r="AA21" s="191"/>
      <c r="AB21" s="191" t="s">
        <v>4</v>
      </c>
      <c r="AC21" s="191" t="s">
        <v>4</v>
      </c>
      <c r="AD21" s="191" t="s">
        <v>4</v>
      </c>
      <c r="AE21" s="191" t="s">
        <v>4</v>
      </c>
      <c r="AF21" s="191" t="s">
        <v>4</v>
      </c>
      <c r="AG21" s="191" t="s">
        <v>142</v>
      </c>
      <c r="AH21" s="191" t="s">
        <v>142</v>
      </c>
      <c r="AI21" s="191" t="s">
        <v>4</v>
      </c>
      <c r="AJ21" s="213">
        <f>IFERROR(COUNTIF(E21:AI21,"=Р")+COUNTIF(E21:AI21,"=Р1")+COUNTIF(E21:AI21,"=ВЧ")+COUNTIF(E21:AI21,"=РН")+COUNTIF(E21:AI21,"=Р2")+COUNTIF(E21:AI21,"=Р1/РВ")+COUNTIF(E21:AI21,"=Р2/РВ")+COUNTIF(E21:AI21,"=ВЧ/РВ")+COUNTIF(E21:AI21,"=РН/РВ"),0)</f>
        <v>6</v>
      </c>
      <c r="AK21" s="202">
        <f>IFERROR(SUMIF(E21:AI21,"=Р2",E22:AI22)+SUMIF(E21:AI21,"=ВЧ/РВ",E22:AI22)+SUMIF(E21:AI21,"=РН/РВ",E22:AI22)+SUMIF(E21:AI21,"=Р1/РВ",E22:AI22)+SUMIF(E21:AI21,"=ВЧ2/РВ",E22:AI22)+SUMIF(E21:AI21,"=Р2/РВ",E22:AI22)+SUMIF(E21:AI21,"=Р",E22:AI22)+SUMIF(E21:AI21,"=Р1",E22:AI22)+SUMIF(E21:AI21,"=ВЧ1",E22:AI22)+SUMIF(E21:AI21,"=РН",E22:AI22)+SUMIF(E21:AI21,"=ВЧ",E22:AI22),0)</f>
        <v>48.2</v>
      </c>
      <c r="AL21" s="202">
        <f>IFERROR(SUMIF(E21:AI21,"=НУ",E22:AI22),0)</f>
        <v>0</v>
      </c>
      <c r="AM21" s="202">
        <f>IFERROR(SUMIF(E21:AI21,"=РН",E22:AI22)+SUMIF(E21:AI21,"=РН/РВ",E22:AI22)+SUMIFS(E22:AI22,E21:AI21,"=Р2",E22:AI22,"=8"),0)</f>
        <v>0</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0</v>
      </c>
      <c r="AO21" s="202">
        <f>IFERROR(SUMIF(E21:AI21,"=РВ",E22:AI22)+SUMIF(E21:AI21,"=ВЧ/РВ",E22:AI22)+SUMIF(E21:AI21,"=РН/РВ",E22:AI22)+SUMIF(E21:AI21,"=Р1/РВ",E22:AI22)+SUMIF(E21:AI21,"=ВЧ2/РВ",E22:AI22)+SUMIF(E21:AI21,"=Р2/РВ",E22:AI22),0)</f>
        <v>0</v>
      </c>
      <c r="AP21" s="202">
        <f>IFERROR(COUNTIF(E21:AI21,"=ВВ")+COUNTIF(E21:AI21,"=Р1/ВВ")+COUNTIF(E21:AI21,"=РН/ВВ")+COUNTIF(E21:AI21,"=ВЧ/ВВ"),0)</f>
        <v>2</v>
      </c>
      <c r="AQ21" s="202">
        <f>SUM(AR21:AZ21)</f>
        <v>0</v>
      </c>
      <c r="AR21" s="202">
        <f>IFERROR(SUMIF(E21:AI21,"=В",E22:AI22)+SUMIF(E21:AI21,"=Ч",E22:AI22)+SUMIF(E21:AI21,"=ВБ",E22:AI22),0)</f>
        <v>0</v>
      </c>
      <c r="AS21" s="202">
        <f>IFERROR(SUMIF(E21:AI21,"=Н",E22:AI22),0)</f>
        <v>0</v>
      </c>
      <c r="AT21" s="202">
        <f>IFERROR(SUMIF(E21:AI21,"=НА",E22:AI22),0)</f>
        <v>0</v>
      </c>
      <c r="AU21" s="202">
        <f>IFERROR(SUMIF(E21:AI21,"=ВП",E22:AI22),0)</f>
        <v>0</v>
      </c>
      <c r="AV21" s="202">
        <f>IFERROR(SUMIF(E21:AI21,"=ДД",E22:AI22),0)</f>
        <v>0</v>
      </c>
      <c r="AW21" s="198">
        <f>IFERROR(SUMIF(E21:AI21,"=ДО",E22:AI22),0)</f>
        <v>0</v>
      </c>
      <c r="AX21" s="202">
        <f>IFERROR(SUMIF(E21:AI21,"=ТН",E22:AI22),0)</f>
        <v>0</v>
      </c>
      <c r="AY21" s="202">
        <f>IFERROR(SUMIF(E21:AI21,"=ВД",E22:AI22),0)</f>
        <v>0</v>
      </c>
      <c r="AZ21" s="200">
        <f>IFERROR(SUMIF(E21:AI21,"=ІН",E22:AI22),0)+SUMIF(E21:AI21,"=НЗ",E22:AI22)</f>
        <v>0</v>
      </c>
    </row>
    <row r="22" spans="1:52" s="193" customFormat="1" ht="20.100000000000001" customHeight="1" thickBot="1" x14ac:dyDescent="0.25">
      <c r="A22" s="229"/>
      <c r="B22" s="229"/>
      <c r="C22" s="229"/>
      <c r="D22" s="231"/>
      <c r="E22" s="192"/>
      <c r="F22" s="192"/>
      <c r="G22" s="192"/>
      <c r="H22" s="192"/>
      <c r="I22" s="192"/>
      <c r="J22" s="192"/>
      <c r="K22" s="192"/>
      <c r="L22" s="192"/>
      <c r="M22" s="192"/>
      <c r="N22" s="192"/>
      <c r="O22" s="192"/>
      <c r="P22" s="192"/>
      <c r="Q22" s="192"/>
      <c r="R22" s="192"/>
      <c r="S22" s="192"/>
      <c r="T22" s="192" t="s">
        <v>480</v>
      </c>
      <c r="U22" s="192" t="s">
        <v>486</v>
      </c>
      <c r="V22" s="192" t="s">
        <v>470</v>
      </c>
      <c r="W22" s="192" t="s">
        <v>483</v>
      </c>
      <c r="X22" s="192" t="s">
        <v>476</v>
      </c>
      <c r="Y22" s="192" t="s">
        <v>487</v>
      </c>
      <c r="Z22" s="192" t="s">
        <v>488</v>
      </c>
      <c r="AA22" s="192" t="s">
        <v>484</v>
      </c>
      <c r="AB22" s="192">
        <v>8.1999999999999993</v>
      </c>
      <c r="AC22" s="192">
        <v>8.1999999999999993</v>
      </c>
      <c r="AD22" s="192">
        <v>8.1999999999999993</v>
      </c>
      <c r="AE22" s="192">
        <v>8.1999999999999993</v>
      </c>
      <c r="AF22" s="192">
        <v>7.2</v>
      </c>
      <c r="AG22" s="192"/>
      <c r="AH22" s="192"/>
      <c r="AI22" s="192">
        <v>8.1999999999999993</v>
      </c>
      <c r="AJ22" s="214"/>
      <c r="AK22" s="203"/>
      <c r="AL22" s="203"/>
      <c r="AM22" s="203"/>
      <c r="AN22" s="212"/>
      <c r="AO22" s="203"/>
      <c r="AP22" s="203"/>
      <c r="AQ22" s="203"/>
      <c r="AR22" s="203"/>
      <c r="AS22" s="203"/>
      <c r="AT22" s="203"/>
      <c r="AU22" s="203"/>
      <c r="AV22" s="203"/>
      <c r="AW22" s="199"/>
      <c r="AX22" s="203"/>
      <c r="AY22" s="203"/>
      <c r="AZ22" s="201"/>
    </row>
    <row r="23" spans="1:52" ht="20.100000000000001" customHeight="1" x14ac:dyDescent="0.2">
      <c r="A23" s="228">
        <v>4</v>
      </c>
      <c r="B23" s="228" t="s">
        <v>165</v>
      </c>
      <c r="C23" s="228">
        <v>1384</v>
      </c>
      <c r="D23" s="230" t="s">
        <v>72</v>
      </c>
      <c r="E23" s="191" t="s">
        <v>142</v>
      </c>
      <c r="F23" s="191" t="s">
        <v>142</v>
      </c>
      <c r="G23" s="191" t="s">
        <v>4</v>
      </c>
      <c r="H23" s="191" t="s">
        <v>4</v>
      </c>
      <c r="I23" s="191" t="s">
        <v>4</v>
      </c>
      <c r="J23" s="191" t="s">
        <v>4</v>
      </c>
      <c r="K23" s="191" t="s">
        <v>4</v>
      </c>
      <c r="L23" s="191" t="s">
        <v>142</v>
      </c>
      <c r="M23" s="191" t="s">
        <v>142</v>
      </c>
      <c r="N23" s="191" t="s">
        <v>4</v>
      </c>
      <c r="O23" s="191" t="s">
        <v>4</v>
      </c>
      <c r="P23" s="191" t="s">
        <v>4</v>
      </c>
      <c r="Q23" s="191" t="s">
        <v>52</v>
      </c>
      <c r="R23" s="191" t="s">
        <v>52</v>
      </c>
      <c r="S23" s="191" t="s">
        <v>52</v>
      </c>
      <c r="T23" s="191" t="s">
        <v>52</v>
      </c>
      <c r="U23" s="191" t="s">
        <v>52</v>
      </c>
      <c r="V23" s="191" t="s">
        <v>52</v>
      </c>
      <c r="W23" s="191" t="s">
        <v>52</v>
      </c>
      <c r="X23" s="191" t="s">
        <v>52</v>
      </c>
      <c r="Y23" s="191" t="s">
        <v>52</v>
      </c>
      <c r="Z23" s="191" t="s">
        <v>142</v>
      </c>
      <c r="AA23" s="191" t="s">
        <v>142</v>
      </c>
      <c r="AB23" s="191" t="s">
        <v>4</v>
      </c>
      <c r="AC23" s="191" t="s">
        <v>4</v>
      </c>
      <c r="AD23" s="191" t="s">
        <v>4</v>
      </c>
      <c r="AE23" s="191" t="s">
        <v>4</v>
      </c>
      <c r="AF23" s="191" t="s">
        <v>4</v>
      </c>
      <c r="AG23" s="191" t="s">
        <v>142</v>
      </c>
      <c r="AH23" s="191" t="s">
        <v>142</v>
      </c>
      <c r="AI23" s="191" t="s">
        <v>4</v>
      </c>
      <c r="AJ23" s="213">
        <f>IFERROR(COUNTIF(E23:AI23,"=Р")+COUNTIF(E23:AI23,"=Р1")+COUNTIF(E23:AI23,"=ВЧ")+COUNTIF(E23:AI23,"=РН")+COUNTIF(E23:AI23,"=Р2")+COUNTIF(E23:AI23,"=Р1/РВ")+COUNTIF(E23:AI23,"=Р2/РВ")+COUNTIF(E23:AI23,"=ВЧ/РВ")+COUNTIF(E23:AI23,"=РН/РВ"),0)</f>
        <v>14</v>
      </c>
      <c r="AK23" s="202">
        <f>IFERROR(SUMIF(E23:AI23,"=Р2",E24:AI24)+SUMIF(E23:AI23,"=ВЧ/РВ",E24:AI24)+SUMIF(E23:AI23,"=РН/РВ",E24:AI24)+SUMIF(E23:AI23,"=Р1/РВ",E24:AI24)+SUMIF(E23:AI23,"=ВЧ2/РВ",E24:AI24)+SUMIF(E23:AI23,"=Р2/РВ",E24:AI24)+SUMIF(E23:AI23,"=Р",E24:AI24)+SUMIF(E23:AI23,"=Р1",E24:AI24)+SUMIF(E23:AI23,"=ВЧ1",E24:AI24)+SUMIF(E23:AI23,"=РН",E24:AI24)+SUMIF(E23:AI23,"=ВЧ",E24:AI24),0)</f>
        <v>112.60000000000002</v>
      </c>
      <c r="AL23" s="202">
        <f>IFERROR(SUMIF(E23:AI23,"=НУ",E24:AI24),0)</f>
        <v>0</v>
      </c>
      <c r="AM23" s="202">
        <f>IFERROR(SUMIF(E23:AI23,"=РН",E24:AI24)+SUMIF(E23:AI23,"=РН/РВ",E24:AI24)+SUMIFS(E24:AI24,E23:AI23,"=Р2",E24:AI24,"=8"),0)</f>
        <v>0</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0</v>
      </c>
      <c r="AO23" s="202">
        <f>IFERROR(SUMIF(E23:AI23,"=РВ",E24:AI24)+SUMIF(E23:AI23,"=ВЧ/РВ",E24:AI24)+SUMIF(E23:AI23,"=РН/РВ",E24:AI24)+SUMIF(E23:AI23,"=Р1/РВ",E24:AI24)+SUMIF(E23:AI23,"=ВЧ2/РВ",E24:AI24)+SUMIF(E23:AI23,"=Р2/РВ",E24:AI24),0)</f>
        <v>0</v>
      </c>
      <c r="AP23" s="202">
        <f>IFERROR(COUNTIF(E23:AI23,"=ВВ")+COUNTIF(E23:AI23,"=Р1/ВВ")+COUNTIF(E23:AI23,"=РН/ВВ")+COUNTIF(E23:AI23,"=ВЧ/ВВ"),0)</f>
        <v>8</v>
      </c>
      <c r="AQ23" s="202">
        <f>SUM(AR23:AZ23)</f>
        <v>55.400000000000006</v>
      </c>
      <c r="AR23" s="202">
        <f>IFERROR(SUMIF(E23:AI23,"=В",E24:AI24)+SUMIF(E23:AI23,"=Ч",E24:AI24)+SUMIF(E23:AI23,"=ВБ",E24:AI24),0)</f>
        <v>0</v>
      </c>
      <c r="AS23" s="202">
        <f>IFERROR(SUMIF(E23:AI23,"=Н",E24:AI24),0)</f>
        <v>0</v>
      </c>
      <c r="AT23" s="202">
        <f>IFERROR(SUMIF(E23:AI23,"=НА",E24:AI24),0)</f>
        <v>0</v>
      </c>
      <c r="AU23" s="202">
        <f>IFERROR(SUMIF(E23:AI23,"=ВП",E24:AI24),0)</f>
        <v>0</v>
      </c>
      <c r="AV23" s="202">
        <f>IFERROR(SUMIF(E23:AI23,"=ДД",E24:AI24),0)</f>
        <v>0</v>
      </c>
      <c r="AW23" s="198">
        <f>IFERROR(SUMIF(E23:AI23,"=ДО",E24:AI24),0)</f>
        <v>0</v>
      </c>
      <c r="AX23" s="202">
        <f>IFERROR(SUMIF(E23:AI23,"=ТН",E24:AI24),0)</f>
        <v>55.400000000000006</v>
      </c>
      <c r="AY23" s="202">
        <f>IFERROR(SUMIF(E23:AI23,"=ВД",E24:AI24),0)</f>
        <v>0</v>
      </c>
      <c r="AZ23" s="200">
        <f>IFERROR(SUMIF(E23:AI23,"=ІН",E24:AI24),0)+SUMIF(E23:AI23,"=НЗ",E24:AI24)</f>
        <v>0</v>
      </c>
    </row>
    <row r="24" spans="1:52" ht="20.100000000000001" customHeight="1" thickBot="1" x14ac:dyDescent="0.25">
      <c r="A24" s="229"/>
      <c r="B24" s="229"/>
      <c r="C24" s="229"/>
      <c r="D24" s="231"/>
      <c r="E24" s="192"/>
      <c r="F24" s="192"/>
      <c r="G24" s="192">
        <v>8.1999999999999993</v>
      </c>
      <c r="H24" s="192">
        <v>8.1999999999999993</v>
      </c>
      <c r="I24" s="192">
        <v>8.1999999999999993</v>
      </c>
      <c r="J24" s="192">
        <v>8.1999999999999993</v>
      </c>
      <c r="K24" s="192">
        <v>7</v>
      </c>
      <c r="L24" s="192"/>
      <c r="M24" s="192"/>
      <c r="N24" s="192">
        <v>8.1999999999999993</v>
      </c>
      <c r="O24" s="192">
        <v>8.1999999999999993</v>
      </c>
      <c r="P24" s="192">
        <v>8.1999999999999993</v>
      </c>
      <c r="Q24" s="192">
        <v>8.1999999999999993</v>
      </c>
      <c r="R24" s="192">
        <v>7.2</v>
      </c>
      <c r="S24" s="192"/>
      <c r="T24" s="192"/>
      <c r="U24" s="192">
        <v>8.1999999999999993</v>
      </c>
      <c r="V24" s="192">
        <v>8.1999999999999993</v>
      </c>
      <c r="W24" s="192">
        <v>8.1999999999999993</v>
      </c>
      <c r="X24" s="192">
        <v>8.1999999999999993</v>
      </c>
      <c r="Y24" s="192">
        <v>7.2</v>
      </c>
      <c r="Z24" s="192"/>
      <c r="AA24" s="192"/>
      <c r="AB24" s="192">
        <v>8.1999999999999993</v>
      </c>
      <c r="AC24" s="192">
        <v>8.1999999999999993</v>
      </c>
      <c r="AD24" s="192">
        <v>8.1999999999999993</v>
      </c>
      <c r="AE24" s="192">
        <v>8.1999999999999993</v>
      </c>
      <c r="AF24" s="192">
        <v>7.2</v>
      </c>
      <c r="AG24" s="192"/>
      <c r="AH24" s="192"/>
      <c r="AI24" s="192">
        <v>8.1999999999999993</v>
      </c>
      <c r="AJ24" s="214"/>
      <c r="AK24" s="203"/>
      <c r="AL24" s="203"/>
      <c r="AM24" s="203"/>
      <c r="AN24" s="212"/>
      <c r="AO24" s="203"/>
      <c r="AP24" s="203"/>
      <c r="AQ24" s="203"/>
      <c r="AR24" s="203"/>
      <c r="AS24" s="203"/>
      <c r="AT24" s="203"/>
      <c r="AU24" s="203"/>
      <c r="AV24" s="203"/>
      <c r="AW24" s="199"/>
      <c r="AX24" s="203"/>
      <c r="AY24" s="203"/>
      <c r="AZ24" s="201"/>
    </row>
    <row r="25" spans="1:52" s="180" customFormat="1" ht="20.100000000000001" customHeight="1" x14ac:dyDescent="0.2">
      <c r="A25" s="228">
        <v>5</v>
      </c>
      <c r="B25" s="228" t="s">
        <v>286</v>
      </c>
      <c r="C25" s="228">
        <v>2160</v>
      </c>
      <c r="D25" s="230" t="s">
        <v>72</v>
      </c>
      <c r="E25" s="191" t="s">
        <v>142</v>
      </c>
      <c r="F25" s="191" t="s">
        <v>142</v>
      </c>
      <c r="G25" s="191" t="s">
        <v>4</v>
      </c>
      <c r="H25" s="191" t="s">
        <v>4</v>
      </c>
      <c r="I25" s="191" t="s">
        <v>4</v>
      </c>
      <c r="J25" s="191" t="s">
        <v>4</v>
      </c>
      <c r="K25" s="191" t="s">
        <v>4</v>
      </c>
      <c r="L25" s="191" t="s">
        <v>142</v>
      </c>
      <c r="M25" s="191" t="s">
        <v>142</v>
      </c>
      <c r="N25" s="191" t="s">
        <v>4</v>
      </c>
      <c r="O25" s="191" t="s">
        <v>4</v>
      </c>
      <c r="P25" s="191" t="s">
        <v>4</v>
      </c>
      <c r="Q25" s="191" t="s">
        <v>4</v>
      </c>
      <c r="R25" s="191" t="s">
        <v>4</v>
      </c>
      <c r="S25" s="191" t="s">
        <v>142</v>
      </c>
      <c r="T25" s="191" t="s">
        <v>142</v>
      </c>
      <c r="U25" s="191" t="s">
        <v>4</v>
      </c>
      <c r="V25" s="191" t="s">
        <v>4</v>
      </c>
      <c r="W25" s="191" t="s">
        <v>4</v>
      </c>
      <c r="X25" s="191" t="s">
        <v>52</v>
      </c>
      <c r="Y25" s="191" t="s">
        <v>52</v>
      </c>
      <c r="Z25" s="191" t="s">
        <v>52</v>
      </c>
      <c r="AA25" s="191" t="s">
        <v>52</v>
      </c>
      <c r="AB25" s="191" t="s">
        <v>52</v>
      </c>
      <c r="AC25" s="191" t="s">
        <v>4</v>
      </c>
      <c r="AD25" s="191" t="s">
        <v>4</v>
      </c>
      <c r="AE25" s="191" t="s">
        <v>4</v>
      </c>
      <c r="AF25" s="191" t="s">
        <v>4</v>
      </c>
      <c r="AG25" s="191" t="s">
        <v>142</v>
      </c>
      <c r="AH25" s="191" t="s">
        <v>142</v>
      </c>
      <c r="AI25" s="191" t="s">
        <v>4</v>
      </c>
      <c r="AJ25" s="213">
        <f>IFERROR(COUNTIF(E25:AI25,"=Р")+COUNTIF(E25:AI25,"=Р1")+COUNTIF(E25:AI25,"=ВЧ")+COUNTIF(E25:AI25,"=РН")+COUNTIF(E25:AI25,"=Р2")+COUNTIF(E25:AI25,"=Р1/РВ")+COUNTIF(E25:AI25,"=Р2/РВ")+COUNTIF(E25:AI25,"=ВЧ/РВ")+COUNTIF(E25:AI25,"=РН/РВ"),0)</f>
        <v>18</v>
      </c>
      <c r="AK25" s="202">
        <f>IFERROR(SUMIF(E25:AI25,"=Р2",E26:AI26)+SUMIF(E25:AI25,"=ВЧ/РВ",E26:AI26)+SUMIF(E25:AI25,"=РН/РВ",E26:AI26)+SUMIF(E25:AI25,"=Р1/РВ",E26:AI26)+SUMIF(E25:AI25,"=ВЧ2/РВ",E26:AI26)+SUMIF(E25:AI25,"=Р2/РВ",E26:AI26)+SUMIF(E25:AI25,"=Р",E26:AI26)+SUMIF(E25:AI25,"=Р1",E26:AI26)+SUMIF(E25:AI25,"=ВЧ1",E26:AI26)+SUMIF(E25:AI25,"=РН",E26:AI26)+SUMIF(E25:AI25,"=ВЧ",E26:AI26),0)</f>
        <v>144.4</v>
      </c>
      <c r="AL25" s="202">
        <f>IFERROR(SUMIF(E25:AI25,"=НУ",E26:AI26),0)</f>
        <v>0</v>
      </c>
      <c r="AM25" s="202">
        <f>IFERROR(SUMIF(E25:AI25,"=РН",E26:AI26)+SUMIF(E25:AI25,"=РН/РВ",E26:AI26)+SUMIFS(E26:AI26,E25:AI25,"=Р2",E26:AI26,"=8"),0)</f>
        <v>0</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0</v>
      </c>
      <c r="AO25" s="202">
        <f>IFERROR(SUMIF(E25:AI25,"=РВ",E26:AI26)+SUMIF(E25:AI25,"=ВЧ/РВ",E26:AI26)+SUMIF(E25:AI25,"=РН/РВ",E26:AI26)+SUMIF(E25:AI25,"=Р1/РВ",E26:AI26)+SUMIF(E25:AI25,"=ВЧ2/РВ",E26:AI26)+SUMIF(E25:AI25,"=Р2/РВ",E26:AI26),0)</f>
        <v>0</v>
      </c>
      <c r="AP25" s="202">
        <f>IFERROR(COUNTIF(E25:AI25,"=ВВ")+COUNTIF(E25:AI25,"=Р1/ВВ")+COUNTIF(E25:AI25,"=РН/ВВ")+COUNTIF(E25:AI25,"=ВЧ/ВВ"),0)</f>
        <v>8</v>
      </c>
      <c r="AQ25" s="202">
        <f>SUM(AR25:AZ25)</f>
        <v>23.599999999999998</v>
      </c>
      <c r="AR25" s="202">
        <f>IFERROR(SUMIF(E25:AI25,"=В",E26:AI26)+SUMIF(E25:AI25,"=Ч",E26:AI26)+SUMIF(E25:AI25,"=ВБ",E26:AI26),0)</f>
        <v>0</v>
      </c>
      <c r="AS25" s="202">
        <f>IFERROR(SUMIF(E25:AI25,"=Н",E26:AI26),0)</f>
        <v>0</v>
      </c>
      <c r="AT25" s="202">
        <f>IFERROR(SUMIF(E25:AI25,"=НА",E26:AI26),0)</f>
        <v>0</v>
      </c>
      <c r="AU25" s="202">
        <f>IFERROR(SUMIF(E25:AI25,"=ВП",E26:AI26),0)</f>
        <v>0</v>
      </c>
      <c r="AV25" s="202">
        <f>IFERROR(SUMIF(E25:AI25,"=ДД",E26:AI26),0)</f>
        <v>0</v>
      </c>
      <c r="AW25" s="198">
        <f>IFERROR(SUMIF(E25:AI25,"=ДО",E26:AI26),0)</f>
        <v>0</v>
      </c>
      <c r="AX25" s="202">
        <f>IFERROR(SUMIF(E25:AI25,"=ТН",E26:AI26),0)</f>
        <v>23.599999999999998</v>
      </c>
      <c r="AY25" s="202">
        <f>IFERROR(SUMIF(E25:AI25,"=ВД",E26:AI26),0)</f>
        <v>0</v>
      </c>
      <c r="AZ25" s="200">
        <f>IFERROR(SUMIF(E25:AI25,"=ІН",E26:AI26),0)+SUMIF(E25:AI25,"=НЗ",E26:AI26)</f>
        <v>0</v>
      </c>
    </row>
    <row r="26" spans="1:52" s="180" customFormat="1" ht="20.100000000000001" customHeight="1" thickBot="1" x14ac:dyDescent="0.25">
      <c r="A26" s="229"/>
      <c r="B26" s="229"/>
      <c r="C26" s="229"/>
      <c r="D26" s="231"/>
      <c r="E26" s="192"/>
      <c r="F26" s="192"/>
      <c r="G26" s="192">
        <v>8.1999999999999993</v>
      </c>
      <c r="H26" s="192">
        <v>8.1999999999999993</v>
      </c>
      <c r="I26" s="192">
        <v>8.1999999999999993</v>
      </c>
      <c r="J26" s="192">
        <v>8.1999999999999993</v>
      </c>
      <c r="K26" s="192">
        <v>7</v>
      </c>
      <c r="L26" s="192"/>
      <c r="M26" s="192"/>
      <c r="N26" s="192">
        <v>8.1999999999999993</v>
      </c>
      <c r="O26" s="192">
        <v>8.1999999999999993</v>
      </c>
      <c r="P26" s="192">
        <v>8.1999999999999993</v>
      </c>
      <c r="Q26" s="192">
        <v>8.1999999999999993</v>
      </c>
      <c r="R26" s="192">
        <v>7.2</v>
      </c>
      <c r="S26" s="192"/>
      <c r="T26" s="192"/>
      <c r="U26" s="192">
        <v>8.1999999999999993</v>
      </c>
      <c r="V26" s="192">
        <v>8.1999999999999993</v>
      </c>
      <c r="W26" s="192">
        <v>8.1999999999999993</v>
      </c>
      <c r="X26" s="192">
        <v>8.1999999999999993</v>
      </c>
      <c r="Y26" s="192">
        <v>7.2</v>
      </c>
      <c r="Z26" s="192"/>
      <c r="AA26" s="192"/>
      <c r="AB26" s="192">
        <v>8.1999999999999993</v>
      </c>
      <c r="AC26" s="192">
        <v>8.1999999999999993</v>
      </c>
      <c r="AD26" s="192">
        <v>8.1999999999999993</v>
      </c>
      <c r="AE26" s="192">
        <v>8.1999999999999993</v>
      </c>
      <c r="AF26" s="192">
        <v>7.2</v>
      </c>
      <c r="AG26" s="192"/>
      <c r="AH26" s="192"/>
      <c r="AI26" s="192">
        <v>8.1999999999999993</v>
      </c>
      <c r="AJ26" s="214"/>
      <c r="AK26" s="203"/>
      <c r="AL26" s="203"/>
      <c r="AM26" s="203"/>
      <c r="AN26" s="212"/>
      <c r="AO26" s="203"/>
      <c r="AP26" s="203"/>
      <c r="AQ26" s="203"/>
      <c r="AR26" s="203"/>
      <c r="AS26" s="203"/>
      <c r="AT26" s="203"/>
      <c r="AU26" s="203"/>
      <c r="AV26" s="203"/>
      <c r="AW26" s="199"/>
      <c r="AX26" s="203"/>
      <c r="AY26" s="203"/>
      <c r="AZ26" s="201"/>
    </row>
    <row r="27" spans="1:52" s="113" customFormat="1" ht="20.100000000000001" customHeight="1" x14ac:dyDescent="0.2">
      <c r="A27" s="228">
        <v>6</v>
      </c>
      <c r="B27" s="228" t="s">
        <v>459</v>
      </c>
      <c r="C27" s="228">
        <v>2233</v>
      </c>
      <c r="D27" s="230" t="s">
        <v>72</v>
      </c>
      <c r="E27" s="191" t="s">
        <v>142</v>
      </c>
      <c r="F27" s="191" t="s">
        <v>142</v>
      </c>
      <c r="G27" s="191" t="s">
        <v>52</v>
      </c>
      <c r="H27" s="191" t="s">
        <v>52</v>
      </c>
      <c r="I27" s="191" t="s">
        <v>52</v>
      </c>
      <c r="J27" s="191" t="s">
        <v>52</v>
      </c>
      <c r="K27" s="191" t="s">
        <v>52</v>
      </c>
      <c r="L27" s="191" t="s">
        <v>52</v>
      </c>
      <c r="M27" s="191" t="s">
        <v>52</v>
      </c>
      <c r="N27" s="191" t="s">
        <v>52</v>
      </c>
      <c r="O27" s="191" t="s">
        <v>52</v>
      </c>
      <c r="P27" s="191" t="s">
        <v>52</v>
      </c>
      <c r="Q27" s="191" t="s">
        <v>4</v>
      </c>
      <c r="R27" s="191" t="s">
        <v>4</v>
      </c>
      <c r="S27" s="191" t="s">
        <v>142</v>
      </c>
      <c r="T27" s="191" t="s">
        <v>142</v>
      </c>
      <c r="U27" s="191" t="s">
        <v>4</v>
      </c>
      <c r="V27" s="191"/>
      <c r="W27" s="191"/>
      <c r="X27" s="191"/>
      <c r="Y27" s="191"/>
      <c r="Z27" s="191"/>
      <c r="AA27" s="191"/>
      <c r="AB27" s="191"/>
      <c r="AC27" s="191"/>
      <c r="AD27" s="191"/>
      <c r="AE27" s="191"/>
      <c r="AF27" s="191"/>
      <c r="AG27" s="191"/>
      <c r="AH27" s="191"/>
      <c r="AI27" s="191"/>
      <c r="AJ27" s="213">
        <f>IFERROR(COUNTIF(E27:AI27,"=Р")+COUNTIF(E27:AI27,"=Р1")+COUNTIF(E27:AI27,"=ВЧ")+COUNTIF(E27:AI27,"=РН")+COUNTIF(E27:AI27,"=Р2")+COUNTIF(E27:AI27,"=Р1/РВ")+COUNTIF(E27:AI27,"=Р2/РВ")+COUNTIF(E27:AI27,"=ВЧ/РВ")+COUNTIF(E27:AI27,"=РН/РВ"),0)</f>
        <v>3</v>
      </c>
      <c r="AK27" s="202">
        <f>IFERROR(SUMIF(E27:AI27,"=Р2",E28:AI28)+SUMIF(E27:AI27,"=ВЧ/РВ",E28:AI28)+SUMIF(E27:AI27,"=РН/РВ",E28:AI28)+SUMIF(E27:AI27,"=Р1/РВ",E28:AI28)+SUMIF(E27:AI27,"=ВЧ2/РВ",E28:AI28)+SUMIF(E27:AI27,"=Р2/РВ",E28:AI28)+SUMIF(E27:AI27,"=Р",E28:AI28)+SUMIF(E27:AI27,"=Р1",E28:AI28)+SUMIF(E27:AI27,"=ВЧ1",E28:AI28)+SUMIF(E27:AI27,"=РН",E28:AI28)+SUMIF(E27:AI27,"=ВЧ",E28:AI28),0)</f>
        <v>23.599999999999998</v>
      </c>
      <c r="AL27" s="202">
        <f>IFERROR(SUMIF(E27:AI27,"=НУ",E28:AI28),0)</f>
        <v>0</v>
      </c>
      <c r="AM27" s="202">
        <f>IFERROR(SUMIF(E27:AI27,"=РН",E28:AI28)+SUMIF(E27:AI27,"=РН/РВ",E28:AI28)+SUMIFS(E28:AI28,E27:AI27,"=Р2",E28:AI28,"=8"),0)</f>
        <v>0</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0</v>
      </c>
      <c r="AO27" s="202">
        <f>IFERROR(SUMIF(E27:AI27,"=РВ",E28:AI28)+SUMIF(E27:AI27,"=ВЧ/РВ",E28:AI28)+SUMIF(E27:AI27,"=РН/РВ",E28:AI28)+SUMIF(E27:AI27,"=Р1/РВ",E28:AI28)+SUMIF(E27:AI27,"=ВЧ2/РВ",E28:AI28)+SUMIF(E27:AI27,"=Р2/РВ",E28:AI28),0)</f>
        <v>0</v>
      </c>
      <c r="AP27" s="202">
        <f>IFERROR(COUNTIF(E27:AI27,"=ВВ")+COUNTIF(E27:AI27,"=Р1/ВВ")+COUNTIF(E27:AI27,"=РН/ВВ")+COUNTIF(E27:AI27,"=ВЧ/ВВ"),0)</f>
        <v>4</v>
      </c>
      <c r="AQ27" s="202">
        <f>SUM(AR27:AZ27)</f>
        <v>64.400000000000006</v>
      </c>
      <c r="AR27" s="202">
        <f>IFERROR(SUMIF(E27:AI27,"=В",E28:AI28)+SUMIF(E27:AI27,"=Ч",E28:AI28)+SUMIF(E27:AI27,"=ВБ",E28:AI28),0)</f>
        <v>0</v>
      </c>
      <c r="AS27" s="202">
        <f>IFERROR(SUMIF(E27:AI27,"=Н",E28:AI28),0)</f>
        <v>0</v>
      </c>
      <c r="AT27" s="202">
        <f>IFERROR(SUMIF(E27:AI27,"=НА",E28:AI28),0)</f>
        <v>0</v>
      </c>
      <c r="AU27" s="202">
        <f>IFERROR(SUMIF(E27:AI27,"=ВП",E28:AI28),0)</f>
        <v>0</v>
      </c>
      <c r="AV27" s="202">
        <f>IFERROR(SUMIF(E27:AI27,"=ДД",E28:AI28),0)</f>
        <v>0</v>
      </c>
      <c r="AW27" s="198">
        <f>IFERROR(SUMIF(E27:AI27,"=ДО",E28:AI28),0)</f>
        <v>0</v>
      </c>
      <c r="AX27" s="202">
        <f>IFERROR(SUMIF(E27:AI27,"=ТН",E28:AI28),0)</f>
        <v>64.400000000000006</v>
      </c>
      <c r="AY27" s="202">
        <f>IFERROR(SUMIF(E27:AI27,"=ВД",E28:AI28),0)</f>
        <v>0</v>
      </c>
      <c r="AZ27" s="200">
        <f>IFERROR(SUMIF(E27:AI27,"=ІН",E28:AI28),0)+SUMIF(E27:AI27,"=НЗ",E28:AI28)</f>
        <v>0</v>
      </c>
    </row>
    <row r="28" spans="1:52" s="113" customFormat="1" ht="20.100000000000001" customHeight="1" thickBot="1" x14ac:dyDescent="0.25">
      <c r="A28" s="229"/>
      <c r="B28" s="229"/>
      <c r="C28" s="229"/>
      <c r="D28" s="231"/>
      <c r="E28" s="192"/>
      <c r="F28" s="192"/>
      <c r="G28" s="192">
        <v>8.1999999999999993</v>
      </c>
      <c r="H28" s="192">
        <v>8.1999999999999993</v>
      </c>
      <c r="I28" s="192">
        <v>8.1999999999999993</v>
      </c>
      <c r="J28" s="192">
        <v>8.1999999999999993</v>
      </c>
      <c r="K28" s="192">
        <v>7</v>
      </c>
      <c r="L28" s="192"/>
      <c r="M28" s="192"/>
      <c r="N28" s="192">
        <v>8.1999999999999993</v>
      </c>
      <c r="O28" s="192">
        <v>8.1999999999999993</v>
      </c>
      <c r="P28" s="192">
        <v>8.1999999999999993</v>
      </c>
      <c r="Q28" s="192">
        <v>8.1999999999999993</v>
      </c>
      <c r="R28" s="192">
        <v>7.2</v>
      </c>
      <c r="S28" s="192"/>
      <c r="T28" s="192"/>
      <c r="U28" s="192">
        <v>8.1999999999999993</v>
      </c>
      <c r="V28" s="192" t="s">
        <v>9</v>
      </c>
      <c r="W28" s="192" t="s">
        <v>469</v>
      </c>
      <c r="X28" s="192" t="s">
        <v>481</v>
      </c>
      <c r="Y28" s="192" t="s">
        <v>472</v>
      </c>
      <c r="Z28" s="192" t="s">
        <v>482</v>
      </c>
      <c r="AA28" s="192" t="s">
        <v>476</v>
      </c>
      <c r="AB28" s="192" t="s">
        <v>475</v>
      </c>
      <c r="AC28" s="192" t="s">
        <v>476</v>
      </c>
      <c r="AD28" s="192" t="s">
        <v>484</v>
      </c>
      <c r="AE28" s="192"/>
      <c r="AF28" s="192"/>
      <c r="AG28" s="192"/>
      <c r="AH28" s="192"/>
      <c r="AI28" s="192"/>
      <c r="AJ28" s="214"/>
      <c r="AK28" s="203"/>
      <c r="AL28" s="203"/>
      <c r="AM28" s="203"/>
      <c r="AN28" s="212"/>
      <c r="AO28" s="203"/>
      <c r="AP28" s="203"/>
      <c r="AQ28" s="203"/>
      <c r="AR28" s="203"/>
      <c r="AS28" s="203"/>
      <c r="AT28" s="203"/>
      <c r="AU28" s="203"/>
      <c r="AV28" s="203"/>
      <c r="AW28" s="199"/>
      <c r="AX28" s="203"/>
      <c r="AY28" s="203"/>
      <c r="AZ28" s="201"/>
    </row>
    <row r="29" spans="1:52" ht="20.100000000000001" customHeight="1" x14ac:dyDescent="0.2">
      <c r="A29" s="228">
        <v>0</v>
      </c>
      <c r="B29" s="228" t="s">
        <v>74</v>
      </c>
      <c r="C29" s="228">
        <v>0</v>
      </c>
      <c r="D29" s="230">
        <v>0</v>
      </c>
      <c r="E29" s="72"/>
      <c r="F29" s="72"/>
      <c r="G29" s="72"/>
      <c r="H29" s="72"/>
      <c r="I29" s="72"/>
      <c r="J29" s="72"/>
      <c r="K29" s="72"/>
      <c r="L29" s="72"/>
      <c r="M29" s="72"/>
      <c r="N29" s="72"/>
      <c r="O29" s="72"/>
      <c r="P29" s="72"/>
      <c r="Q29" s="72"/>
      <c r="R29" s="72"/>
      <c r="S29" s="72"/>
      <c r="T29" s="72"/>
      <c r="U29" s="72"/>
      <c r="V29" s="72"/>
      <c r="W29" s="72"/>
      <c r="X29" s="72"/>
      <c r="Y29" s="72"/>
      <c r="Z29" s="72"/>
      <c r="AA29" s="72"/>
      <c r="AB29" s="72"/>
      <c r="AC29" s="72"/>
      <c r="AD29" s="72"/>
      <c r="AE29" s="72"/>
      <c r="AF29" s="72"/>
      <c r="AG29" s="72"/>
      <c r="AH29" s="72"/>
      <c r="AI29" s="72"/>
      <c r="AJ29" s="217">
        <f t="shared" ref="AJ29:AZ29" si="0">SUM(AJ17:AJ28)</f>
        <v>77</v>
      </c>
      <c r="AK29" s="209">
        <f t="shared" si="0"/>
        <v>616.6</v>
      </c>
      <c r="AL29" s="209">
        <f t="shared" si="0"/>
        <v>0</v>
      </c>
      <c r="AM29" s="209">
        <f t="shared" si="0"/>
        <v>0</v>
      </c>
      <c r="AN29" s="209">
        <f t="shared" si="0"/>
        <v>0</v>
      </c>
      <c r="AO29" s="209">
        <f t="shared" si="0"/>
        <v>0</v>
      </c>
      <c r="AP29" s="209">
        <f t="shared" si="0"/>
        <v>38</v>
      </c>
      <c r="AQ29" s="209">
        <f t="shared" si="0"/>
        <v>191.60000000000002</v>
      </c>
      <c r="AR29" s="209">
        <f t="shared" si="0"/>
        <v>0</v>
      </c>
      <c r="AS29" s="209">
        <f t="shared" si="0"/>
        <v>0</v>
      </c>
      <c r="AT29" s="209">
        <f t="shared" si="0"/>
        <v>0</v>
      </c>
      <c r="AU29" s="209">
        <f t="shared" si="0"/>
        <v>0</v>
      </c>
      <c r="AV29" s="209">
        <f t="shared" si="0"/>
        <v>0</v>
      </c>
      <c r="AW29" s="207">
        <f t="shared" si="0"/>
        <v>0</v>
      </c>
      <c r="AX29" s="209">
        <f t="shared" si="0"/>
        <v>191.60000000000002</v>
      </c>
      <c r="AY29" s="209">
        <f t="shared" si="0"/>
        <v>0</v>
      </c>
      <c r="AZ29" s="215">
        <f t="shared" si="0"/>
        <v>0</v>
      </c>
    </row>
    <row r="30" spans="1:52" ht="20.100000000000001" customHeight="1" thickBot="1" x14ac:dyDescent="0.25">
      <c r="A30" s="229"/>
      <c r="B30" s="229"/>
      <c r="C30" s="229"/>
      <c r="D30" s="231"/>
      <c r="E30" s="73"/>
      <c r="F30" s="73"/>
      <c r="G30" s="73"/>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c r="AH30" s="73"/>
      <c r="AI30" s="73"/>
      <c r="AJ30" s="218"/>
      <c r="AK30" s="210"/>
      <c r="AL30" s="210"/>
      <c r="AM30" s="210"/>
      <c r="AN30" s="210"/>
      <c r="AO30" s="210"/>
      <c r="AP30" s="210"/>
      <c r="AQ30" s="210"/>
      <c r="AR30" s="210"/>
      <c r="AS30" s="210"/>
      <c r="AT30" s="210"/>
      <c r="AU30" s="210"/>
      <c r="AV30" s="210"/>
      <c r="AW30" s="208"/>
      <c r="AX30" s="210"/>
      <c r="AY30" s="210"/>
      <c r="AZ30" s="216"/>
    </row>
    <row r="31" spans="1:52" ht="14.25" customHeight="1" x14ac:dyDescent="0.2">
      <c r="C31" s="20"/>
      <c r="D31" s="8"/>
      <c r="AJ31" s="26"/>
    </row>
    <row r="32" spans="1:52" ht="12.75" customHeight="1" x14ac:dyDescent="0.2">
      <c r="A32" s="226" t="s">
        <v>32</v>
      </c>
      <c r="B32" s="226"/>
      <c r="C32" s="226"/>
      <c r="D32" s="227" t="s">
        <v>81</v>
      </c>
      <c r="E32" s="227"/>
      <c r="F32" s="227"/>
      <c r="G32" s="227"/>
      <c r="H32" s="227"/>
      <c r="I32" s="227"/>
      <c r="K32" s="224"/>
      <c r="L32" s="224"/>
      <c r="M32" s="224"/>
      <c r="O32" s="225" t="s">
        <v>278</v>
      </c>
      <c r="P32" s="225"/>
      <c r="Q32" s="225"/>
      <c r="R32" s="225"/>
      <c r="S32" s="225"/>
      <c r="T32" s="9"/>
      <c r="U32" s="221">
        <v>45747</v>
      </c>
      <c r="V32" s="221"/>
      <c r="W32" s="221"/>
      <c r="X32" s="221"/>
      <c r="Y32" s="221"/>
      <c r="Z32" s="10"/>
    </row>
    <row r="33" spans="1:49" s="13" customFormat="1" ht="12" customHeight="1" x14ac:dyDescent="0.15">
      <c r="B33" s="16"/>
      <c r="D33" s="222" t="s">
        <v>34</v>
      </c>
      <c r="E33" s="222"/>
      <c r="F33" s="222"/>
      <c r="G33" s="222"/>
      <c r="H33" s="222"/>
      <c r="I33" s="222"/>
      <c r="K33" s="222" t="s">
        <v>35</v>
      </c>
      <c r="L33" s="222"/>
      <c r="M33" s="222"/>
      <c r="O33" s="222" t="s">
        <v>36</v>
      </c>
      <c r="P33" s="222"/>
      <c r="Q33" s="222"/>
      <c r="R33" s="222"/>
      <c r="S33" s="222"/>
      <c r="V33" s="31"/>
      <c r="X33" s="17"/>
      <c r="Y33" s="17"/>
      <c r="Z33" s="17"/>
      <c r="AW33" s="137"/>
    </row>
    <row r="34" spans="1:49" ht="12.75" customHeight="1" x14ac:dyDescent="0.2">
      <c r="A34" s="32" t="s">
        <v>33</v>
      </c>
      <c r="B34" s="32"/>
      <c r="C34" s="1"/>
      <c r="D34" s="223" t="s">
        <v>277</v>
      </c>
      <c r="E34" s="223"/>
      <c r="F34" s="223"/>
      <c r="G34" s="223"/>
      <c r="H34" s="223"/>
      <c r="I34" s="223"/>
      <c r="K34" s="224"/>
      <c r="L34" s="224"/>
      <c r="M34" s="224"/>
      <c r="O34" s="225" t="s">
        <v>279</v>
      </c>
      <c r="P34" s="225"/>
      <c r="Q34" s="225"/>
      <c r="R34" s="225"/>
      <c r="S34" s="225"/>
      <c r="T34" s="9"/>
      <c r="U34" s="221">
        <f>U32</f>
        <v>45747</v>
      </c>
      <c r="V34" s="221"/>
      <c r="W34" s="221"/>
      <c r="X34" s="221"/>
      <c r="Y34" s="221"/>
    </row>
    <row r="35" spans="1:49" ht="12.75" customHeight="1" x14ac:dyDescent="0.2">
      <c r="A35" s="13"/>
      <c r="B35" s="13"/>
      <c r="D35" s="222" t="s">
        <v>34</v>
      </c>
      <c r="E35" s="222"/>
      <c r="F35" s="222"/>
      <c r="G35" s="222"/>
      <c r="H35" s="222"/>
      <c r="I35" s="222"/>
      <c r="J35" s="13"/>
      <c r="K35" s="222" t="s">
        <v>35</v>
      </c>
      <c r="L35" s="222"/>
      <c r="M35" s="222"/>
      <c r="N35" s="13"/>
      <c r="O35" s="222" t="s">
        <v>36</v>
      </c>
      <c r="P35" s="222"/>
      <c r="Q35" s="222"/>
      <c r="R35" s="222"/>
      <c r="S35" s="222"/>
      <c r="T35" s="17"/>
      <c r="U35" s="17"/>
      <c r="V35" s="13"/>
      <c r="W35" s="17"/>
      <c r="X35" s="17"/>
      <c r="Y35" s="17"/>
    </row>
    <row r="36" spans="1:49" x14ac:dyDescent="0.2">
      <c r="C36" s="33" t="s">
        <v>39</v>
      </c>
      <c r="D36" s="41"/>
      <c r="E36" s="41"/>
      <c r="F36" s="41"/>
      <c r="G36" s="41"/>
      <c r="H36" s="41"/>
      <c r="I36" s="41"/>
      <c r="J36" s="41"/>
      <c r="K36" s="41"/>
      <c r="L36" s="41"/>
      <c r="M36" s="41"/>
      <c r="N36" s="41"/>
      <c r="O36" s="41"/>
      <c r="P36" s="41"/>
      <c r="Q36" s="41"/>
    </row>
    <row r="37" spans="1:49" x14ac:dyDescent="0.2">
      <c r="C37" s="34" t="s">
        <v>4</v>
      </c>
      <c r="D37" s="35" t="s">
        <v>49</v>
      </c>
      <c r="E37" t="s">
        <v>5</v>
      </c>
      <c r="F37"/>
      <c r="G37"/>
      <c r="H37"/>
      <c r="I37"/>
      <c r="J37"/>
      <c r="K37"/>
      <c r="L37"/>
      <c r="M37"/>
      <c r="N37" s="36"/>
      <c r="O37" s="3"/>
      <c r="P37" s="37"/>
      <c r="Q37" s="37"/>
      <c r="U37" s="21" t="s">
        <v>2</v>
      </c>
      <c r="V37" s="15" t="s">
        <v>49</v>
      </c>
      <c r="W37" t="s">
        <v>61</v>
      </c>
      <c r="X37"/>
    </row>
    <row r="38" spans="1:49" x14ac:dyDescent="0.2">
      <c r="C38" s="34" t="s">
        <v>41</v>
      </c>
      <c r="D38" s="35" t="s">
        <v>49</v>
      </c>
      <c r="E38" t="s">
        <v>40</v>
      </c>
      <c r="F38"/>
      <c r="G38"/>
      <c r="H38"/>
      <c r="I38"/>
      <c r="J38"/>
      <c r="K38"/>
      <c r="L38"/>
      <c r="M38"/>
      <c r="N38" s="36"/>
      <c r="O38" s="3"/>
      <c r="P38" s="37"/>
      <c r="Q38" s="37"/>
      <c r="U38" s="21" t="s">
        <v>50</v>
      </c>
      <c r="V38" s="15" t="s">
        <v>49</v>
      </c>
      <c r="W38" t="s">
        <v>62</v>
      </c>
      <c r="X38"/>
    </row>
    <row r="39" spans="1:49" x14ac:dyDescent="0.2">
      <c r="C39" s="34" t="s">
        <v>43</v>
      </c>
      <c r="D39" s="35" t="s">
        <v>49</v>
      </c>
      <c r="E39" t="s">
        <v>42</v>
      </c>
      <c r="F39"/>
      <c r="G39"/>
      <c r="H39"/>
      <c r="I39"/>
      <c r="J39"/>
      <c r="K39"/>
      <c r="L39"/>
      <c r="M39"/>
      <c r="N39" s="36"/>
      <c r="O39" s="3"/>
      <c r="P39" s="37"/>
      <c r="Q39" s="37"/>
      <c r="U39" s="21" t="s">
        <v>51</v>
      </c>
      <c r="V39" s="15" t="s">
        <v>49</v>
      </c>
      <c r="W39" t="s">
        <v>53</v>
      </c>
      <c r="X39"/>
    </row>
    <row r="40" spans="1:49" x14ac:dyDescent="0.2">
      <c r="C40" s="34" t="s">
        <v>45</v>
      </c>
      <c r="D40" s="35" t="s">
        <v>49</v>
      </c>
      <c r="E40" t="s">
        <v>44</v>
      </c>
      <c r="F40"/>
      <c r="G40"/>
      <c r="H40"/>
      <c r="I40"/>
      <c r="J40"/>
      <c r="K40"/>
      <c r="L40"/>
      <c r="M40"/>
      <c r="N40" s="3"/>
      <c r="O40" s="3"/>
      <c r="P40" s="37"/>
      <c r="Q40" s="37"/>
      <c r="U40" s="15" t="s">
        <v>63</v>
      </c>
      <c r="V40" s="15" t="s">
        <v>49</v>
      </c>
      <c r="W40" t="s">
        <v>64</v>
      </c>
      <c r="X40"/>
    </row>
    <row r="41" spans="1:49" x14ac:dyDescent="0.2">
      <c r="C41" s="34" t="s">
        <v>47</v>
      </c>
      <c r="D41" s="35" t="s">
        <v>49</v>
      </c>
      <c r="E41" t="s">
        <v>46</v>
      </c>
      <c r="F41"/>
      <c r="G41"/>
      <c r="H41"/>
      <c r="I41"/>
      <c r="J41"/>
      <c r="K41"/>
      <c r="L41"/>
      <c r="M41"/>
      <c r="N41" s="3"/>
      <c r="O41" s="3"/>
      <c r="P41" s="37"/>
      <c r="Q41" s="37"/>
      <c r="U41" s="15" t="s">
        <v>65</v>
      </c>
      <c r="V41" s="15" t="s">
        <v>49</v>
      </c>
      <c r="W41" t="s">
        <v>66</v>
      </c>
      <c r="X41"/>
    </row>
    <row r="42" spans="1:49" x14ac:dyDescent="0.2">
      <c r="C42" s="34" t="s">
        <v>48</v>
      </c>
      <c r="D42" s="35" t="s">
        <v>49</v>
      </c>
      <c r="E42" t="s">
        <v>29</v>
      </c>
      <c r="F42"/>
      <c r="G42"/>
      <c r="H42"/>
      <c r="I42"/>
      <c r="J42"/>
      <c r="K42"/>
      <c r="L42"/>
      <c r="M42"/>
      <c r="N42" s="36"/>
      <c r="O42" s="3"/>
      <c r="P42" s="37"/>
      <c r="Q42" s="37"/>
      <c r="U42" s="21" t="s">
        <v>52</v>
      </c>
      <c r="V42" s="15" t="s">
        <v>49</v>
      </c>
      <c r="W42" t="s">
        <v>54</v>
      </c>
      <c r="X42"/>
    </row>
    <row r="43" spans="1:49" x14ac:dyDescent="0.2">
      <c r="C43" s="34" t="s">
        <v>3</v>
      </c>
      <c r="D43" s="35" t="s">
        <v>49</v>
      </c>
      <c r="E43" t="s">
        <v>67</v>
      </c>
      <c r="F43"/>
      <c r="G43"/>
      <c r="H43"/>
      <c r="I43"/>
      <c r="J43"/>
      <c r="K43"/>
      <c r="L43"/>
      <c r="M43"/>
      <c r="N43" s="36"/>
      <c r="O43" s="3"/>
      <c r="P43" s="37"/>
      <c r="Q43" s="37"/>
      <c r="U43" s="21" t="s">
        <v>68</v>
      </c>
      <c r="V43" s="15" t="s">
        <v>49</v>
      </c>
      <c r="W43" t="s">
        <v>31</v>
      </c>
      <c r="X43"/>
    </row>
    <row r="44" spans="1:49" ht="12.75" customHeight="1" x14ac:dyDescent="0.2">
      <c r="C44" s="34" t="s">
        <v>73</v>
      </c>
      <c r="D44" s="35" t="s">
        <v>49</v>
      </c>
      <c r="E44" s="219" t="s">
        <v>75</v>
      </c>
      <c r="F44" s="220"/>
      <c r="G44" s="220"/>
      <c r="H44" s="220"/>
      <c r="I44" s="220"/>
      <c r="J44" s="220"/>
      <c r="K44" s="220"/>
      <c r="L44" s="220"/>
      <c r="M44" s="220"/>
      <c r="N44" s="220"/>
      <c r="O44" s="220"/>
      <c r="P44" s="220"/>
      <c r="Q44" s="220"/>
      <c r="U44" s="21" t="s">
        <v>76</v>
      </c>
      <c r="V44" s="15" t="s">
        <v>49</v>
      </c>
      <c r="W44" t="s">
        <v>77</v>
      </c>
    </row>
    <row r="45" spans="1:49" x14ac:dyDescent="0.2">
      <c r="C45" s="34" t="s">
        <v>142</v>
      </c>
      <c r="D45" s="35" t="s">
        <v>49</v>
      </c>
      <c r="E45" s="219" t="s">
        <v>143</v>
      </c>
      <c r="F45" s="220"/>
      <c r="G45" s="220"/>
      <c r="H45" s="220"/>
      <c r="I45" s="220"/>
      <c r="J45" s="220"/>
      <c r="K45" s="220"/>
      <c r="L45" s="220"/>
      <c r="M45" s="220"/>
      <c r="N45" s="220"/>
      <c r="O45" s="220"/>
      <c r="P45" s="220"/>
      <c r="Q45" s="220"/>
    </row>
  </sheetData>
  <sheetProtection insertColumns="0" insertRows="0" deleteColumns="0" deleteRows="0" autoFilter="0"/>
  <mergeCells count="234">
    <mergeCell ref="A2:N2"/>
    <mergeCell ref="W2:AB2"/>
    <mergeCell ref="W3:Y3"/>
    <mergeCell ref="Z3:AB3"/>
    <mergeCell ref="W4:Y4"/>
    <mergeCell ref="Z4:AB4"/>
    <mergeCell ref="A12:A15"/>
    <mergeCell ref="B12:B15"/>
    <mergeCell ref="C12:C15"/>
    <mergeCell ref="D12:D15"/>
    <mergeCell ref="E12:AI12"/>
    <mergeCell ref="L13:L15"/>
    <mergeCell ref="M13:M15"/>
    <mergeCell ref="N13:N15"/>
    <mergeCell ref="A5:N5"/>
    <mergeCell ref="A6:N6"/>
    <mergeCell ref="Z6:AB7"/>
    <mergeCell ref="A8:B8"/>
    <mergeCell ref="C8:F8"/>
    <mergeCell ref="W8:Y8"/>
    <mergeCell ref="Z8:AB8"/>
    <mergeCell ref="E13:E15"/>
    <mergeCell ref="F13:F15"/>
    <mergeCell ref="H9:S9"/>
    <mergeCell ref="W6:Y7"/>
    <mergeCell ref="AE13:AE15"/>
    <mergeCell ref="AF13:AF15"/>
    <mergeCell ref="U13:U15"/>
    <mergeCell ref="V13:V15"/>
    <mergeCell ref="W13:W15"/>
    <mergeCell ref="X13:X15"/>
    <mergeCell ref="Y13:Y15"/>
    <mergeCell ref="Z13:Z15"/>
    <mergeCell ref="D10:P10"/>
    <mergeCell ref="O13:O15"/>
    <mergeCell ref="P13:P15"/>
    <mergeCell ref="Q13:Q15"/>
    <mergeCell ref="R13:R15"/>
    <mergeCell ref="AV13:AV15"/>
    <mergeCell ref="AG13:AG15"/>
    <mergeCell ref="AH13:AH15"/>
    <mergeCell ref="AI13:AI15"/>
    <mergeCell ref="AJ13:AJ15"/>
    <mergeCell ref="AK13:AO13"/>
    <mergeCell ref="AR13:AR15"/>
    <mergeCell ref="AA13:AA15"/>
    <mergeCell ref="AB13:AB15"/>
    <mergeCell ref="AQ12:AQ15"/>
    <mergeCell ref="AC13:AC15"/>
    <mergeCell ref="AD13:AD15"/>
    <mergeCell ref="AL14:AO14"/>
    <mergeCell ref="AP12:AP15"/>
    <mergeCell ref="AJ12:AO12"/>
    <mergeCell ref="AK14:AK15"/>
    <mergeCell ref="B17:B18"/>
    <mergeCell ref="C17:C18"/>
    <mergeCell ref="D17:D18"/>
    <mergeCell ref="E16:AI16"/>
    <mergeCell ref="AK16:AO16"/>
    <mergeCell ref="A17:A18"/>
    <mergeCell ref="AS13:AS15"/>
    <mergeCell ref="AT13:AT15"/>
    <mergeCell ref="AU13:AU15"/>
    <mergeCell ref="T13:T15"/>
    <mergeCell ref="G13:G15"/>
    <mergeCell ref="H13:H15"/>
    <mergeCell ref="I13:I15"/>
    <mergeCell ref="J13:J15"/>
    <mergeCell ref="K13:K15"/>
    <mergeCell ref="S13:S15"/>
    <mergeCell ref="A23:A24"/>
    <mergeCell ref="B23:B24"/>
    <mergeCell ref="C23:C24"/>
    <mergeCell ref="D23:D24"/>
    <mergeCell ref="A27:A28"/>
    <mergeCell ref="B27:B28"/>
    <mergeCell ref="C27:C28"/>
    <mergeCell ref="D27:D28"/>
    <mergeCell ref="A19:A20"/>
    <mergeCell ref="B19:B20"/>
    <mergeCell ref="C19:C20"/>
    <mergeCell ref="D19:D20"/>
    <mergeCell ref="A25:A26"/>
    <mergeCell ref="B25:B26"/>
    <mergeCell ref="C25:C26"/>
    <mergeCell ref="D25:D26"/>
    <mergeCell ref="A21:A22"/>
    <mergeCell ref="B21:B22"/>
    <mergeCell ref="C21:C22"/>
    <mergeCell ref="D21:D22"/>
    <mergeCell ref="A32:C32"/>
    <mergeCell ref="D32:I32"/>
    <mergeCell ref="K32:M32"/>
    <mergeCell ref="O32:S32"/>
    <mergeCell ref="U32:Y32"/>
    <mergeCell ref="A29:A30"/>
    <mergeCell ref="B29:B30"/>
    <mergeCell ref="C29:C30"/>
    <mergeCell ref="D29:D30"/>
    <mergeCell ref="AO29:AO30"/>
    <mergeCell ref="AP29:AP30"/>
    <mergeCell ref="AQ29:AQ30"/>
    <mergeCell ref="AR29:AR30"/>
    <mergeCell ref="E45:Q45"/>
    <mergeCell ref="U34:Y34"/>
    <mergeCell ref="D35:I35"/>
    <mergeCell ref="K35:M35"/>
    <mergeCell ref="O35:S35"/>
    <mergeCell ref="E44:Q44"/>
    <mergeCell ref="D34:I34"/>
    <mergeCell ref="K34:M34"/>
    <mergeCell ref="O34:S34"/>
    <mergeCell ref="D33:I33"/>
    <mergeCell ref="K33:M33"/>
    <mergeCell ref="O33:S33"/>
    <mergeCell ref="AY29:AY30"/>
    <mergeCell ref="AZ29:AZ30"/>
    <mergeCell ref="AJ17:AJ18"/>
    <mergeCell ref="AK17:AK18"/>
    <mergeCell ref="AL17:AL18"/>
    <mergeCell ref="AM17:AM18"/>
    <mergeCell ref="AN17:AN18"/>
    <mergeCell ref="AO17:AO18"/>
    <mergeCell ref="AP17:AP18"/>
    <mergeCell ref="AQ17:AQ18"/>
    <mergeCell ref="AR17:AR18"/>
    <mergeCell ref="AS17:AS18"/>
    <mergeCell ref="AT17:AT18"/>
    <mergeCell ref="AU17:AU18"/>
    <mergeCell ref="AV17:AV18"/>
    <mergeCell ref="AX17:AX18"/>
    <mergeCell ref="AY17:AY18"/>
    <mergeCell ref="AZ17:AZ18"/>
    <mergeCell ref="AJ23:AJ24"/>
    <mergeCell ref="AJ29:AJ30"/>
    <mergeCell ref="AK29:AK30"/>
    <mergeCell ref="AL29:AL30"/>
    <mergeCell ref="AM29:AM30"/>
    <mergeCell ref="AN29:AN30"/>
    <mergeCell ref="AK23:AK24"/>
    <mergeCell ref="AJ27:AJ28"/>
    <mergeCell ref="AK27:AK28"/>
    <mergeCell ref="AJ19:AJ20"/>
    <mergeCell ref="AK19:AK20"/>
    <mergeCell ref="AM23:AM24"/>
    <mergeCell ref="AL23:AL24"/>
    <mergeCell ref="AL27:AL28"/>
    <mergeCell ref="AM27:AM28"/>
    <mergeCell ref="AL19:AL20"/>
    <mergeCell ref="AM19:AM20"/>
    <mergeCell ref="AJ25:AJ26"/>
    <mergeCell ref="AK25:AK26"/>
    <mergeCell ref="AL25:AL26"/>
    <mergeCell ref="AM25:AM26"/>
    <mergeCell ref="AJ21:AJ22"/>
    <mergeCell ref="AK21:AK22"/>
    <mergeCell ref="AL21:AL22"/>
    <mergeCell ref="AM21:AM22"/>
    <mergeCell ref="AO23:AO24"/>
    <mergeCell ref="AN23:AN24"/>
    <mergeCell ref="AN27:AN28"/>
    <mergeCell ref="AO27:AO28"/>
    <mergeCell ref="AN19:AN20"/>
    <mergeCell ref="AO19:AO20"/>
    <mergeCell ref="AQ23:AQ24"/>
    <mergeCell ref="AQ27:AQ28"/>
    <mergeCell ref="AP23:AP24"/>
    <mergeCell ref="AP27:AP28"/>
    <mergeCell ref="AP19:AP20"/>
    <mergeCell ref="AQ19:AQ20"/>
    <mergeCell ref="AN25:AN26"/>
    <mergeCell ref="AO25:AO26"/>
    <mergeCell ref="AP25:AP26"/>
    <mergeCell ref="AQ25:AQ26"/>
    <mergeCell ref="AN21:AN22"/>
    <mergeCell ref="AO21:AO22"/>
    <mergeCell ref="AP21:AP22"/>
    <mergeCell ref="AQ21:AQ22"/>
    <mergeCell ref="AR23:AR24"/>
    <mergeCell ref="AR27:AR28"/>
    <mergeCell ref="AR19:AR20"/>
    <mergeCell ref="AS19:AS20"/>
    <mergeCell ref="AU23:AU24"/>
    <mergeCell ref="AU27:AU28"/>
    <mergeCell ref="AT23:AT24"/>
    <mergeCell ref="AT27:AT28"/>
    <mergeCell ref="AT19:AT20"/>
    <mergeCell ref="AU19:AU20"/>
    <mergeCell ref="AR25:AR26"/>
    <mergeCell ref="AS25:AS26"/>
    <mergeCell ref="AT25:AT26"/>
    <mergeCell ref="AU25:AU26"/>
    <mergeCell ref="AR21:AR22"/>
    <mergeCell ref="AS21:AS22"/>
    <mergeCell ref="AT21:AT22"/>
    <mergeCell ref="AU21:AU22"/>
    <mergeCell ref="AW29:AW30"/>
    <mergeCell ref="AX23:AX24"/>
    <mergeCell ref="AX27:AX28"/>
    <mergeCell ref="AV23:AV24"/>
    <mergeCell ref="AV27:AV28"/>
    <mergeCell ref="AV19:AV20"/>
    <mergeCell ref="AX19:AX20"/>
    <mergeCell ref="AW27:AW28"/>
    <mergeCell ref="AS23:AS24"/>
    <mergeCell ref="AS27:AS28"/>
    <mergeCell ref="AS29:AS30"/>
    <mergeCell ref="AT29:AT30"/>
    <mergeCell ref="AU29:AU30"/>
    <mergeCell ref="AV29:AV30"/>
    <mergeCell ref="AX29:AX30"/>
    <mergeCell ref="AV25:AV26"/>
    <mergeCell ref="AW25:AW26"/>
    <mergeCell ref="AX25:AX26"/>
    <mergeCell ref="AV21:AV22"/>
    <mergeCell ref="AW21:AW22"/>
    <mergeCell ref="AX21:AX22"/>
    <mergeCell ref="AW13:AW15"/>
    <mergeCell ref="AW17:AW18"/>
    <mergeCell ref="AW19:AW20"/>
    <mergeCell ref="AW23:AW24"/>
    <mergeCell ref="AZ23:AZ24"/>
    <mergeCell ref="AZ27:AZ28"/>
    <mergeCell ref="AY23:AY24"/>
    <mergeCell ref="AY27:AY28"/>
    <mergeCell ref="AY19:AY20"/>
    <mergeCell ref="AZ19:AZ20"/>
    <mergeCell ref="AZ13:AZ15"/>
    <mergeCell ref="AX13:AX15"/>
    <mergeCell ref="AY13:AY15"/>
    <mergeCell ref="AY25:AY26"/>
    <mergeCell ref="AZ25:AZ26"/>
    <mergeCell ref="AY21:AY22"/>
    <mergeCell ref="AZ21:AZ22"/>
  </mergeCells>
  <conditionalFormatting sqref="E17">
    <cfRule type="expression" dxfId="1482" priority="73" stopIfTrue="1">
      <formula>(E17="Р")</formula>
    </cfRule>
    <cfRule type="expression" dxfId="1481" priority="74" stopIfTrue="1">
      <formula>(E17="ВЧ")</formula>
    </cfRule>
    <cfRule type="expression" dxfId="1480" priority="75" stopIfTrue="1">
      <formula>(E17="ВЧ1")</formula>
    </cfRule>
    <cfRule type="expression" dxfId="1479" priority="76" stopIfTrue="1">
      <formula>(E17="ВЧ2")</formula>
    </cfRule>
    <cfRule type="expression" dxfId="1478" priority="77" stopIfTrue="1">
      <formula>(E17="РН")</formula>
    </cfRule>
    <cfRule type="expression" dxfId="1477" priority="78" stopIfTrue="1">
      <formula>(E17="НУ")</formula>
    </cfRule>
    <cfRule type="expression" dxfId="1476" priority="79" stopIfTrue="1">
      <formula>(E17="Р1")</formula>
    </cfRule>
    <cfRule type="expression" dxfId="1475" priority="80" stopIfTrue="1">
      <formula>(E17="Р2")</formula>
    </cfRule>
    <cfRule type="expression" dxfId="1474" priority="81" stopIfTrue="1">
      <formula>(E17="Р1/РВ")</formula>
    </cfRule>
    <cfRule type="expression" dxfId="1473" priority="82" stopIfTrue="1">
      <formula>(E17="Р2/РВ")</formula>
    </cfRule>
    <cfRule type="expression" dxfId="1472" priority="83" stopIfTrue="1">
      <formula>(E17="ВЧ/РВ")</formula>
    </cfRule>
    <cfRule type="expression" priority="84" stopIfTrue="1">
      <formula>(E17="РН/РВ")</formula>
    </cfRule>
  </conditionalFormatting>
  <conditionalFormatting sqref="F17:AI17">
    <cfRule type="expression" dxfId="1471" priority="61" stopIfTrue="1">
      <formula>(F17="Р")</formula>
    </cfRule>
    <cfRule type="expression" dxfId="1470" priority="62" stopIfTrue="1">
      <formula>(F17="ВЧ")</formula>
    </cfRule>
    <cfRule type="expression" dxfId="1469" priority="63" stopIfTrue="1">
      <formula>(F17="ВЧ1")</formula>
    </cfRule>
    <cfRule type="expression" dxfId="1468" priority="64" stopIfTrue="1">
      <formula>(F17="ВЧ2")</formula>
    </cfRule>
    <cfRule type="expression" dxfId="1467" priority="65" stopIfTrue="1">
      <formula>(F17="РН")</formula>
    </cfRule>
    <cfRule type="expression" dxfId="1466" priority="66" stopIfTrue="1">
      <formula>(F17="НУ")</formula>
    </cfRule>
    <cfRule type="expression" dxfId="1465" priority="67" stopIfTrue="1">
      <formula>(F17="Р1")</formula>
    </cfRule>
    <cfRule type="expression" dxfId="1464" priority="68" stopIfTrue="1">
      <formula>(F17="Р2")</formula>
    </cfRule>
    <cfRule type="expression" dxfId="1463" priority="69" stopIfTrue="1">
      <formula>(F17="Р1/РВ")</formula>
    </cfRule>
    <cfRule type="expression" dxfId="1462" priority="70" stopIfTrue="1">
      <formula>(F17="Р2/РВ")</formula>
    </cfRule>
    <cfRule type="expression" dxfId="1461" priority="71" stopIfTrue="1">
      <formula>(F17="ВЧ/РВ")</formula>
    </cfRule>
    <cfRule type="expression" priority="72" stopIfTrue="1">
      <formula>(F17="РН/РВ")</formula>
    </cfRule>
  </conditionalFormatting>
  <conditionalFormatting sqref="E18">
    <cfRule type="expression" dxfId="1460" priority="85" stopIfTrue="1">
      <formula>(E17="ВД")</formula>
    </cfRule>
    <cfRule type="expression" dxfId="1459" priority="86" stopIfTrue="1">
      <formula>(E17="В")</formula>
    </cfRule>
    <cfRule type="expression" dxfId="1458" priority="87" stopIfTrue="1">
      <formula>(E17="ВП")</formula>
    </cfRule>
    <cfRule type="expression" dxfId="1457" priority="88" stopIfTrue="1">
      <formula>(E17="ДД")</formula>
    </cfRule>
    <cfRule type="expression" dxfId="1456" priority="89" stopIfTrue="1">
      <formula>(E17="НА")</formula>
    </cfRule>
    <cfRule type="expression" dxfId="1455" priority="90" stopIfTrue="1">
      <formula>(E17="Ч")</formula>
    </cfRule>
    <cfRule type="expression" dxfId="1454" priority="91" stopIfTrue="1">
      <formula>(E17="Н")</formula>
    </cfRule>
    <cfRule type="expression" dxfId="1453" priority="92" stopIfTrue="1">
      <formula>(E17="ТН")</formula>
    </cfRule>
    <cfRule type="expression" dxfId="1452" priority="93" stopIfTrue="1">
      <formula>(E17="ДО")</formula>
    </cfRule>
    <cfRule type="expression" dxfId="1451" priority="94" stopIfTrue="1">
      <formula>(E17="ІН")</formula>
    </cfRule>
    <cfRule type="expression" dxfId="1450" priority="95" stopIfTrue="1">
      <formula>(E17="РВ")</formula>
    </cfRule>
    <cfRule type="expression" dxfId="1449" priority="96" stopIfTrue="1">
      <formula>(E17="ВБ")</formula>
    </cfRule>
  </conditionalFormatting>
  <conditionalFormatting sqref="F18:AI18">
    <cfRule type="expression" dxfId="1448" priority="49" stopIfTrue="1">
      <formula>(F17="ВД")</formula>
    </cfRule>
    <cfRule type="expression" dxfId="1447" priority="50" stopIfTrue="1">
      <formula>(F17="В")</formula>
    </cfRule>
    <cfRule type="expression" dxfId="1446" priority="51" stopIfTrue="1">
      <formula>(F17="ВП")</formula>
    </cfRule>
    <cfRule type="expression" dxfId="1445" priority="52" stopIfTrue="1">
      <formula>(F17="ДД")</formula>
    </cfRule>
    <cfRule type="expression" dxfId="1444" priority="53" stopIfTrue="1">
      <formula>(F17="НА")</formula>
    </cfRule>
    <cfRule type="expression" dxfId="1443" priority="54" stopIfTrue="1">
      <formula>(F17="Ч")</formula>
    </cfRule>
    <cfRule type="expression" dxfId="1442" priority="55" stopIfTrue="1">
      <formula>(F17="Н")</formula>
    </cfRule>
    <cfRule type="expression" dxfId="1441" priority="56" stopIfTrue="1">
      <formula>(F17="ТН")</formula>
    </cfRule>
    <cfRule type="expression" dxfId="1440" priority="57" stopIfTrue="1">
      <formula>(F17="ДО")</formula>
    </cfRule>
    <cfRule type="expression" dxfId="1439" priority="58" stopIfTrue="1">
      <formula>(F17="ІН")</formula>
    </cfRule>
    <cfRule type="expression" dxfId="1438" priority="59" stopIfTrue="1">
      <formula>(F17="РВ")</formula>
    </cfRule>
    <cfRule type="expression" dxfId="1437" priority="60" stopIfTrue="1">
      <formula>(F17="ВБ")</formula>
    </cfRule>
  </conditionalFormatting>
  <conditionalFormatting sqref="E19 E21 E23 E25 E27">
    <cfRule type="expression" dxfId="1436" priority="25" stopIfTrue="1">
      <formula>(E19="Р")</formula>
    </cfRule>
    <cfRule type="expression" dxfId="1435" priority="26" stopIfTrue="1">
      <formula>(E19="ВЧ")</formula>
    </cfRule>
    <cfRule type="expression" dxfId="1434" priority="27" stopIfTrue="1">
      <formula>(E19="ВЧ1")</formula>
    </cfRule>
    <cfRule type="expression" dxfId="1433" priority="28" stopIfTrue="1">
      <formula>(E19="ВЧ2")</formula>
    </cfRule>
    <cfRule type="expression" dxfId="1432" priority="29" stopIfTrue="1">
      <formula>(E19="РН")</formula>
    </cfRule>
    <cfRule type="expression" dxfId="1431" priority="30" stopIfTrue="1">
      <formula>(E19="НУ")</formula>
    </cfRule>
    <cfRule type="expression" dxfId="1430" priority="31" stopIfTrue="1">
      <formula>(E19="Р1")</formula>
    </cfRule>
    <cfRule type="expression" dxfId="1429" priority="32" stopIfTrue="1">
      <formula>(E19="Р2")</formula>
    </cfRule>
    <cfRule type="expression" dxfId="1428" priority="33" stopIfTrue="1">
      <formula>(E19="Р1/РВ")</formula>
    </cfRule>
    <cfRule type="expression" dxfId="1427" priority="34" stopIfTrue="1">
      <formula>(E19="Р2/РВ")</formula>
    </cfRule>
    <cfRule type="expression" dxfId="1426" priority="35" stopIfTrue="1">
      <formula>(E19="ВЧ/РВ")</formula>
    </cfRule>
    <cfRule type="expression" priority="36" stopIfTrue="1">
      <formula>(E19="РН/РВ")</formula>
    </cfRule>
  </conditionalFormatting>
  <conditionalFormatting sqref="F19:AI19 F21:AI21 F23:AI23 F25:AI25 F27:AI27">
    <cfRule type="expression" dxfId="1425" priority="13" stopIfTrue="1">
      <formula>(F19="Р")</formula>
    </cfRule>
    <cfRule type="expression" dxfId="1424" priority="14" stopIfTrue="1">
      <formula>(F19="ВЧ")</formula>
    </cfRule>
    <cfRule type="expression" dxfId="1423" priority="15" stopIfTrue="1">
      <formula>(F19="ВЧ1")</formula>
    </cfRule>
    <cfRule type="expression" dxfId="1422" priority="16" stopIfTrue="1">
      <formula>(F19="ВЧ2")</formula>
    </cfRule>
    <cfRule type="expression" dxfId="1421" priority="17" stopIfTrue="1">
      <formula>(F19="РН")</formula>
    </cfRule>
    <cfRule type="expression" dxfId="1420" priority="18" stopIfTrue="1">
      <formula>(F19="НУ")</formula>
    </cfRule>
    <cfRule type="expression" dxfId="1419" priority="19" stopIfTrue="1">
      <formula>(F19="Р1")</formula>
    </cfRule>
    <cfRule type="expression" dxfId="1418" priority="20" stopIfTrue="1">
      <formula>(F19="Р2")</formula>
    </cfRule>
    <cfRule type="expression" dxfId="1417" priority="21" stopIfTrue="1">
      <formula>(F19="Р1/РВ")</formula>
    </cfRule>
    <cfRule type="expression" dxfId="1416" priority="22" stopIfTrue="1">
      <formula>(F19="Р2/РВ")</formula>
    </cfRule>
    <cfRule type="expression" dxfId="1415" priority="23" stopIfTrue="1">
      <formula>(F19="ВЧ/РВ")</formula>
    </cfRule>
    <cfRule type="expression" priority="24" stopIfTrue="1">
      <formula>(F19="РН/РВ")</formula>
    </cfRule>
  </conditionalFormatting>
  <conditionalFormatting sqref="E20 E22 E24 E26 E28">
    <cfRule type="expression" dxfId="1414" priority="37" stopIfTrue="1">
      <formula>(E19="ВД")</formula>
    </cfRule>
    <cfRule type="expression" dxfId="1413" priority="38" stopIfTrue="1">
      <formula>(E19="В")</formula>
    </cfRule>
    <cfRule type="expression" dxfId="1412" priority="39" stopIfTrue="1">
      <formula>(E19="ВП")</formula>
    </cfRule>
    <cfRule type="expression" dxfId="1411" priority="40" stopIfTrue="1">
      <formula>(E19="ДД")</formula>
    </cfRule>
    <cfRule type="expression" dxfId="1410" priority="41" stopIfTrue="1">
      <formula>(E19="НА")</formula>
    </cfRule>
    <cfRule type="expression" dxfId="1409" priority="42" stopIfTrue="1">
      <formula>(E19="Ч")</formula>
    </cfRule>
    <cfRule type="expression" dxfId="1408" priority="43" stopIfTrue="1">
      <formula>(E19="Н")</formula>
    </cfRule>
    <cfRule type="expression" dxfId="1407" priority="44" stopIfTrue="1">
      <formula>(E19="ТН")</formula>
    </cfRule>
    <cfRule type="expression" dxfId="1406" priority="45" stopIfTrue="1">
      <formula>(E19="ДО")</formula>
    </cfRule>
    <cfRule type="expression" dxfId="1405" priority="46" stopIfTrue="1">
      <formula>(E19="ІН")</formula>
    </cfRule>
    <cfRule type="expression" dxfId="1404" priority="47" stopIfTrue="1">
      <formula>(E19="РВ")</formula>
    </cfRule>
    <cfRule type="expression" dxfId="1403" priority="48" stopIfTrue="1">
      <formula>(E19="ВБ")</formula>
    </cfRule>
  </conditionalFormatting>
  <conditionalFormatting sqref="F20:AI20 F22:AI22 F24:AI24 F26:AI26 F28:AI28">
    <cfRule type="expression" dxfId="1402" priority="1" stopIfTrue="1">
      <formula>(F19="ВД")</formula>
    </cfRule>
    <cfRule type="expression" dxfId="1401" priority="2" stopIfTrue="1">
      <formula>(F19="В")</formula>
    </cfRule>
    <cfRule type="expression" dxfId="1400" priority="3" stopIfTrue="1">
      <formula>(F19="ВП")</formula>
    </cfRule>
    <cfRule type="expression" dxfId="1399" priority="4" stopIfTrue="1">
      <formula>(F19="ДД")</formula>
    </cfRule>
    <cfRule type="expression" dxfId="1398" priority="5" stopIfTrue="1">
      <formula>(F19="НА")</formula>
    </cfRule>
    <cfRule type="expression" dxfId="1397" priority="6" stopIfTrue="1">
      <formula>(F19="Ч")</formula>
    </cfRule>
    <cfRule type="expression" dxfId="1396" priority="7" stopIfTrue="1">
      <formula>(F19="Н")</formula>
    </cfRule>
    <cfRule type="expression" dxfId="1395" priority="8" stopIfTrue="1">
      <formula>(F19="ТН")</formula>
    </cfRule>
    <cfRule type="expression" dxfId="1394" priority="9" stopIfTrue="1">
      <formula>(F19="ДО")</formula>
    </cfRule>
    <cfRule type="expression" dxfId="1393" priority="10" stopIfTrue="1">
      <formula>(F19="ІН")</formula>
    </cfRule>
    <cfRule type="expression" dxfId="1392" priority="11" stopIfTrue="1">
      <formula>(F19="РВ")</formula>
    </cfRule>
    <cfRule type="expression" dxfId="1391" priority="12" stopIfTrue="1">
      <formula>(F19="ВБ")</formula>
    </cfRule>
  </conditionalFormatting>
  <printOptions horizontalCentered="1"/>
  <pageMargins left="0.39370078740157483" right="0.39370078740157483" top="0.39370078740157483" bottom="0.39370078740157483" header="0" footer="0"/>
  <pageSetup paperSize="8" scale="84" fitToHeight="999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Макрос1">
                <anchor moveWithCells="1" sizeWithCells="1">
                  <from>
                    <xdr:col>13</xdr:col>
                    <xdr:colOff>104775</xdr:colOff>
                    <xdr:row>1</xdr:row>
                    <xdr:rowOff>0</xdr:rowOff>
                  </from>
                  <to>
                    <xdr:col>17</xdr:col>
                    <xdr:colOff>171450</xdr:colOff>
                    <xdr:row>2</xdr:row>
                    <xdr:rowOff>38100</xdr:rowOff>
                  </to>
                </anchor>
              </controlPr>
            </control>
          </mc:Choice>
        </mc:AlternateContent>
        <mc:AlternateContent xmlns:mc="http://schemas.openxmlformats.org/markup-compatibility/2006">
          <mc:Choice Requires="x14">
            <control shapeId="24578" r:id="rId5" name="Button 2">
              <controlPr defaultSize="0" print="0" autoFill="0" autoPict="0" macro="[0]!Макрос2">
                <anchor moveWithCells="1" sizeWithCells="1">
                  <from>
                    <xdr:col>13</xdr:col>
                    <xdr:colOff>104775</xdr:colOff>
                    <xdr:row>3</xdr:row>
                    <xdr:rowOff>0</xdr:rowOff>
                  </from>
                  <to>
                    <xdr:col>17</xdr:col>
                    <xdr:colOff>180975</xdr:colOff>
                    <xdr:row>4</xdr:row>
                    <xdr:rowOff>9525</xdr:rowOff>
                  </to>
                </anchor>
              </controlPr>
            </control>
          </mc:Choice>
        </mc:AlternateContent>
        <mc:AlternateContent xmlns:mc="http://schemas.openxmlformats.org/markup-compatibility/2006">
          <mc:Choice Requires="x14">
            <control shapeId="24579" r:id="rId6" name="Button 3">
              <controlPr defaultSize="0" print="0" autoFill="0" autoPict="0" macro="[0]!Макрос3">
                <anchor moveWithCells="1" sizeWithCells="1">
                  <from>
                    <xdr:col>12</xdr:col>
                    <xdr:colOff>19050</xdr:colOff>
                    <xdr:row>4</xdr:row>
                    <xdr:rowOff>142875</xdr:rowOff>
                  </from>
                  <to>
                    <xdr:col>17</xdr:col>
                    <xdr:colOff>190500</xdr:colOff>
                    <xdr:row>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
    <pageSetUpPr fitToPage="1"/>
  </sheetPr>
  <dimension ref="A2:BA55"/>
  <sheetViews>
    <sheetView showZeros="0" topLeftCell="D1" zoomScale="90" zoomScaleNormal="90" zoomScaleSheetLayoutView="80" workbookViewId="0">
      <pane ySplit="15" topLeftCell="A35" activePane="bottomLeft" state="frozen"/>
      <selection pane="bottomLeft" activeCell="AX39" sqref="AX39:AX40"/>
    </sheetView>
  </sheetViews>
  <sheetFormatPr defaultColWidth="9.140625" defaultRowHeight="12.75" outlineLevelCol="1" x14ac:dyDescent="0.2"/>
  <cols>
    <col min="1" max="1" width="5.28515625" style="1" customWidth="1"/>
    <col min="2" max="2" width="25.85546875" style="1" customWidth="1"/>
    <col min="3" max="3" width="5.85546875" style="13" customWidth="1"/>
    <col min="4" max="4" width="3.7109375" style="1" customWidth="1"/>
    <col min="5" max="5" width="4.28515625" style="1" customWidth="1" outlineLevel="1"/>
    <col min="6" max="18" width="3.7109375" style="1" customWidth="1" outlineLevel="1"/>
    <col min="19" max="19" width="5.28515625" style="1" customWidth="1" outlineLevel="1"/>
    <col min="20" max="25" width="3.7109375" style="1" customWidth="1"/>
    <col min="26" max="26" width="4.42578125" style="1" customWidth="1"/>
    <col min="27" max="35" width="3.7109375" style="1" customWidth="1"/>
    <col min="36" max="36" width="4.7109375" style="1" customWidth="1"/>
    <col min="37" max="37" width="5.42578125" style="1" customWidth="1"/>
    <col min="38" max="48" width="4.7109375" style="1" customWidth="1"/>
    <col min="49" max="49" width="4.7109375" style="131" customWidth="1"/>
    <col min="50" max="52" width="4.7109375" style="1" customWidth="1"/>
    <col min="53" max="16384" width="9.140625" style="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78</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79</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2"/>
      <c r="U9" s="42"/>
      <c r="V9" s="42"/>
      <c r="W9" s="42"/>
      <c r="X9" s="42"/>
      <c r="Y9" s="42"/>
      <c r="Z9" s="42"/>
      <c r="AA9" s="42"/>
      <c r="AB9" s="42"/>
      <c r="AC9" s="42"/>
      <c r="AD9" s="42"/>
      <c r="AE9" s="42"/>
      <c r="AF9" s="42"/>
      <c r="AG9" s="42"/>
      <c r="AH9" s="42"/>
      <c r="AI9" s="42"/>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67">
        <v>1</v>
      </c>
      <c r="B16" s="66">
        <v>2</v>
      </c>
      <c r="C16" s="71">
        <v>3</v>
      </c>
      <c r="D16" s="71" t="s">
        <v>27</v>
      </c>
      <c r="E16" s="233">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4"/>
      <c r="AJ16" s="43">
        <v>6</v>
      </c>
      <c r="AK16" s="233">
        <v>7</v>
      </c>
      <c r="AL16" s="232"/>
      <c r="AM16" s="232"/>
      <c r="AN16" s="232"/>
      <c r="AO16" s="234"/>
      <c r="AP16" s="43">
        <v>8</v>
      </c>
      <c r="AQ16" s="27">
        <v>9</v>
      </c>
      <c r="AR16" s="28"/>
      <c r="AS16" s="28"/>
      <c r="AT16" s="28"/>
      <c r="AU16" s="28"/>
      <c r="AV16" s="28"/>
      <c r="AW16" s="28"/>
      <c r="AX16" s="28"/>
      <c r="AY16" s="29"/>
      <c r="AZ16" s="30"/>
    </row>
    <row r="17" spans="1:53" ht="20.100000000000001" customHeight="1" x14ac:dyDescent="0.2">
      <c r="A17" s="279">
        <v>1</v>
      </c>
      <c r="B17" s="228" t="s">
        <v>162</v>
      </c>
      <c r="C17" s="279">
        <v>202</v>
      </c>
      <c r="D17" s="279" t="s">
        <v>72</v>
      </c>
      <c r="E17" s="185" t="s">
        <v>142</v>
      </c>
      <c r="F17" s="191" t="s">
        <v>142</v>
      </c>
      <c r="G17" s="191" t="s">
        <v>4</v>
      </c>
      <c r="H17" s="191" t="s">
        <v>4</v>
      </c>
      <c r="I17" s="191" t="s">
        <v>4</v>
      </c>
      <c r="J17" s="191" t="s">
        <v>4</v>
      </c>
      <c r="K17" s="191" t="s">
        <v>4</v>
      </c>
      <c r="L17" s="191" t="s">
        <v>142</v>
      </c>
      <c r="M17" s="191" t="s">
        <v>142</v>
      </c>
      <c r="N17" s="191" t="s">
        <v>4</v>
      </c>
      <c r="O17" s="191" t="s">
        <v>4</v>
      </c>
      <c r="P17" s="191" t="s">
        <v>4</v>
      </c>
      <c r="Q17" s="191" t="s">
        <v>4</v>
      </c>
      <c r="R17" s="191" t="s">
        <v>4</v>
      </c>
      <c r="S17" s="191" t="s">
        <v>142</v>
      </c>
      <c r="T17" s="191" t="s">
        <v>142</v>
      </c>
      <c r="U17" s="191" t="s">
        <v>4</v>
      </c>
      <c r="V17" s="191" t="s">
        <v>4</v>
      </c>
      <c r="W17" s="191" t="s">
        <v>52</v>
      </c>
      <c r="X17" s="191" t="s">
        <v>52</v>
      </c>
      <c r="Y17" s="191" t="s">
        <v>52</v>
      </c>
      <c r="Z17" s="191" t="s">
        <v>52</v>
      </c>
      <c r="AA17" s="191" t="s">
        <v>142</v>
      </c>
      <c r="AB17" s="191" t="s">
        <v>4</v>
      </c>
      <c r="AC17" s="191" t="s">
        <v>4</v>
      </c>
      <c r="AD17" s="191" t="s">
        <v>4</v>
      </c>
      <c r="AE17" s="191" t="s">
        <v>4</v>
      </c>
      <c r="AF17" s="191" t="s">
        <v>4</v>
      </c>
      <c r="AG17" s="191" t="s">
        <v>142</v>
      </c>
      <c r="AH17" s="191" t="s">
        <v>142</v>
      </c>
      <c r="AI17" s="191" t="s">
        <v>4</v>
      </c>
      <c r="AJ17" s="213">
        <f>IFERROR(COUNTIF(E17:AI17,"=Р")+COUNTIF(E17:AI17,"=Р1")+COUNTIF(E17:AI17,"=ВЧ")+COUNTIF(E17:AI17,"=РН")+COUNTIF(E17:AI17,"=Р2")+COUNTIF(E17:AI17,"=Р1/РВ")+COUNTIF(E17:AI17,"=Р2/РВ")+COUNTIF(E17:AI17,"=ВЧ/РВ")+COUNTIF(E17:AI17,"=РН/РВ"),0)</f>
        <v>18</v>
      </c>
      <c r="AK17" s="202">
        <f>IFERROR(SUMIF(E17:AI17,"=Р2",E18:AI18)+SUMIF(E17:AI17,"=ВЧ/РВ",E18:AI18)+SUMIF(E17:AI17,"=РН/РВ",E18:AI18)+SUMIF(E17:AI17,"=Р1/РВ",E18:AI18)+SUMIF(E17:AI17,"=ВЧ2/РВ",E18:AI18)+SUMIF(E17:AI17,"=Р2/РВ",E18:AI18)+SUMIF(E17:AI17,"=Р",E18:AI18)+SUMIF(E17:AI17,"=Р1",E18:AI18)+SUMIF(E17:AI17,"=ВЧ1",E18:AI18)+SUMIF(E17:AI17,"=РН",E18:AI18)+SUMIF(E17:AI17,"=ВЧ",E18:AI18),0)</f>
        <v>144.4</v>
      </c>
      <c r="AL17" s="202">
        <f>IFERROR(SUMIF(E17:AI17,"=НУ",E18:AI18),0)</f>
        <v>0</v>
      </c>
      <c r="AM17" s="202">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02">
        <f>IFERROR(SUMIF(E17:AI17,"=РВ",E18:AI18)+SUMIF(E17:AI17,"=ВЧ/РВ",E18:AI18)+SUMIF(E17:AI17,"=РН/РВ",E18:AI18)+SUMIF(E17:AI17,"=Р1/РВ",E18:AI18)+SUMIF(E17:AI17,"=ВЧ2/РВ",E18:AI18)+SUMIF(E17:AI17,"=Р2/РВ",E18:AI18),0)</f>
        <v>0</v>
      </c>
      <c r="AP17" s="202">
        <f>IFERROR(COUNTIF(E17:AI17,"=ВВ")+COUNTIF(E17:AI17,"=Р1/ВВ")+COUNTIF(E17:AI17,"=РН/ВВ")+COUNTIF(E17:AI17,"=ВЧ/ВВ"),0)</f>
        <v>9</v>
      </c>
      <c r="AQ17" s="202">
        <f>SUM(AR17:AZ17)</f>
        <v>23.599999999999998</v>
      </c>
      <c r="AR17" s="202">
        <f>IFERROR(SUMIF(E17:AI17,"=В",E18:AI18)+SUMIF(E17:AI17,"=Ч",E18:AI18)+SUMIF(E17:AI17,"=ВБ",E18:AI18),0)</f>
        <v>0</v>
      </c>
      <c r="AS17" s="202">
        <f>IFERROR(SUMIF(E17:AI17,"=Н",E18:AI18),0)</f>
        <v>0</v>
      </c>
      <c r="AT17" s="202">
        <f>IFERROR(SUMIF(E17:AI17,"=НА",E18:AI18),0)</f>
        <v>0</v>
      </c>
      <c r="AU17" s="202">
        <f>IFERROR(SUMIF(E17:AI17,"=ВП",E18:AI18),0)</f>
        <v>0</v>
      </c>
      <c r="AV17" s="202">
        <f>IFERROR(SUMIF(E17:AI17,"=ДД",E18:AI18),0)</f>
        <v>0</v>
      </c>
      <c r="AW17" s="202">
        <f>IFERROR(SUMIF(E17:AI17,"=ДО",E18:AI18),0)</f>
        <v>0</v>
      </c>
      <c r="AX17" s="202">
        <f>IFERROR(SUMIF(E17:AI17,"=ТН",E18:AI18),0)</f>
        <v>23.599999999999998</v>
      </c>
      <c r="AY17" s="202">
        <f>IFERROR(SUMIF(E17:AI17,"=ВД",E18:AI18),0)</f>
        <v>0</v>
      </c>
      <c r="AZ17" s="200">
        <f>IFERROR(SUMIF(E17:AI17,"=ІН",E18:AI18),0)+SUMIF(E17:AI17,"=НЗ",E18:AI18)</f>
        <v>0</v>
      </c>
      <c r="BA17" s="281">
        <v>0</v>
      </c>
    </row>
    <row r="18" spans="1:53" ht="20.100000000000001" customHeight="1" thickBot="1" x14ac:dyDescent="0.25">
      <c r="A18" s="280"/>
      <c r="B18" s="229"/>
      <c r="C18" s="280"/>
      <c r="D18" s="280"/>
      <c r="E18" s="186"/>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c r="AH18" s="192"/>
      <c r="AI18" s="192">
        <v>8.1999999999999993</v>
      </c>
      <c r="AJ18" s="214"/>
      <c r="AK18" s="203"/>
      <c r="AL18" s="203"/>
      <c r="AM18" s="203"/>
      <c r="AN18" s="212"/>
      <c r="AO18" s="203"/>
      <c r="AP18" s="203"/>
      <c r="AQ18" s="203"/>
      <c r="AR18" s="203"/>
      <c r="AS18" s="203"/>
      <c r="AT18" s="203"/>
      <c r="AU18" s="203"/>
      <c r="AV18" s="203"/>
      <c r="AW18" s="203"/>
      <c r="AX18" s="203"/>
      <c r="AY18" s="203"/>
      <c r="AZ18" s="201"/>
      <c r="BA18" s="282"/>
    </row>
    <row r="19" spans="1:53" s="171" customFormat="1" ht="20.100000000000001" customHeight="1" x14ac:dyDescent="0.2">
      <c r="A19" s="279">
        <v>2</v>
      </c>
      <c r="B19" s="228" t="s">
        <v>298</v>
      </c>
      <c r="C19" s="228">
        <v>1579</v>
      </c>
      <c r="D19" s="230" t="s">
        <v>65</v>
      </c>
      <c r="E19" s="191" t="s">
        <v>309</v>
      </c>
      <c r="F19" s="191" t="s">
        <v>43</v>
      </c>
      <c r="G19" s="191" t="s">
        <v>142</v>
      </c>
      <c r="H19" s="191" t="s">
        <v>4</v>
      </c>
      <c r="I19" s="191" t="s">
        <v>41</v>
      </c>
      <c r="J19" s="191" t="s">
        <v>43</v>
      </c>
      <c r="K19" s="191" t="s">
        <v>142</v>
      </c>
      <c r="L19" s="191" t="s">
        <v>4</v>
      </c>
      <c r="M19" s="191" t="s">
        <v>41</v>
      </c>
      <c r="N19" s="191" t="s">
        <v>43</v>
      </c>
      <c r="O19" s="191" t="s">
        <v>142</v>
      </c>
      <c r="P19" s="191" t="s">
        <v>263</v>
      </c>
      <c r="Q19" s="191" t="s">
        <v>52</v>
      </c>
      <c r="R19" s="191" t="s">
        <v>52</v>
      </c>
      <c r="S19" s="191" t="s">
        <v>52</v>
      </c>
      <c r="T19" s="191" t="s">
        <v>52</v>
      </c>
      <c r="U19" s="191" t="s">
        <v>52</v>
      </c>
      <c r="V19" s="191" t="s">
        <v>52</v>
      </c>
      <c r="W19" s="191" t="s">
        <v>52</v>
      </c>
      <c r="X19" s="191" t="s">
        <v>4</v>
      </c>
      <c r="Y19" s="191" t="s">
        <v>41</v>
      </c>
      <c r="Z19" s="191" t="s">
        <v>43</v>
      </c>
      <c r="AA19" s="191" t="s">
        <v>142</v>
      </c>
      <c r="AB19" s="191" t="s">
        <v>4</v>
      </c>
      <c r="AC19" s="191" t="s">
        <v>41</v>
      </c>
      <c r="AD19" s="191" t="s">
        <v>43</v>
      </c>
      <c r="AE19" s="191" t="s">
        <v>142</v>
      </c>
      <c r="AF19" s="191" t="s">
        <v>4</v>
      </c>
      <c r="AG19" s="191" t="s">
        <v>41</v>
      </c>
      <c r="AH19" s="191" t="s">
        <v>43</v>
      </c>
      <c r="AI19" s="191" t="s">
        <v>142</v>
      </c>
      <c r="AJ19" s="213">
        <f>IFERROR(COUNTIF(E19:AI19,"=Р")+COUNTIF(E19:AI19,"=Р1")+COUNTIF(E19:AI19,"=ВЧ")+COUNTIF(E19:AI19,"=РН")+COUNTIF(E19:AI19,"=Р2")+COUNTIF(E19:AI19,"=Р1/РВ")+COUNTIF(E19:AI19,"=Р2/РВ")+COUNTIF(E19:AI19,"=ВЧ/РВ")+COUNTIF(E19:AI19,"=РН/РВ"),0)</f>
        <v>17</v>
      </c>
      <c r="AK19" s="202">
        <f>IFERROR(SUMIF(E19:AI19,"=Р2",E20:AI20)+SUMIF(E19:AI19,"=ВЧ/РВ",E20:AI20)+SUMIF(E19:AI19,"=РН/РВ",E20:AI20)+SUMIF(E19:AI19,"=Р1/РВ",E20:AI20)+SUMIF(E19:AI19,"=ВЧ2/РВ",E20:AI20)+SUMIF(E19:AI19,"=Р2/РВ",E20:AI20)+SUMIF(E19:AI19,"=Р",E20:AI20)+SUMIF(E19:AI19,"=Р1",E20:AI20)+SUMIF(E19:AI19,"=ВЧ1",E20:AI20)+SUMIF(E19:AI19,"=РН",E20:AI20)+SUMIF(E19:AI19,"=ВЧ",E20:AI20),0)</f>
        <v>144</v>
      </c>
      <c r="AL19" s="202">
        <f>IFERROR(SUMIF(E19:AI19,"=НУ",E20:AI20),0)</f>
        <v>0</v>
      </c>
      <c r="AM19" s="202">
        <f>IFERROR(SUMIF(E19:AI19,"=РН",E20:AI20)+SUMIF(E19:AI19,"=РН/РВ",E20:AI20)+SUMIFS(E20:AI20,E19:AI19,"=Р2",E20:AI20,"=8"),0)</f>
        <v>48</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24</v>
      </c>
      <c r="AO19" s="202">
        <f>IFERROR(SUMIF(E19:AI19,"=РВ",E20:AI20)+SUMIF(E19:AI19,"=ВЧ/РВ",E20:AI20)+SUMIF(E19:AI19,"=РН/РВ",E20:AI20)+SUMIF(E19:AI19,"=Р1/РВ",E20:AI20)+SUMIF(E19:AI19,"=ВЧ2/РВ",E20:AI20)+SUMIF(E19:AI19,"=Р2/РВ",E20:AI20),0)</f>
        <v>0</v>
      </c>
      <c r="AP19" s="202">
        <f>IFERROR(COUNTIF(E19:AI19,"=ВВ")+COUNTIF(E19:AI19,"=Р1/ВВ")+COUNTIF(E19:AI19,"=РН/ВВ")+COUNTIF(E19:AI19,"=ВЧ/ВВ"),0)</f>
        <v>6</v>
      </c>
      <c r="AQ19" s="202">
        <f>SUM(AR19:AZ19)</f>
        <v>24</v>
      </c>
      <c r="AR19" s="202">
        <f>IFERROR(SUMIF(E19:AI19,"=В",E20:AI20)+SUMIF(E19:AI19,"=Ч",E20:AI20)+SUMIF(E19:AI19,"=ВБ",E20:AI20),0)</f>
        <v>0</v>
      </c>
      <c r="AS19" s="202">
        <f>IFERROR(SUMIF(E19:AI19,"=Н",E20:AI20),0)</f>
        <v>0</v>
      </c>
      <c r="AT19" s="202">
        <f>IFERROR(SUMIF(E19:AI19,"=НА",E20:AI20),0)</f>
        <v>0</v>
      </c>
      <c r="AU19" s="202">
        <f>IFERROR(SUMIF(E19:AI19,"=ВП",E20:AI20),0)</f>
        <v>0</v>
      </c>
      <c r="AV19" s="202">
        <f>IFERROR(SUMIF(E19:AI19,"=ДД",E20:AI20),0)</f>
        <v>0</v>
      </c>
      <c r="AW19" s="198">
        <f>IFERROR(SUMIF(E19:AI19,"=ДО",E20:AI20),0)</f>
        <v>0</v>
      </c>
      <c r="AX19" s="202">
        <f>IFERROR(SUMIF(E19:AI19,"=ТН",E20:AI20),0)</f>
        <v>24</v>
      </c>
      <c r="AY19" s="202">
        <f>IFERROR(SUMIF(E19:AI19,"=ВД",E20:AI20),0)</f>
        <v>0</v>
      </c>
      <c r="AZ19" s="200">
        <f>IFERROR(SUMIF(E19:AI19,"=ІН",E20:AI20),0)+SUMIF(E19:AI19,"=НЗ",E20:AI20)</f>
        <v>0</v>
      </c>
    </row>
    <row r="20" spans="1:53" s="171" customFormat="1" ht="20.100000000000001" customHeight="1" thickBot="1" x14ac:dyDescent="0.25">
      <c r="A20" s="280"/>
      <c r="B20" s="229"/>
      <c r="C20" s="229"/>
      <c r="D20" s="231"/>
      <c r="E20" s="192">
        <v>4</v>
      </c>
      <c r="F20" s="192">
        <v>8</v>
      </c>
      <c r="G20" s="192"/>
      <c r="H20" s="192">
        <v>12</v>
      </c>
      <c r="I20" s="192">
        <v>4</v>
      </c>
      <c r="J20" s="192">
        <v>8</v>
      </c>
      <c r="K20" s="192"/>
      <c r="L20" s="192">
        <v>12</v>
      </c>
      <c r="M20" s="192">
        <v>4</v>
      </c>
      <c r="N20" s="192">
        <v>8</v>
      </c>
      <c r="O20" s="192"/>
      <c r="P20" s="192">
        <v>12</v>
      </c>
      <c r="Q20" s="192">
        <v>4</v>
      </c>
      <c r="R20" s="192">
        <v>6</v>
      </c>
      <c r="S20" s="192"/>
      <c r="T20" s="192">
        <v>2</v>
      </c>
      <c r="U20" s="192">
        <v>4</v>
      </c>
      <c r="V20" s="192">
        <v>8</v>
      </c>
      <c r="W20" s="192"/>
      <c r="X20" s="192">
        <v>12</v>
      </c>
      <c r="Y20" s="192">
        <v>4</v>
      </c>
      <c r="Z20" s="192">
        <v>8</v>
      </c>
      <c r="AA20" s="192"/>
      <c r="AB20" s="192">
        <v>12</v>
      </c>
      <c r="AC20" s="192">
        <v>4</v>
      </c>
      <c r="AD20" s="192">
        <v>8</v>
      </c>
      <c r="AE20" s="192"/>
      <c r="AF20" s="192">
        <v>12</v>
      </c>
      <c r="AG20" s="192">
        <v>4</v>
      </c>
      <c r="AH20" s="192">
        <v>8</v>
      </c>
      <c r="AI20" s="192"/>
      <c r="AJ20" s="214"/>
      <c r="AK20" s="203"/>
      <c r="AL20" s="203"/>
      <c r="AM20" s="203"/>
      <c r="AN20" s="212"/>
      <c r="AO20" s="203"/>
      <c r="AP20" s="203"/>
      <c r="AQ20" s="203"/>
      <c r="AR20" s="203"/>
      <c r="AS20" s="203"/>
      <c r="AT20" s="203"/>
      <c r="AU20" s="203"/>
      <c r="AV20" s="203"/>
      <c r="AW20" s="199"/>
      <c r="AX20" s="203"/>
      <c r="AY20" s="203"/>
      <c r="AZ20" s="201"/>
    </row>
    <row r="21" spans="1:53" s="116" customFormat="1" ht="20.100000000000001" customHeight="1" x14ac:dyDescent="0.2">
      <c r="A21" s="279">
        <v>3</v>
      </c>
      <c r="B21" s="228" t="s">
        <v>297</v>
      </c>
      <c r="C21" s="279">
        <v>1808</v>
      </c>
      <c r="D21" s="279" t="s">
        <v>65</v>
      </c>
      <c r="E21" s="191" t="s">
        <v>4</v>
      </c>
      <c r="F21" s="191" t="s">
        <v>41</v>
      </c>
      <c r="G21" s="191" t="s">
        <v>43</v>
      </c>
      <c r="H21" s="191" t="s">
        <v>142</v>
      </c>
      <c r="I21" s="191" t="s">
        <v>142</v>
      </c>
      <c r="J21" s="191" t="s">
        <v>309</v>
      </c>
      <c r="K21" s="191" t="s">
        <v>43</v>
      </c>
      <c r="L21" s="191" t="s">
        <v>142</v>
      </c>
      <c r="M21" s="191" t="s">
        <v>263</v>
      </c>
      <c r="N21" s="191" t="s">
        <v>142</v>
      </c>
      <c r="O21" s="191" t="s">
        <v>142</v>
      </c>
      <c r="P21" s="191" t="s">
        <v>142</v>
      </c>
      <c r="Q21" s="191" t="s">
        <v>4</v>
      </c>
      <c r="R21" s="191" t="s">
        <v>41</v>
      </c>
      <c r="S21" s="191" t="s">
        <v>43</v>
      </c>
      <c r="T21" s="191" t="s">
        <v>142</v>
      </c>
      <c r="U21" s="191" t="s">
        <v>4</v>
      </c>
      <c r="V21" s="191" t="s">
        <v>41</v>
      </c>
      <c r="W21" s="191" t="s">
        <v>43</v>
      </c>
      <c r="X21" s="191" t="s">
        <v>142</v>
      </c>
      <c r="Y21" s="191" t="s">
        <v>4</v>
      </c>
      <c r="Z21" s="191" t="s">
        <v>41</v>
      </c>
      <c r="AA21" s="191" t="s">
        <v>43</v>
      </c>
      <c r="AB21" s="191" t="s">
        <v>142</v>
      </c>
      <c r="AC21" s="191" t="s">
        <v>4</v>
      </c>
      <c r="AD21" s="191" t="s">
        <v>41</v>
      </c>
      <c r="AE21" s="191" t="s">
        <v>43</v>
      </c>
      <c r="AF21" s="191" t="s">
        <v>142</v>
      </c>
      <c r="AG21" s="191" t="s">
        <v>4</v>
      </c>
      <c r="AH21" s="191" t="s">
        <v>41</v>
      </c>
      <c r="AI21" s="191" t="s">
        <v>43</v>
      </c>
      <c r="AJ21" s="213">
        <f>IFERROR(COUNTIF(E21:AI21,"=Р")+COUNTIF(E21:AI21,"=Р1")+COUNTIF(E21:AI21,"=ВЧ")+COUNTIF(E21:AI21,"=РН")+COUNTIF(E21:AI21,"=Р2")+COUNTIF(E21:AI21,"=Р1/РВ")+COUNTIF(E21:AI21,"=Р2/РВ")+COUNTIF(E21:AI21,"=ВЧ/РВ")+COUNTIF(E21:AI21,"=РН/РВ"),0)</f>
        <v>20</v>
      </c>
      <c r="AK21" s="202">
        <f>IFERROR(SUMIF(E21:AI21,"=Р2",E22:AI22)+SUMIF(E21:AI21,"=ВЧ/РВ",E22:AI22)+SUMIF(E21:AI21,"=РН/РВ",E22:AI22)+SUMIF(E21:AI21,"=Р1/РВ",E22:AI22)+SUMIF(E21:AI21,"=ВЧ2/РВ",E22:AI22)+SUMIF(E21:AI21,"=Р2/РВ",E22:AI22)+SUMIF(E21:AI21,"=Р",E22:AI22)+SUMIF(E21:AI21,"=Р1",E22:AI22)+SUMIF(E21:AI21,"=ВЧ1",E22:AI22)+SUMIF(E21:AI21,"=РН",E22:AI22)+SUMIF(E21:AI21,"=ВЧ",E22:AI22),0)</f>
        <v>168</v>
      </c>
      <c r="AL21" s="202">
        <f>IFERROR(SUMIF(E21:AI21,"=НУ",E22:AI22),0)</f>
        <v>0</v>
      </c>
      <c r="AM21" s="202">
        <f>IFERROR(SUMIF(E21:AI21,"=РН",E22:AI22)+SUMIF(E21:AI21,"=РН/РВ",E22:AI22)+SUMIFS(E22:AI22,E21:AI21,"=Р2",E22:AI22,"=8"),0)</f>
        <v>56</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28</v>
      </c>
      <c r="AO21" s="202">
        <f>IFERROR(SUMIF(E21:AI21,"=РВ",E22:AI22)+SUMIF(E21:AI21,"=ВЧ/РВ",E22:AI22)+SUMIF(E21:AI21,"=РН/РВ",E22:AI22)+SUMIF(E21:AI21,"=Р1/РВ",E22:AI22)+SUMIF(E21:AI21,"=ВЧ2/РВ",E22:AI22)+SUMIF(E21:AI21,"=Р2/РВ",E22:AI22),0)</f>
        <v>0</v>
      </c>
      <c r="AP21" s="202">
        <f>IFERROR(COUNTIF(E21:AI21,"=ВВ")+COUNTIF(E21:AI21,"=Р1/ВВ")+COUNTIF(E21:AI21,"=РН/ВВ")+COUNTIF(E21:AI21,"=ВЧ/ВВ"),0)</f>
        <v>10</v>
      </c>
      <c r="AQ21" s="202">
        <f>SUM(AR21:AZ21)</f>
        <v>0</v>
      </c>
      <c r="AR21" s="202">
        <f>IFERROR(SUMIF(E21:AI21,"=В",E22:AI22)+SUMIF(E21:AI21,"=Ч",E22:AI22)+SUMIF(E21:AI21,"=ВБ",E22:AI22),0)</f>
        <v>0</v>
      </c>
      <c r="AS21" s="202">
        <f>IFERROR(SUMIF(E21:AI21,"=Н",E22:AI22),0)</f>
        <v>0</v>
      </c>
      <c r="AT21" s="202">
        <f>IFERROR(SUMIF(E21:AI21,"=НА",E22:AI22),0)</f>
        <v>0</v>
      </c>
      <c r="AU21" s="202">
        <f>IFERROR(SUMIF(E21:AI21,"=ВП",E22:AI22),0)</f>
        <v>0</v>
      </c>
      <c r="AV21" s="202">
        <f>IFERROR(SUMIF(E21:AI21,"=ДД",E22:AI22),0)</f>
        <v>0</v>
      </c>
      <c r="AW21" s="202">
        <f>IFERROR(SUMIF(E21:AI21,"=ДО",E22:AI22),0)</f>
        <v>0</v>
      </c>
      <c r="AX21" s="202">
        <f>IFERROR(SUMIF(E21:AI21,"=ТН",E22:AI22),0)</f>
        <v>0</v>
      </c>
      <c r="AY21" s="202">
        <f>IFERROR(SUMIF(E21:AI21,"=ВД",E22:AI22),0)</f>
        <v>0</v>
      </c>
      <c r="AZ21" s="200">
        <f>IFERROR(SUMIF(E21:AI21,"=ІН",E22:AI22),0)+SUMIF(E21:AI21,"=НЗ",E22:AI22)</f>
        <v>0</v>
      </c>
      <c r="BA21" s="281">
        <v>0</v>
      </c>
    </row>
    <row r="22" spans="1:53" s="116" customFormat="1" ht="20.100000000000001" customHeight="1" thickBot="1" x14ac:dyDescent="0.25">
      <c r="A22" s="280"/>
      <c r="B22" s="229"/>
      <c r="C22" s="280"/>
      <c r="D22" s="280"/>
      <c r="E22" s="192">
        <v>12</v>
      </c>
      <c r="F22" s="192">
        <v>4</v>
      </c>
      <c r="G22" s="192">
        <v>8</v>
      </c>
      <c r="H22" s="192"/>
      <c r="I22" s="192"/>
      <c r="J22" s="192">
        <v>4</v>
      </c>
      <c r="K22" s="192">
        <v>8</v>
      </c>
      <c r="L22" s="192"/>
      <c r="M22" s="192">
        <v>12</v>
      </c>
      <c r="N22" s="192"/>
      <c r="O22" s="192"/>
      <c r="P22" s="192"/>
      <c r="Q22" s="192">
        <v>12</v>
      </c>
      <c r="R22" s="192">
        <v>4</v>
      </c>
      <c r="S22" s="192">
        <v>8</v>
      </c>
      <c r="T22" s="192"/>
      <c r="U22" s="192">
        <v>12</v>
      </c>
      <c r="V22" s="192">
        <v>4</v>
      </c>
      <c r="W22" s="192">
        <v>8</v>
      </c>
      <c r="X22" s="192"/>
      <c r="Y22" s="192">
        <v>12</v>
      </c>
      <c r="Z22" s="192">
        <v>4</v>
      </c>
      <c r="AA22" s="192">
        <v>8</v>
      </c>
      <c r="AB22" s="192"/>
      <c r="AC22" s="192">
        <v>12</v>
      </c>
      <c r="AD22" s="192">
        <v>4</v>
      </c>
      <c r="AE22" s="192">
        <v>8</v>
      </c>
      <c r="AF22" s="192"/>
      <c r="AG22" s="192">
        <v>12</v>
      </c>
      <c r="AH22" s="192">
        <v>4</v>
      </c>
      <c r="AI22" s="192">
        <v>8</v>
      </c>
      <c r="AJ22" s="214"/>
      <c r="AK22" s="203"/>
      <c r="AL22" s="203"/>
      <c r="AM22" s="203"/>
      <c r="AN22" s="212"/>
      <c r="AO22" s="203"/>
      <c r="AP22" s="203"/>
      <c r="AQ22" s="203"/>
      <c r="AR22" s="203"/>
      <c r="AS22" s="203"/>
      <c r="AT22" s="203"/>
      <c r="AU22" s="203"/>
      <c r="AV22" s="203"/>
      <c r="AW22" s="203"/>
      <c r="AX22" s="203"/>
      <c r="AY22" s="203"/>
      <c r="AZ22" s="201"/>
      <c r="BA22" s="282"/>
    </row>
    <row r="23" spans="1:53" ht="20.100000000000001" customHeight="1" x14ac:dyDescent="0.2">
      <c r="A23" s="279">
        <v>4</v>
      </c>
      <c r="B23" s="228" t="s">
        <v>290</v>
      </c>
      <c r="C23" s="279">
        <v>2167</v>
      </c>
      <c r="D23" s="279" t="s">
        <v>72</v>
      </c>
      <c r="E23" s="191" t="s">
        <v>263</v>
      </c>
      <c r="F23" s="191" t="s">
        <v>263</v>
      </c>
      <c r="G23" s="191" t="s">
        <v>263</v>
      </c>
      <c r="H23" s="191" t="s">
        <v>142</v>
      </c>
      <c r="I23" s="191" t="s">
        <v>263</v>
      </c>
      <c r="J23" s="191" t="s">
        <v>4</v>
      </c>
      <c r="K23" s="191" t="s">
        <v>41</v>
      </c>
      <c r="L23" s="191" t="s">
        <v>43</v>
      </c>
      <c r="M23" s="191" t="s">
        <v>142</v>
      </c>
      <c r="N23" s="191" t="s">
        <v>309</v>
      </c>
      <c r="O23" s="191" t="s">
        <v>43</v>
      </c>
      <c r="P23" s="191" t="s">
        <v>142</v>
      </c>
      <c r="Q23" s="191" t="s">
        <v>263</v>
      </c>
      <c r="R23" s="191" t="s">
        <v>142</v>
      </c>
      <c r="S23" s="191" t="s">
        <v>142</v>
      </c>
      <c r="T23" s="191" t="s">
        <v>263</v>
      </c>
      <c r="U23" s="191" t="s">
        <v>142</v>
      </c>
      <c r="V23" s="191" t="s">
        <v>263</v>
      </c>
      <c r="W23" s="191" t="s">
        <v>4</v>
      </c>
      <c r="X23" s="191" t="s">
        <v>41</v>
      </c>
      <c r="Y23" s="191" t="s">
        <v>43</v>
      </c>
      <c r="Z23" s="191" t="s">
        <v>142</v>
      </c>
      <c r="AA23" s="191" t="s">
        <v>263</v>
      </c>
      <c r="AB23" s="191" t="s">
        <v>142</v>
      </c>
      <c r="AC23" s="191" t="s">
        <v>142</v>
      </c>
      <c r="AD23" s="191" t="s">
        <v>142</v>
      </c>
      <c r="AE23" s="191" t="s">
        <v>4</v>
      </c>
      <c r="AF23" s="191" t="s">
        <v>263</v>
      </c>
      <c r="AG23" s="191" t="s">
        <v>142</v>
      </c>
      <c r="AH23" s="191" t="s">
        <v>142</v>
      </c>
      <c r="AI23" s="191" t="s">
        <v>142</v>
      </c>
      <c r="AJ23" s="213">
        <f>IFERROR(COUNTIF(E23:AI23,"=Р")+COUNTIF(E23:AI23,"=Р1")+COUNTIF(E23:AI23,"=ВЧ")+COUNTIF(E23:AI23,"=РН")+COUNTIF(E23:AI23,"=Р2")+COUNTIF(E23:AI23,"=Р1/РВ")+COUNTIF(E23:AI23,"=Р2/РВ")+COUNTIF(E23:AI23,"=ВЧ/РВ")+COUNTIF(E23:AI23,"=РН/РВ"),0)</f>
        <v>17</v>
      </c>
      <c r="AK23" s="202">
        <f>IFERROR(SUMIF(E23:AI23,"=Р2",E24:AI24)+SUMIF(E23:AI23,"=ВЧ/РВ",E24:AI24)+SUMIF(E23:AI23,"=РН/РВ",E24:AI24)+SUMIF(E23:AI23,"=Р1/РВ",E24:AI24)+SUMIF(E23:AI23,"=ВЧ2/РВ",E24:AI24)+SUMIF(E23:AI23,"=Р2/РВ",E24:AI24)+SUMIF(E23:AI23,"=Р",E24:AI24)+SUMIF(E23:AI23,"=Р1",E24:AI24)+SUMIF(E23:AI23,"=ВЧ1",E24:AI24)+SUMIF(E23:AI23,"=РН",E24:AI24)+SUMIF(E23:AI23,"=ВЧ",E24:AI24),0)</f>
        <v>168</v>
      </c>
      <c r="AL23" s="202">
        <f>IFERROR(SUMIF(E23:AI23,"=НУ",E24:AI24),0)</f>
        <v>0</v>
      </c>
      <c r="AM23" s="202">
        <f>IFERROR(SUMIF(E23:AI23,"=РН",E24:AI24)+SUMIF(E23:AI23,"=РН/РВ",E24:AI24)+SUMIFS(E24:AI24,E23:AI23,"=Р2",E24:AI24,"=8"),0)</f>
        <v>24</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28</v>
      </c>
      <c r="AO23" s="202">
        <f>IFERROR(SUMIF(E23:AI23,"=РВ",E24:AI24)+SUMIF(E23:AI23,"=ВЧ/РВ",E24:AI24)+SUMIF(E23:AI23,"=РН/РВ",E24:AI24)+SUMIF(E23:AI23,"=Р1/РВ",E24:AI24)+SUMIF(E23:AI23,"=ВЧ2/РВ",E24:AI24)+SUMIF(E23:AI23,"=Р2/РВ",E24:AI24),0)</f>
        <v>0</v>
      </c>
      <c r="AP23" s="202">
        <f>IFERROR(COUNTIF(E23:AI23,"=ВВ")+COUNTIF(E23:AI23,"=Р1/ВВ")+COUNTIF(E23:AI23,"=РН/ВВ")+COUNTIF(E23:AI23,"=ВЧ/ВВ"),0)</f>
        <v>13</v>
      </c>
      <c r="AQ23" s="202">
        <f>SUM(AR23:AZ23)</f>
        <v>0</v>
      </c>
      <c r="AR23" s="202">
        <f>IFERROR(SUMIF(E23:AI23,"=В",E24:AI24)+SUMIF(E23:AI23,"=Ч",E24:AI24)+SUMIF(E23:AI23,"=ВБ",E24:AI24),0)</f>
        <v>0</v>
      </c>
      <c r="AS23" s="202">
        <f>IFERROR(SUMIF(E23:AI23,"=Н",E24:AI24),0)</f>
        <v>0</v>
      </c>
      <c r="AT23" s="202">
        <f>IFERROR(SUMIF(E23:AI23,"=НА",E24:AI24),0)</f>
        <v>0</v>
      </c>
      <c r="AU23" s="202">
        <f>IFERROR(SUMIF(E23:AI23,"=ВП",E24:AI24),0)</f>
        <v>0</v>
      </c>
      <c r="AV23" s="202">
        <f>IFERROR(SUMIF(E23:AI23,"=ДД",E24:AI24),0)</f>
        <v>0</v>
      </c>
      <c r="AW23" s="202">
        <f>IFERROR(SUMIF(E23:AI23,"=ДО",E24:AI24),0)</f>
        <v>0</v>
      </c>
      <c r="AX23" s="202">
        <f>IFERROR(SUMIF(E23:AI23,"=ТН",E24:AI24),0)</f>
        <v>0</v>
      </c>
      <c r="AY23" s="202">
        <f>IFERROR(SUMIF(E23:AI23,"=ВД",E24:AI24),0)</f>
        <v>0</v>
      </c>
      <c r="AZ23" s="200">
        <f>IFERROR(SUMIF(E23:AI23,"=ІН",E24:AI24),0)+SUMIF(E23:AI23,"=НЗ",E24:AI24)</f>
        <v>0</v>
      </c>
      <c r="BA23" s="281">
        <v>0</v>
      </c>
    </row>
    <row r="24" spans="1:53" ht="20.100000000000001" customHeight="1" thickBot="1" x14ac:dyDescent="0.25">
      <c r="A24" s="280"/>
      <c r="B24" s="229"/>
      <c r="C24" s="280"/>
      <c r="D24" s="280"/>
      <c r="E24" s="192">
        <v>12</v>
      </c>
      <c r="F24" s="192">
        <v>12</v>
      </c>
      <c r="G24" s="192">
        <v>12</v>
      </c>
      <c r="H24" s="192"/>
      <c r="I24" s="192">
        <v>12</v>
      </c>
      <c r="J24" s="192">
        <v>8</v>
      </c>
      <c r="K24" s="192">
        <v>4</v>
      </c>
      <c r="L24" s="192">
        <v>8</v>
      </c>
      <c r="M24" s="192"/>
      <c r="N24" s="192">
        <v>4</v>
      </c>
      <c r="O24" s="192">
        <v>8</v>
      </c>
      <c r="P24" s="192"/>
      <c r="Q24" s="192">
        <v>12</v>
      </c>
      <c r="R24" s="192"/>
      <c r="S24" s="192"/>
      <c r="T24" s="192">
        <v>12</v>
      </c>
      <c r="U24" s="192"/>
      <c r="V24" s="192">
        <v>12</v>
      </c>
      <c r="W24" s="192">
        <v>8</v>
      </c>
      <c r="X24" s="192">
        <v>4</v>
      </c>
      <c r="Y24" s="192">
        <v>8</v>
      </c>
      <c r="Z24" s="192"/>
      <c r="AA24" s="192">
        <v>12</v>
      </c>
      <c r="AB24" s="192"/>
      <c r="AC24" s="192"/>
      <c r="AD24" s="192"/>
      <c r="AE24" s="192">
        <v>8</v>
      </c>
      <c r="AF24" s="192">
        <v>12</v>
      </c>
      <c r="AG24" s="192"/>
      <c r="AH24" s="192"/>
      <c r="AI24" s="192"/>
      <c r="AJ24" s="214"/>
      <c r="AK24" s="203"/>
      <c r="AL24" s="203"/>
      <c r="AM24" s="203"/>
      <c r="AN24" s="212"/>
      <c r="AO24" s="203"/>
      <c r="AP24" s="203"/>
      <c r="AQ24" s="203"/>
      <c r="AR24" s="203"/>
      <c r="AS24" s="203"/>
      <c r="AT24" s="203"/>
      <c r="AU24" s="203"/>
      <c r="AV24" s="203"/>
      <c r="AW24" s="203"/>
      <c r="AX24" s="203"/>
      <c r="AY24" s="203"/>
      <c r="AZ24" s="201"/>
      <c r="BA24" s="282"/>
    </row>
    <row r="25" spans="1:53" s="171" customFormat="1" ht="20.100000000000001" customHeight="1" x14ac:dyDescent="0.2">
      <c r="A25" s="279">
        <v>5</v>
      </c>
      <c r="B25" s="228" t="s">
        <v>302</v>
      </c>
      <c r="C25" s="228">
        <v>2174</v>
      </c>
      <c r="D25" s="230" t="s">
        <v>65</v>
      </c>
      <c r="E25" s="191" t="s">
        <v>142</v>
      </c>
      <c r="F25" s="191" t="s">
        <v>142</v>
      </c>
      <c r="G25" s="191" t="s">
        <v>309</v>
      </c>
      <c r="H25" s="191" t="s">
        <v>43</v>
      </c>
      <c r="I25" s="191" t="s">
        <v>142</v>
      </c>
      <c r="J25" s="191" t="s">
        <v>4</v>
      </c>
      <c r="K25" s="191" t="s">
        <v>41</v>
      </c>
      <c r="L25" s="191" t="s">
        <v>43</v>
      </c>
      <c r="M25" s="191" t="s">
        <v>142</v>
      </c>
      <c r="N25" s="191" t="s">
        <v>4</v>
      </c>
      <c r="O25" s="191" t="s">
        <v>41</v>
      </c>
      <c r="P25" s="191" t="s">
        <v>43</v>
      </c>
      <c r="Q25" s="191" t="s">
        <v>309</v>
      </c>
      <c r="R25" s="191" t="s">
        <v>43</v>
      </c>
      <c r="S25" s="191" t="s">
        <v>309</v>
      </c>
      <c r="T25" s="191" t="s">
        <v>43</v>
      </c>
      <c r="U25" s="191" t="s">
        <v>309</v>
      </c>
      <c r="V25" s="191" t="s">
        <v>43</v>
      </c>
      <c r="W25" s="191" t="s">
        <v>309</v>
      </c>
      <c r="X25" s="191" t="s">
        <v>43</v>
      </c>
      <c r="Y25" s="191" t="s">
        <v>142</v>
      </c>
      <c r="Z25" s="191" t="s">
        <v>4</v>
      </c>
      <c r="AA25" s="191" t="s">
        <v>41</v>
      </c>
      <c r="AB25" s="191" t="s">
        <v>43</v>
      </c>
      <c r="AC25" s="191" t="s">
        <v>142</v>
      </c>
      <c r="AD25" s="191" t="s">
        <v>4</v>
      </c>
      <c r="AE25" s="191" t="s">
        <v>41</v>
      </c>
      <c r="AF25" s="191" t="s">
        <v>43</v>
      </c>
      <c r="AG25" s="191" t="s">
        <v>142</v>
      </c>
      <c r="AH25" s="191" t="s">
        <v>4</v>
      </c>
      <c r="AI25" s="191" t="s">
        <v>41</v>
      </c>
      <c r="AJ25" s="213">
        <f>IFERROR(COUNTIF(E25:AI25,"=Р")+COUNTIF(E25:AI25,"=Р1")+COUNTIF(E25:AI25,"=ВЧ")+COUNTIF(E25:AI25,"=РН")+COUNTIF(E25:AI25,"=Р2")+COUNTIF(E25:AI25,"=Р1/РВ")+COUNTIF(E25:AI25,"=Р2/РВ")+COUNTIF(E25:AI25,"=ВЧ/РВ")+COUNTIF(E25:AI25,"=РН/РВ"),0)</f>
        <v>19</v>
      </c>
      <c r="AK25" s="202">
        <f>IFERROR(SUMIF(E25:AI25,"=Р2",E26:AI26)+SUMIF(E25:AI25,"=ВЧ/РВ",E26:AI26)+SUMIF(E25:AI25,"=РН/РВ",E26:AI26)+SUMIF(E25:AI25,"=Р1/РВ",E26:AI26)+SUMIF(E25:AI25,"=ВЧ2/РВ",E26:AI26)+SUMIF(E25:AI25,"=Р2/РВ",E26:AI26)+SUMIF(E25:AI25,"=Р",E26:AI26)+SUMIF(E25:AI25,"=Р1",E26:AI26)+SUMIF(E25:AI25,"=ВЧ1",E26:AI26)+SUMIF(E25:AI25,"=РН",E26:AI26)+SUMIF(E25:AI25,"=ВЧ",E26:AI26),0)</f>
        <v>168</v>
      </c>
      <c r="AL25" s="202">
        <f>IFERROR(SUMIF(E25:AI25,"=НУ",E26:AI26),0)</f>
        <v>0</v>
      </c>
      <c r="AM25" s="202">
        <f>IFERROR(SUMIF(E25:AI25,"=РН",E26:AI26)+SUMIF(E25:AI25,"=РН/РВ",E26:AI26)+SUMIFS(E26:AI26,E25:AI25,"=Р2",E26:AI26,"=8"),0)</f>
        <v>72</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30</v>
      </c>
      <c r="AO25" s="202">
        <f>IFERROR(SUMIF(E25:AI25,"=РВ",E26:AI26)+SUMIF(E25:AI25,"=ВЧ/РВ",E26:AI26)+SUMIF(E25:AI25,"=РН/РВ",E26:AI26)+SUMIF(E25:AI25,"=Р1/РВ",E26:AI26)+SUMIF(E25:AI25,"=ВЧ2/РВ",E26:AI26)+SUMIF(E25:AI25,"=Р2/РВ",E26:AI26),0)</f>
        <v>0</v>
      </c>
      <c r="AP25" s="202">
        <f>IFERROR(COUNTIF(E25:AI25,"=ВВ")+COUNTIF(E25:AI25,"=Р1/ВВ")+COUNTIF(E25:AI25,"=РН/ВВ")+COUNTIF(E25:AI25,"=ВЧ/ВВ"),0)</f>
        <v>7</v>
      </c>
      <c r="AQ25" s="202">
        <f>SUM(AR25:AZ25)</f>
        <v>0</v>
      </c>
      <c r="AR25" s="202">
        <f>IFERROR(SUMIF(E25:AI25,"=В",E26:AI26)+SUMIF(E25:AI25,"=Ч",E26:AI26)+SUMIF(E25:AI25,"=ВБ",E26:AI26),0)</f>
        <v>0</v>
      </c>
      <c r="AS25" s="202">
        <f>IFERROR(SUMIF(E25:AI25,"=Н",E26:AI26),0)</f>
        <v>0</v>
      </c>
      <c r="AT25" s="202">
        <f>IFERROR(SUMIF(E25:AI25,"=НА",E26:AI26),0)</f>
        <v>0</v>
      </c>
      <c r="AU25" s="202">
        <f>IFERROR(SUMIF(E25:AI25,"=ВП",E26:AI26),0)</f>
        <v>0</v>
      </c>
      <c r="AV25" s="202">
        <f>IFERROR(SUMIF(E25:AI25,"=ДД",E26:AI26),0)</f>
        <v>0</v>
      </c>
      <c r="AW25" s="198">
        <f>IFERROR(SUMIF(E25:AI25,"=ДО",E26:AI26),0)</f>
        <v>0</v>
      </c>
      <c r="AX25" s="202">
        <f>IFERROR(SUMIF(E25:AI25,"=ТН",E26:AI26),0)</f>
        <v>0</v>
      </c>
      <c r="AY25" s="202">
        <f>IFERROR(SUMIF(E25:AI25,"=ВД",E26:AI26),0)</f>
        <v>0</v>
      </c>
      <c r="AZ25" s="200">
        <f>IFERROR(SUMIF(E25:AI25,"=ІН",E26:AI26),0)+SUMIF(E25:AI25,"=НЗ",E26:AI26)</f>
        <v>0</v>
      </c>
    </row>
    <row r="26" spans="1:53" s="171" customFormat="1" ht="20.100000000000001" customHeight="1" thickBot="1" x14ac:dyDescent="0.25">
      <c r="A26" s="280"/>
      <c r="B26" s="229"/>
      <c r="C26" s="229"/>
      <c r="D26" s="231"/>
      <c r="E26" s="192"/>
      <c r="F26" s="192"/>
      <c r="G26" s="192">
        <v>4</v>
      </c>
      <c r="H26" s="192">
        <v>8</v>
      </c>
      <c r="I26" s="192"/>
      <c r="J26" s="192">
        <v>12</v>
      </c>
      <c r="K26" s="192">
        <v>4</v>
      </c>
      <c r="L26" s="192">
        <v>8</v>
      </c>
      <c r="M26" s="192"/>
      <c r="N26" s="192">
        <v>12</v>
      </c>
      <c r="O26" s="192">
        <v>4</v>
      </c>
      <c r="P26" s="192">
        <v>8</v>
      </c>
      <c r="Q26" s="192">
        <v>4</v>
      </c>
      <c r="R26" s="192">
        <v>8</v>
      </c>
      <c r="S26" s="192">
        <v>4</v>
      </c>
      <c r="T26" s="192">
        <v>8</v>
      </c>
      <c r="U26" s="192">
        <v>4</v>
      </c>
      <c r="V26" s="192">
        <v>8</v>
      </c>
      <c r="W26" s="192">
        <v>4</v>
      </c>
      <c r="X26" s="192">
        <v>8</v>
      </c>
      <c r="Y26" s="192"/>
      <c r="Z26" s="192">
        <v>12</v>
      </c>
      <c r="AA26" s="192">
        <v>4</v>
      </c>
      <c r="AB26" s="192">
        <v>8</v>
      </c>
      <c r="AC26" s="192"/>
      <c r="AD26" s="192">
        <v>8</v>
      </c>
      <c r="AE26" s="192">
        <v>4</v>
      </c>
      <c r="AF26" s="192">
        <v>8</v>
      </c>
      <c r="AG26" s="192"/>
      <c r="AH26" s="192">
        <v>12</v>
      </c>
      <c r="AI26" s="192">
        <v>4</v>
      </c>
      <c r="AJ26" s="214"/>
      <c r="AK26" s="203"/>
      <c r="AL26" s="203"/>
      <c r="AM26" s="203"/>
      <c r="AN26" s="212"/>
      <c r="AO26" s="203"/>
      <c r="AP26" s="203"/>
      <c r="AQ26" s="203"/>
      <c r="AR26" s="203"/>
      <c r="AS26" s="203"/>
      <c r="AT26" s="203"/>
      <c r="AU26" s="203"/>
      <c r="AV26" s="203"/>
      <c r="AW26" s="199"/>
      <c r="AX26" s="203"/>
      <c r="AY26" s="203"/>
      <c r="AZ26" s="201"/>
    </row>
    <row r="27" spans="1:53" s="171" customFormat="1" ht="20.100000000000001" customHeight="1" x14ac:dyDescent="0.2">
      <c r="A27" s="279">
        <v>6</v>
      </c>
      <c r="B27" s="228" t="s">
        <v>311</v>
      </c>
      <c r="C27" s="228">
        <v>2198</v>
      </c>
      <c r="D27" s="230" t="s">
        <v>65</v>
      </c>
      <c r="E27" s="191" t="s">
        <v>68</v>
      </c>
      <c r="F27" s="191" t="s">
        <v>68</v>
      </c>
      <c r="G27" s="191" t="s">
        <v>68</v>
      </c>
      <c r="H27" s="191" t="s">
        <v>68</v>
      </c>
      <c r="I27" s="191" t="s">
        <v>68</v>
      </c>
      <c r="J27" s="191" t="s">
        <v>68</v>
      </c>
      <c r="K27" s="191" t="s">
        <v>68</v>
      </c>
      <c r="L27" s="191" t="s">
        <v>68</v>
      </c>
      <c r="M27" s="191" t="s">
        <v>68</v>
      </c>
      <c r="N27" s="191" t="s">
        <v>68</v>
      </c>
      <c r="O27" s="191" t="s">
        <v>68</v>
      </c>
      <c r="P27" s="191" t="s">
        <v>68</v>
      </c>
      <c r="Q27" s="191" t="s">
        <v>68</v>
      </c>
      <c r="R27" s="191" t="s">
        <v>68</v>
      </c>
      <c r="S27" s="191" t="s">
        <v>68</v>
      </c>
      <c r="T27" s="191" t="s">
        <v>68</v>
      </c>
      <c r="U27" s="191" t="s">
        <v>68</v>
      </c>
      <c r="V27" s="191" t="s">
        <v>68</v>
      </c>
      <c r="W27" s="191" t="s">
        <v>68</v>
      </c>
      <c r="X27" s="191" t="s">
        <v>68</v>
      </c>
      <c r="Y27" s="191" t="s">
        <v>68</v>
      </c>
      <c r="Z27" s="191" t="s">
        <v>68</v>
      </c>
      <c r="AA27" s="191" t="s">
        <v>68</v>
      </c>
      <c r="AB27" s="191" t="s">
        <v>68</v>
      </c>
      <c r="AC27" s="191" t="s">
        <v>68</v>
      </c>
      <c r="AD27" s="191" t="s">
        <v>68</v>
      </c>
      <c r="AE27" s="191" t="s">
        <v>68</v>
      </c>
      <c r="AF27" s="191" t="s">
        <v>68</v>
      </c>
      <c r="AG27" s="191" t="s">
        <v>68</v>
      </c>
      <c r="AH27" s="191" t="s">
        <v>68</v>
      </c>
      <c r="AI27" s="191" t="s">
        <v>68</v>
      </c>
      <c r="AJ27" s="213">
        <f>IFERROR(COUNTIF(E27:AI27,"=Р")+COUNTIF(E27:AI27,"=Р1")+COUNTIF(E27:AI27,"=ВЧ")+COUNTIF(E27:AI27,"=РН")+COUNTIF(E27:AI27,"=Р2")+COUNTIF(E27:AI27,"=Р1/РВ")+COUNTIF(E27:AI27,"=Р2/РВ")+COUNTIF(E27:AI27,"=ВЧ/РВ")+COUNTIF(E27:AI27,"=РН/РВ"),0)</f>
        <v>0</v>
      </c>
      <c r="AK27" s="202">
        <f>IFERROR(SUMIF(E27:AI27,"=Р2",E28:AI28)+SUMIF(E27:AI27,"=ВЧ/РВ",E28:AI28)+SUMIF(E27:AI27,"=РН/РВ",E28:AI28)+SUMIF(E27:AI27,"=Р1/РВ",E28:AI28)+SUMIF(E27:AI27,"=ВЧ2/РВ",E28:AI28)+SUMIF(E27:AI27,"=Р2/РВ",E28:AI28)+SUMIF(E27:AI27,"=Р",E28:AI28)+SUMIF(E27:AI27,"=Р1",E28:AI28)+SUMIF(E27:AI27,"=ВЧ1",E28:AI28)+SUMIF(E27:AI27,"=РН",E28:AI28)+SUMIF(E27:AI27,"=ВЧ",E28:AI28),0)</f>
        <v>0</v>
      </c>
      <c r="AL27" s="202">
        <f>IFERROR(SUMIF(E27:AI27,"=НУ",E28:AI28),0)</f>
        <v>0</v>
      </c>
      <c r="AM27" s="202">
        <f>IFERROR(SUMIF(E27:AI27,"=РН",E28:AI28)+SUMIF(E27:AI27,"=РН/РВ",E28:AI28)+SUMIFS(E28:AI28,E27:AI27,"=Р2",E28:AI28,"=8"),0)</f>
        <v>0</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0</v>
      </c>
      <c r="AO27" s="202">
        <f>IFERROR(SUMIF(E27:AI27,"=РВ",E28:AI28)+SUMIF(E27:AI27,"=ВЧ/РВ",E28:AI28)+SUMIF(E27:AI27,"=РН/РВ",E28:AI28)+SUMIF(E27:AI27,"=Р1/РВ",E28:AI28)+SUMIF(E27:AI27,"=ВЧ2/РВ",E28:AI28)+SUMIF(E27:AI27,"=Р2/РВ",E28:AI28),0)</f>
        <v>0</v>
      </c>
      <c r="AP27" s="202">
        <f>IFERROR(COUNTIF(E27:AI27,"=ВВ")+COUNTIF(E27:AI27,"=Р1/ВВ")+COUNTIF(E27:AI27,"=РН/ВВ")+COUNTIF(E27:AI27,"=ВЧ/ВВ"),0)</f>
        <v>0</v>
      </c>
      <c r="AQ27" s="202">
        <f>SUM(AR27:AZ27)</f>
        <v>168</v>
      </c>
      <c r="AR27" s="202">
        <f>IFERROR(SUMIF(E27:AI27,"=В",E28:AI28)+SUMIF(E27:AI27,"=Ч",E28:AI28)+SUMIF(E27:AI27,"=ВБ",E28:AI28),0)</f>
        <v>0</v>
      </c>
      <c r="AS27" s="202">
        <f>IFERROR(SUMIF(E27:AI27,"=Н",E28:AI28),0)</f>
        <v>0</v>
      </c>
      <c r="AT27" s="202">
        <f>IFERROR(SUMIF(E27:AI27,"=НА",E28:AI28),0)</f>
        <v>0</v>
      </c>
      <c r="AU27" s="202">
        <f>IFERROR(SUMIF(E27:AI27,"=ВП",E28:AI28),0)</f>
        <v>0</v>
      </c>
      <c r="AV27" s="202">
        <f>IFERROR(SUMIF(E27:AI27,"=ДД",E28:AI28),0)</f>
        <v>0</v>
      </c>
      <c r="AW27" s="198">
        <f>IFERROR(SUMIF(E27:AI27,"=ДО",E28:AI28),0)</f>
        <v>0</v>
      </c>
      <c r="AX27" s="202">
        <f>IFERROR(SUMIF(E27:AI27,"=ТН",E28:AI28),0)</f>
        <v>0</v>
      </c>
      <c r="AY27" s="202">
        <f>IFERROR(SUMIF(E27:AI27,"=ВД",E28:AI28),0)</f>
        <v>0</v>
      </c>
      <c r="AZ27" s="200">
        <f>IFERROR(SUMIF(E27:AI27,"=ІН",E28:AI28),0)+SUMIF(E27:AI27,"=НЗ",E28:AI28)</f>
        <v>168</v>
      </c>
    </row>
    <row r="28" spans="1:53" s="171" customFormat="1" ht="20.100000000000001" customHeight="1" thickBot="1" x14ac:dyDescent="0.25">
      <c r="A28" s="280"/>
      <c r="B28" s="229"/>
      <c r="C28" s="229"/>
      <c r="D28" s="231"/>
      <c r="E28" s="192">
        <v>8</v>
      </c>
      <c r="F28" s="192"/>
      <c r="G28" s="192">
        <v>12</v>
      </c>
      <c r="H28" s="192">
        <v>4</v>
      </c>
      <c r="I28" s="192">
        <v>8</v>
      </c>
      <c r="J28" s="192"/>
      <c r="K28" s="192">
        <v>12</v>
      </c>
      <c r="L28" s="192">
        <v>4</v>
      </c>
      <c r="M28" s="192"/>
      <c r="N28" s="192"/>
      <c r="O28" s="192"/>
      <c r="P28" s="192">
        <v>12</v>
      </c>
      <c r="Q28" s="192">
        <v>8</v>
      </c>
      <c r="R28" s="192"/>
      <c r="S28" s="192">
        <v>12</v>
      </c>
      <c r="T28" s="192">
        <v>4</v>
      </c>
      <c r="U28" s="192">
        <v>8</v>
      </c>
      <c r="V28" s="192"/>
      <c r="W28" s="192"/>
      <c r="X28" s="192">
        <v>12</v>
      </c>
      <c r="Y28" s="192">
        <v>8</v>
      </c>
      <c r="Z28" s="192">
        <v>12</v>
      </c>
      <c r="AA28" s="192"/>
      <c r="AB28" s="192">
        <v>12</v>
      </c>
      <c r="AC28" s="192">
        <v>8</v>
      </c>
      <c r="AD28" s="192"/>
      <c r="AE28" s="192">
        <v>12</v>
      </c>
      <c r="AF28" s="192">
        <v>4</v>
      </c>
      <c r="AG28" s="192">
        <v>8</v>
      </c>
      <c r="AH28" s="192"/>
      <c r="AI28" s="192"/>
      <c r="AJ28" s="214"/>
      <c r="AK28" s="203"/>
      <c r="AL28" s="203"/>
      <c r="AM28" s="203"/>
      <c r="AN28" s="212"/>
      <c r="AO28" s="203"/>
      <c r="AP28" s="203"/>
      <c r="AQ28" s="203"/>
      <c r="AR28" s="203"/>
      <c r="AS28" s="203"/>
      <c r="AT28" s="203"/>
      <c r="AU28" s="203"/>
      <c r="AV28" s="203"/>
      <c r="AW28" s="199"/>
      <c r="AX28" s="203"/>
      <c r="AY28" s="203"/>
      <c r="AZ28" s="201"/>
    </row>
    <row r="29" spans="1:53" s="171" customFormat="1" ht="20.100000000000001" customHeight="1" x14ac:dyDescent="0.2">
      <c r="A29" s="279">
        <v>7</v>
      </c>
      <c r="B29" s="228" t="s">
        <v>296</v>
      </c>
      <c r="C29" s="228">
        <v>1382</v>
      </c>
      <c r="D29" s="230" t="s">
        <v>65</v>
      </c>
      <c r="E29" s="191" t="s">
        <v>142</v>
      </c>
      <c r="F29" s="191" t="s">
        <v>309</v>
      </c>
      <c r="G29" s="191" t="s">
        <v>43</v>
      </c>
      <c r="H29" s="191" t="s">
        <v>142</v>
      </c>
      <c r="I29" s="191" t="s">
        <v>4</v>
      </c>
      <c r="J29" s="191" t="s">
        <v>41</v>
      </c>
      <c r="K29" s="191" t="s">
        <v>43</v>
      </c>
      <c r="L29" s="191" t="s">
        <v>142</v>
      </c>
      <c r="M29" s="191" t="s">
        <v>4</v>
      </c>
      <c r="N29" s="191" t="s">
        <v>41</v>
      </c>
      <c r="O29" s="191" t="s">
        <v>43</v>
      </c>
      <c r="P29" s="191" t="s">
        <v>142</v>
      </c>
      <c r="Q29" s="191" t="s">
        <v>142</v>
      </c>
      <c r="R29" s="191" t="s">
        <v>309</v>
      </c>
      <c r="S29" s="191" t="s">
        <v>43</v>
      </c>
      <c r="T29" s="191" t="s">
        <v>142</v>
      </c>
      <c r="U29" s="191" t="s">
        <v>4</v>
      </c>
      <c r="V29" s="191" t="s">
        <v>41</v>
      </c>
      <c r="W29" s="191" t="s">
        <v>43</v>
      </c>
      <c r="X29" s="191" t="s">
        <v>142</v>
      </c>
      <c r="Y29" s="191" t="s">
        <v>4</v>
      </c>
      <c r="Z29" s="191" t="s">
        <v>41</v>
      </c>
      <c r="AA29" s="191" t="s">
        <v>43</v>
      </c>
      <c r="AB29" s="191" t="s">
        <v>142</v>
      </c>
      <c r="AC29" s="191" t="s">
        <v>4</v>
      </c>
      <c r="AD29" s="191" t="s">
        <v>41</v>
      </c>
      <c r="AE29" s="191" t="s">
        <v>43</v>
      </c>
      <c r="AF29" s="191" t="s">
        <v>142</v>
      </c>
      <c r="AG29" s="191" t="s">
        <v>4</v>
      </c>
      <c r="AH29" s="191" t="s">
        <v>41</v>
      </c>
      <c r="AI29" s="191" t="s">
        <v>43</v>
      </c>
      <c r="AJ29" s="213">
        <f>IFERROR(COUNTIF(E29:AI29,"=Р")+COUNTIF(E29:AI29,"=Р1")+COUNTIF(E29:AI29,"=ВЧ")+COUNTIF(E29:AI29,"=РН")+COUNTIF(E29:AI29,"=Р2")+COUNTIF(E29:AI29,"=Р1/РВ")+COUNTIF(E29:AI29,"=Р2/РВ")+COUNTIF(E29:AI29,"=ВЧ/РВ")+COUNTIF(E29:AI29,"=РН/РВ"),0)</f>
        <v>20</v>
      </c>
      <c r="AK29" s="202">
        <f>IFERROR(SUMIF(E29:AI29,"=Р2",E30:AI30)+SUMIF(E29:AI29,"=ВЧ/РВ",E30:AI30)+SUMIF(E29:AI29,"=РН/РВ",E30:AI30)+SUMIF(E29:AI29,"=Р1/РВ",E30:AI30)+SUMIF(E29:AI29,"=ВЧ2/РВ",E30:AI30)+SUMIF(E29:AI29,"=Р2/РВ",E30:AI30)+SUMIF(E29:AI29,"=Р",E30:AI30)+SUMIF(E29:AI29,"=Р1",E30:AI30)+SUMIF(E29:AI29,"=ВЧ1",E30:AI30)+SUMIF(E29:AI29,"=РН",E30:AI30)+SUMIF(E29:AI29,"=ВЧ",E30:AI30),0)</f>
        <v>168</v>
      </c>
      <c r="AL29" s="202">
        <f>IFERROR(SUMIF(E29:AI29,"=НУ",E30:AI30),0)</f>
        <v>0</v>
      </c>
      <c r="AM29" s="202">
        <f>IFERROR(SUMIF(E29:AI29,"=РН",E30:AI30)+SUMIF(E29:AI29,"=РН/РВ",E30:AI30)+SUMIFS(E30:AI30,E29:AI29,"=Р2",E30:AI30,"=8"),0)</f>
        <v>64</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28</v>
      </c>
      <c r="AO29" s="202">
        <f>IFERROR(SUMIF(E29:AI29,"=РВ",E30:AI30)+SUMIF(E29:AI29,"=ВЧ/РВ",E30:AI30)+SUMIF(E29:AI29,"=РН/РВ",E30:AI30)+SUMIF(E29:AI29,"=Р1/РВ",E30:AI30)+SUMIF(E29:AI29,"=ВЧ2/РВ",E30:AI30)+SUMIF(E29:AI29,"=Р2/РВ",E30:AI30),0)</f>
        <v>0</v>
      </c>
      <c r="AP29" s="202">
        <f>IFERROR(COUNTIF(E29:AI29,"=ВВ")+COUNTIF(E29:AI29,"=Р1/ВВ")+COUNTIF(E29:AI29,"=РН/ВВ")+COUNTIF(E29:AI29,"=ВЧ/ВВ"),0)</f>
        <v>9</v>
      </c>
      <c r="AQ29" s="202">
        <f>SUM(AR29:AZ29)</f>
        <v>0</v>
      </c>
      <c r="AR29" s="202">
        <f>IFERROR(SUMIF(E29:AI29,"=В",E30:AI30)+SUMIF(E29:AI29,"=Ч",E30:AI30)+SUMIF(E29:AI29,"=ВБ",E30:AI30),0)</f>
        <v>0</v>
      </c>
      <c r="AS29" s="202">
        <f>IFERROR(SUMIF(E29:AI29,"=Н",E30:AI30),0)</f>
        <v>0</v>
      </c>
      <c r="AT29" s="202">
        <f>IFERROR(SUMIF(E29:AI29,"=НА",E30:AI30),0)</f>
        <v>0</v>
      </c>
      <c r="AU29" s="202">
        <f>IFERROR(SUMIF(E29:AI29,"=ВП",E30:AI30),0)</f>
        <v>0</v>
      </c>
      <c r="AV29" s="202">
        <f>IFERROR(SUMIF(E29:AI29,"=ДД",E30:AI30),0)</f>
        <v>0</v>
      </c>
      <c r="AW29" s="198">
        <f>IFERROR(SUMIF(E29:AI29,"=ДО",E30:AI30),0)</f>
        <v>0</v>
      </c>
      <c r="AX29" s="202">
        <f>IFERROR(SUMIF(E29:AI29,"=ТН",E30:AI30),0)</f>
        <v>0</v>
      </c>
      <c r="AY29" s="202">
        <f>IFERROR(SUMIF(E29:AI29,"=ВД",E30:AI30),0)</f>
        <v>0</v>
      </c>
      <c r="AZ29" s="200">
        <f>IFERROR(SUMIF(E29:AI29,"=ІН",E30:AI30),0)+SUMIF(E29:AI29,"=НЗ",E30:AI30)</f>
        <v>0</v>
      </c>
    </row>
    <row r="30" spans="1:53" s="171" customFormat="1" ht="20.100000000000001" customHeight="1" thickBot="1" x14ac:dyDescent="0.25">
      <c r="A30" s="280"/>
      <c r="B30" s="229"/>
      <c r="C30" s="229"/>
      <c r="D30" s="231"/>
      <c r="E30" s="192"/>
      <c r="F30" s="192">
        <v>4</v>
      </c>
      <c r="G30" s="192">
        <v>8</v>
      </c>
      <c r="H30" s="192"/>
      <c r="I30" s="192">
        <v>12</v>
      </c>
      <c r="J30" s="192">
        <v>4</v>
      </c>
      <c r="K30" s="192">
        <v>8</v>
      </c>
      <c r="L30" s="192"/>
      <c r="M30" s="192">
        <v>12</v>
      </c>
      <c r="N30" s="192">
        <v>4</v>
      </c>
      <c r="O30" s="192">
        <v>8</v>
      </c>
      <c r="P30" s="192"/>
      <c r="Q30" s="192"/>
      <c r="R30" s="192">
        <v>4</v>
      </c>
      <c r="S30" s="192">
        <v>8</v>
      </c>
      <c r="T30" s="192"/>
      <c r="U30" s="192">
        <v>12</v>
      </c>
      <c r="V30" s="192">
        <v>4</v>
      </c>
      <c r="W30" s="192">
        <v>8</v>
      </c>
      <c r="X30" s="192"/>
      <c r="Y30" s="192">
        <v>12</v>
      </c>
      <c r="Z30" s="192">
        <v>4</v>
      </c>
      <c r="AA30" s="192">
        <v>8</v>
      </c>
      <c r="AB30" s="192"/>
      <c r="AC30" s="192">
        <v>12</v>
      </c>
      <c r="AD30" s="192">
        <v>4</v>
      </c>
      <c r="AE30" s="192">
        <v>8</v>
      </c>
      <c r="AF30" s="192"/>
      <c r="AG30" s="192">
        <v>12</v>
      </c>
      <c r="AH30" s="192">
        <v>4</v>
      </c>
      <c r="AI30" s="192">
        <v>8</v>
      </c>
      <c r="AJ30" s="214"/>
      <c r="AK30" s="203"/>
      <c r="AL30" s="203"/>
      <c r="AM30" s="203"/>
      <c r="AN30" s="212"/>
      <c r="AO30" s="203"/>
      <c r="AP30" s="203"/>
      <c r="AQ30" s="203"/>
      <c r="AR30" s="203"/>
      <c r="AS30" s="203"/>
      <c r="AT30" s="203"/>
      <c r="AU30" s="203"/>
      <c r="AV30" s="203"/>
      <c r="AW30" s="199"/>
      <c r="AX30" s="203"/>
      <c r="AY30" s="203"/>
      <c r="AZ30" s="201"/>
    </row>
    <row r="31" spans="1:53" s="170" customFormat="1" ht="20.100000000000001" customHeight="1" x14ac:dyDescent="0.2">
      <c r="A31" s="279">
        <v>8</v>
      </c>
      <c r="B31" s="228" t="s">
        <v>343</v>
      </c>
      <c r="C31" s="228">
        <v>1772</v>
      </c>
      <c r="D31" s="228" t="s">
        <v>72</v>
      </c>
      <c r="E31" s="191" t="s">
        <v>43</v>
      </c>
      <c r="F31" s="191" t="s">
        <v>142</v>
      </c>
      <c r="G31" s="191" t="s">
        <v>4</v>
      </c>
      <c r="H31" s="191" t="s">
        <v>41</v>
      </c>
      <c r="I31" s="191" t="s">
        <v>43</v>
      </c>
      <c r="J31" s="191" t="s">
        <v>142</v>
      </c>
      <c r="K31" s="191" t="s">
        <v>4</v>
      </c>
      <c r="L31" s="191" t="s">
        <v>41</v>
      </c>
      <c r="M31" s="191" t="s">
        <v>43</v>
      </c>
      <c r="N31" s="191" t="s">
        <v>142</v>
      </c>
      <c r="O31" s="191" t="s">
        <v>4</v>
      </c>
      <c r="P31" s="191" t="s">
        <v>41</v>
      </c>
      <c r="Q31" s="191" t="s">
        <v>43</v>
      </c>
      <c r="R31" s="191" t="s">
        <v>142</v>
      </c>
      <c r="S31" s="191" t="s">
        <v>4</v>
      </c>
      <c r="T31" s="191" t="s">
        <v>41</v>
      </c>
      <c r="U31" s="191" t="s">
        <v>43</v>
      </c>
      <c r="V31" s="191" t="s">
        <v>142</v>
      </c>
      <c r="W31" s="191" t="s">
        <v>4</v>
      </c>
      <c r="X31" s="191" t="s">
        <v>142</v>
      </c>
      <c r="Y31" s="191" t="s">
        <v>142</v>
      </c>
      <c r="Z31" s="191" t="s">
        <v>142</v>
      </c>
      <c r="AA31" s="191" t="s">
        <v>4</v>
      </c>
      <c r="AB31" s="191" t="s">
        <v>41</v>
      </c>
      <c r="AC31" s="191" t="s">
        <v>43</v>
      </c>
      <c r="AD31" s="191" t="s">
        <v>142</v>
      </c>
      <c r="AE31" s="191" t="s">
        <v>4</v>
      </c>
      <c r="AF31" s="191" t="s">
        <v>41</v>
      </c>
      <c r="AG31" s="191" t="s">
        <v>43</v>
      </c>
      <c r="AH31" s="191" t="s">
        <v>142</v>
      </c>
      <c r="AI31" s="191" t="s">
        <v>263</v>
      </c>
      <c r="AJ31" s="213">
        <f>IFERROR(COUNTIF(E31:AI31,"=Р")+COUNTIF(E31:AI31,"=Р1")+COUNTIF(E31:AI31,"=ВЧ")+COUNTIF(E31:AI31,"=РН")+COUNTIF(E31:AI31,"=Р2")+COUNTIF(E31:AI31,"=Р1/РВ")+COUNTIF(E31:AI31,"=Р2/РВ")+COUNTIF(E31:AI31,"=ВЧ/РВ")+COUNTIF(E31:AI31,"=РН/РВ"),0)</f>
        <v>21</v>
      </c>
      <c r="AK31" s="202">
        <f>IFERROR(SUMIF(E31:AI31,"=Р2",E32:AI32)+SUMIF(E31:AI31,"=ВЧ/РВ",E32:AI32)+SUMIF(E31:AI31,"=РН/РВ",E32:AI32)+SUMIF(E31:AI31,"=Р1/РВ",E32:AI32)+SUMIF(E31:AI31,"=ВЧ2/РВ",E32:AI32)+SUMIF(E31:AI31,"=Р2/РВ",E32:AI32)+SUMIF(E31:AI31,"=Р",E32:AI32)+SUMIF(E31:AI31,"=Р1",E32:AI32)+SUMIF(E31:AI31,"=ВЧ1",E32:AI32)+SUMIF(E31:AI31,"=РН",E32:AI32)+SUMIF(E31:AI31,"=ВЧ",E32:AI32),0)</f>
        <v>168</v>
      </c>
      <c r="AL31" s="202">
        <f>IFERROR(SUMIF(E31:AI31,"=НУ",E32:AI32),0)</f>
        <v>0</v>
      </c>
      <c r="AM31" s="202">
        <f>IFERROR(SUMIF(E31:AI31,"=РН",E32:AI32)+SUMIF(E31:AI31,"=РН/РВ",E32:AI32)+SUMIFS(E32:AI32,E31:AI31,"=Р2",E32:AI32,"=8"),0)</f>
        <v>56</v>
      </c>
      <c r="AN31" s="211">
        <f>IFERROR(SUMIF(E31:AI31,"=ВЧ",E32:AI32)+SUMIF(E31:AI31,"=ВЧ/РВ",E32:AI32)+CEILING(COUNTIFS(E31:AI31,"=Р2",E32:AI32,"=7")*4,1)+CEILING(COUNTIFS(E31:AI31,"=Р2/РВ",E32:AI32,"=7")*4,1)+SUMIFS(E32:AI32,E31:AI31,"=Р1/РВ",E32:AI32,"=12")/6+SUMIFS(E32:AI32,E31:AI31,"=ВЧ2/РВ",E32:AI32,"=4")/2+SUMIFS(E32:AI32,E31:AI31,"=Р1",E32:AI32,"=12")/6+SUMIFS(E32:AI32,E31:AI31,"=Р1",E32:AI32,"=8")/4+SUMIF(E31:AI31,"=ВЧ1",E32:AI32)/2,0)</f>
        <v>26</v>
      </c>
      <c r="AO31" s="202">
        <f>IFERROR(SUMIF(E31:AI31,"=РВ",E32:AI32)+SUMIF(E31:AI31,"=ВЧ/РВ",E32:AI32)+SUMIF(E31:AI31,"=РН/РВ",E32:AI32)+SUMIF(E31:AI31,"=Р1/РВ",E32:AI32)+SUMIF(E31:AI31,"=ВЧ2/РВ",E32:AI32)+SUMIF(E31:AI31,"=Р2/РВ",E32:AI32),0)</f>
        <v>0</v>
      </c>
      <c r="AP31" s="202">
        <f>IFERROR(COUNTIF(E31:AI31,"=ВВ")+COUNTIF(E31:AI31,"=Р1/ВВ")+COUNTIF(E31:AI31,"=РН/ВВ")+COUNTIF(E31:AI31,"=ВЧ/ВВ"),0)</f>
        <v>10</v>
      </c>
      <c r="AQ31" s="202">
        <f>SUM(AR31:AZ31)</f>
        <v>0</v>
      </c>
      <c r="AR31" s="202">
        <f>IFERROR(SUMIF(E31:AI31,"=В",E32:AI32)+SUMIF(E31:AI31,"=Ч",E32:AI32)+SUMIF(E31:AI31,"=ВБ",E32:AI32),0)</f>
        <v>0</v>
      </c>
      <c r="AS31" s="202">
        <f>IFERROR(SUMIF(E31:AI31,"=Н",E32:AI32),0)</f>
        <v>0</v>
      </c>
      <c r="AT31" s="202">
        <f>IFERROR(SUMIF(E31:AI31,"=НА",E32:AI32),0)</f>
        <v>0</v>
      </c>
      <c r="AU31" s="202">
        <f>IFERROR(SUMIF(E31:AI31,"=ВП",E32:AI32),0)</f>
        <v>0</v>
      </c>
      <c r="AV31" s="202">
        <f>IFERROR(SUMIF(E31:AI31,"=ДД",E32:AI32),0)</f>
        <v>0</v>
      </c>
      <c r="AW31" s="202">
        <f>IFERROR(SUMIF(E31:AI31,"=ДО",E32:AI32),0)</f>
        <v>0</v>
      </c>
      <c r="AX31" s="202">
        <f>IFERROR(SUMIF(E31:AI31,"=ТН",E32:AI32),0)</f>
        <v>0</v>
      </c>
      <c r="AY31" s="202">
        <f>IFERROR(SUMIF(E31:AI31,"=ВД",E32:AI32),0)</f>
        <v>0</v>
      </c>
      <c r="AZ31" s="200">
        <f>IFERROR(SUMIF(E31:AI31,"=ІН",E32:AI32),0)+SUMIF(E31:AI31,"=НЗ",E32:AI32)</f>
        <v>0</v>
      </c>
      <c r="BA31" s="281">
        <v>0</v>
      </c>
    </row>
    <row r="32" spans="1:53" s="170" customFormat="1" ht="20.100000000000001" customHeight="1" thickBot="1" x14ac:dyDescent="0.25">
      <c r="A32" s="280"/>
      <c r="B32" s="229"/>
      <c r="C32" s="229"/>
      <c r="D32" s="229"/>
      <c r="E32" s="192">
        <v>8</v>
      </c>
      <c r="F32" s="192"/>
      <c r="G32" s="192">
        <v>12</v>
      </c>
      <c r="H32" s="192">
        <v>4</v>
      </c>
      <c r="I32" s="192">
        <v>8</v>
      </c>
      <c r="J32" s="192"/>
      <c r="K32" s="192">
        <v>12</v>
      </c>
      <c r="L32" s="192">
        <v>4</v>
      </c>
      <c r="M32" s="192">
        <v>8</v>
      </c>
      <c r="N32" s="192"/>
      <c r="O32" s="192">
        <v>12</v>
      </c>
      <c r="P32" s="192">
        <v>4</v>
      </c>
      <c r="Q32" s="192">
        <v>8</v>
      </c>
      <c r="R32" s="192"/>
      <c r="S32" s="192">
        <v>12</v>
      </c>
      <c r="T32" s="192">
        <v>4</v>
      </c>
      <c r="U32" s="192">
        <v>8</v>
      </c>
      <c r="V32" s="192"/>
      <c r="W32" s="192">
        <v>4</v>
      </c>
      <c r="X32" s="192"/>
      <c r="Y32" s="192"/>
      <c r="Z32" s="192"/>
      <c r="AA32" s="192">
        <v>12</v>
      </c>
      <c r="AB32" s="192">
        <v>4</v>
      </c>
      <c r="AC32" s="192">
        <v>8</v>
      </c>
      <c r="AD32" s="192"/>
      <c r="AE32" s="192">
        <v>12</v>
      </c>
      <c r="AF32" s="192">
        <v>4</v>
      </c>
      <c r="AG32" s="192">
        <v>8</v>
      </c>
      <c r="AH32" s="192"/>
      <c r="AI32" s="192">
        <v>12</v>
      </c>
      <c r="AJ32" s="214"/>
      <c r="AK32" s="203"/>
      <c r="AL32" s="203"/>
      <c r="AM32" s="203"/>
      <c r="AN32" s="212"/>
      <c r="AO32" s="203"/>
      <c r="AP32" s="203"/>
      <c r="AQ32" s="203"/>
      <c r="AR32" s="203"/>
      <c r="AS32" s="203"/>
      <c r="AT32" s="203"/>
      <c r="AU32" s="203"/>
      <c r="AV32" s="203"/>
      <c r="AW32" s="203"/>
      <c r="AX32" s="203"/>
      <c r="AY32" s="203"/>
      <c r="AZ32" s="201"/>
      <c r="BA32" s="282"/>
    </row>
    <row r="33" spans="1:53" ht="20.100000000000001" customHeight="1" x14ac:dyDescent="0.2">
      <c r="A33" s="279">
        <v>9</v>
      </c>
      <c r="B33" s="228" t="s">
        <v>339</v>
      </c>
      <c r="C33" s="228">
        <v>1311</v>
      </c>
      <c r="D33" s="228" t="s">
        <v>72</v>
      </c>
      <c r="E33" s="191" t="s">
        <v>142</v>
      </c>
      <c r="F33" s="191" t="s">
        <v>4</v>
      </c>
      <c r="G33" s="191" t="s">
        <v>41</v>
      </c>
      <c r="H33" s="191" t="s">
        <v>43</v>
      </c>
      <c r="I33" s="191" t="s">
        <v>142</v>
      </c>
      <c r="J33" s="191" t="s">
        <v>4</v>
      </c>
      <c r="K33" s="191" t="s">
        <v>142</v>
      </c>
      <c r="L33" s="191" t="s">
        <v>142</v>
      </c>
      <c r="M33" s="191" t="s">
        <v>142</v>
      </c>
      <c r="N33" s="191" t="s">
        <v>4</v>
      </c>
      <c r="O33" s="191" t="s">
        <v>41</v>
      </c>
      <c r="P33" s="191" t="s">
        <v>43</v>
      </c>
      <c r="Q33" s="191" t="s">
        <v>142</v>
      </c>
      <c r="R33" s="191" t="s">
        <v>4</v>
      </c>
      <c r="S33" s="191" t="s">
        <v>41</v>
      </c>
      <c r="T33" s="191" t="s">
        <v>43</v>
      </c>
      <c r="U33" s="191" t="s">
        <v>142</v>
      </c>
      <c r="V33" s="191" t="s">
        <v>4</v>
      </c>
      <c r="W33" s="191" t="s">
        <v>41</v>
      </c>
      <c r="X33" s="191" t="s">
        <v>43</v>
      </c>
      <c r="Y33" s="191" t="s">
        <v>142</v>
      </c>
      <c r="Z33" s="191" t="s">
        <v>4</v>
      </c>
      <c r="AA33" s="191" t="s">
        <v>41</v>
      </c>
      <c r="AB33" s="191" t="s">
        <v>43</v>
      </c>
      <c r="AC33" s="191" t="s">
        <v>142</v>
      </c>
      <c r="AD33" s="191" t="s">
        <v>4</v>
      </c>
      <c r="AE33" s="191" t="s">
        <v>41</v>
      </c>
      <c r="AF33" s="191" t="s">
        <v>43</v>
      </c>
      <c r="AG33" s="191" t="s">
        <v>142</v>
      </c>
      <c r="AH33" s="191" t="s">
        <v>4</v>
      </c>
      <c r="AI33" s="191" t="s">
        <v>41</v>
      </c>
      <c r="AJ33" s="213">
        <f>IFERROR(COUNTIF(E33:AI33,"=Р")+COUNTIF(E33:AI33,"=Р1")+COUNTIF(E33:AI33,"=ВЧ")+COUNTIF(E33:AI33,"=РН")+COUNTIF(E33:AI33,"=Р2")+COUNTIF(E33:AI33,"=Р1/РВ")+COUNTIF(E33:AI33,"=Р2/РВ")+COUNTIF(E33:AI33,"=ВЧ/РВ")+COUNTIF(E33:AI33,"=РН/РВ"),0)</f>
        <v>21</v>
      </c>
      <c r="AK33" s="202">
        <f>IFERROR(SUMIF(E33:AI33,"=Р2",E34:AI34)+SUMIF(E33:AI33,"=ВЧ/РВ",E34:AI34)+SUMIF(E33:AI33,"=РН/РВ",E34:AI34)+SUMIF(E33:AI33,"=Р1/РВ",E34:AI34)+SUMIF(E33:AI33,"=ВЧ2/РВ",E34:AI34)+SUMIF(E33:AI33,"=Р2/РВ",E34:AI34)+SUMIF(E33:AI33,"=Р",E34:AI34)+SUMIF(E33:AI33,"=Р1",E34:AI34)+SUMIF(E33:AI33,"=ВЧ1",E34:AI34)+SUMIF(E33:AI33,"=РН",E34:AI34)+SUMIF(E33:AI33,"=ВЧ",E34:AI34),0)</f>
        <v>168</v>
      </c>
      <c r="AL33" s="202">
        <f>IFERROR(SUMIF(E33:AI33,"=НУ",E34:AI34),0)</f>
        <v>0</v>
      </c>
      <c r="AM33" s="202">
        <f>IFERROR(SUMIF(E33:AI33,"=РН",E34:AI34)+SUMIF(E33:AI33,"=РН/РВ",E34:AI34)+SUMIFS(E34:AI34,E33:AI33,"=Р2",E34:AI34,"=8"),0)</f>
        <v>48</v>
      </c>
      <c r="AN33" s="202">
        <f>IFERROR(SUMIF(E33:AI33,"=ВЧ",E34:AI34)+SUMIF(E33:AI33,"=ВЧ/РВ",E34:AI34)+CEILING(COUNTIFS(E33:AI33,"=Р2",E34:AI34,"=7")*4,1)+CEILING(COUNTIFS(E33:AI33,"=Р2/РВ",E34:AI34,"=7")*4,1)+SUMIFS(E34:AI34,E33:AI33,"=Р1/РВ",E34:AI34,"=12")/6+SUMIFS(E34:AI34,E33:AI33,"=ВЧ2/РВ",E34:AI34,"=4")/2+SUMIFS(E34:AI34,E33:AI33,"=Р1",E34:AI34,"=12")/6+SUMIFS(E34:AI34,E33:AI33,"=Р1",E34:AI34,"=8")/4+SUMIF(E33:AI33,"=ВЧ1",E34:AI34)/2,0)</f>
        <v>28</v>
      </c>
      <c r="AO33" s="202">
        <f>IFERROR(SUMIF(E33:AI33,"=РВ",E34:AI34)+SUMIF(E33:AI33,"=ВЧ/РВ",E34:AI34)+SUMIF(E33:AI33,"=РН/РВ",E34:AI34)+SUMIF(E33:AI33,"=Р1/РВ",E34:AI34)+SUMIF(E33:AI33,"=ВЧ2/РВ",E34:AI34)+SUMIF(E33:AI33,"=Р2/РВ",E34:AI34),0)</f>
        <v>0</v>
      </c>
      <c r="AP33" s="202">
        <f>IFERROR(COUNTIF(E33:AI33,"=ВВ")+COUNTIF(E33:AI33,"=Р1/ВВ")+COUNTIF(E33:AI33,"=РН/ВВ")+COUNTIF(E33:AI33,"=ВЧ/ВВ"),0)</f>
        <v>10</v>
      </c>
      <c r="AQ33" s="202">
        <f>SUM(AR33:AZ33)</f>
        <v>0</v>
      </c>
      <c r="AR33" s="202">
        <f>IFERROR(SUMIF(E33:AI33,"=В",E34:AI34)+SUMIF(E33:AI33,"=Ч",E34:AI34)+SUMIF(E33:AI33,"=ВБ",E34:AI34),0)</f>
        <v>0</v>
      </c>
      <c r="AS33" s="202">
        <f>IFERROR(SUMIF(E33:AI33,"=Н",E34:AI34),0)</f>
        <v>0</v>
      </c>
      <c r="AT33" s="202">
        <f>IFERROR(SUMIF(E33:AI33,"=НА",E34:AI34),0)</f>
        <v>0</v>
      </c>
      <c r="AU33" s="202">
        <f>IFERROR(SUMIF(E33:AI33,"=ВП",E34:AI34),0)</f>
        <v>0</v>
      </c>
      <c r="AV33" s="202">
        <f>IFERROR(SUMIF(E33:AI33,"=ДД",E34:AI34),0)</f>
        <v>0</v>
      </c>
      <c r="AW33" s="202">
        <f>IFERROR(SUMIF(E33:AI33,"=ДО",E34:AI34),0)</f>
        <v>0</v>
      </c>
      <c r="AX33" s="202">
        <f>IFERROR(SUMIF(E33:AI33,"=ТН",E34:AI34),0)</f>
        <v>0</v>
      </c>
      <c r="AY33" s="202">
        <f>IFERROR(SUMIF(E33:AI33,"=ВД",E34:AI34),0)</f>
        <v>0</v>
      </c>
      <c r="AZ33" s="200">
        <f>IFERROR(SUMIF(E33:AI33,"=ІН",E34:AI34),0)+SUMIF(E33:AI33,"=НЗ",E34:AI34)</f>
        <v>0</v>
      </c>
      <c r="BA33" s="285">
        <v>0</v>
      </c>
    </row>
    <row r="34" spans="1:53" ht="20.100000000000001" customHeight="1" thickBot="1" x14ac:dyDescent="0.25">
      <c r="A34" s="280"/>
      <c r="B34" s="229"/>
      <c r="C34" s="229"/>
      <c r="D34" s="229"/>
      <c r="E34" s="192"/>
      <c r="F34" s="192">
        <v>12</v>
      </c>
      <c r="G34" s="192">
        <v>4</v>
      </c>
      <c r="H34" s="192">
        <v>8</v>
      </c>
      <c r="I34" s="192"/>
      <c r="J34" s="192">
        <v>8</v>
      </c>
      <c r="K34" s="192"/>
      <c r="L34" s="192"/>
      <c r="M34" s="192"/>
      <c r="N34" s="192">
        <v>12</v>
      </c>
      <c r="O34" s="192">
        <v>4</v>
      </c>
      <c r="P34" s="192">
        <v>8</v>
      </c>
      <c r="Q34" s="192"/>
      <c r="R34" s="192">
        <v>12</v>
      </c>
      <c r="S34" s="192">
        <v>4</v>
      </c>
      <c r="T34" s="192">
        <v>8</v>
      </c>
      <c r="U34" s="192"/>
      <c r="V34" s="192">
        <v>12</v>
      </c>
      <c r="W34" s="192">
        <v>4</v>
      </c>
      <c r="X34" s="192">
        <v>8</v>
      </c>
      <c r="Y34" s="192"/>
      <c r="Z34" s="192">
        <v>12</v>
      </c>
      <c r="AA34" s="192">
        <v>4</v>
      </c>
      <c r="AB34" s="192">
        <v>8</v>
      </c>
      <c r="AC34" s="192"/>
      <c r="AD34" s="192">
        <v>12</v>
      </c>
      <c r="AE34" s="192">
        <v>4</v>
      </c>
      <c r="AF34" s="192">
        <v>8</v>
      </c>
      <c r="AG34" s="192"/>
      <c r="AH34" s="192">
        <v>12</v>
      </c>
      <c r="AI34" s="192">
        <v>4</v>
      </c>
      <c r="AJ34" s="214"/>
      <c r="AK34" s="203"/>
      <c r="AL34" s="203"/>
      <c r="AM34" s="203"/>
      <c r="AN34" s="203"/>
      <c r="AO34" s="203"/>
      <c r="AP34" s="203"/>
      <c r="AQ34" s="203"/>
      <c r="AR34" s="203"/>
      <c r="AS34" s="203"/>
      <c r="AT34" s="203"/>
      <c r="AU34" s="203"/>
      <c r="AV34" s="203"/>
      <c r="AW34" s="203"/>
      <c r="AX34" s="203"/>
      <c r="AY34" s="203"/>
      <c r="AZ34" s="201"/>
      <c r="BA34" s="285"/>
    </row>
    <row r="35" spans="1:53" s="171" customFormat="1" ht="20.100000000000001" customHeight="1" x14ac:dyDescent="0.2">
      <c r="A35" s="279">
        <v>10</v>
      </c>
      <c r="B35" s="228" t="s">
        <v>163</v>
      </c>
      <c r="C35" s="279">
        <v>1686</v>
      </c>
      <c r="D35" s="279" t="s">
        <v>72</v>
      </c>
      <c r="E35" s="191" t="s">
        <v>309</v>
      </c>
      <c r="F35" s="191" t="s">
        <v>43</v>
      </c>
      <c r="G35" s="191" t="s">
        <v>142</v>
      </c>
      <c r="H35" s="191" t="s">
        <v>4</v>
      </c>
      <c r="I35" s="191" t="s">
        <v>41</v>
      </c>
      <c r="J35" s="191" t="s">
        <v>43</v>
      </c>
      <c r="K35" s="191" t="s">
        <v>142</v>
      </c>
      <c r="L35" s="191" t="s">
        <v>4</v>
      </c>
      <c r="M35" s="191" t="s">
        <v>41</v>
      </c>
      <c r="N35" s="191" t="s">
        <v>43</v>
      </c>
      <c r="O35" s="191" t="s">
        <v>142</v>
      </c>
      <c r="P35" s="191" t="s">
        <v>4</v>
      </c>
      <c r="Q35" s="191" t="s">
        <v>41</v>
      </c>
      <c r="R35" s="191" t="s">
        <v>43</v>
      </c>
      <c r="S35" s="191" t="s">
        <v>142</v>
      </c>
      <c r="T35" s="191" t="s">
        <v>4</v>
      </c>
      <c r="U35" s="191" t="s">
        <v>41</v>
      </c>
      <c r="V35" s="191" t="s">
        <v>43</v>
      </c>
      <c r="W35" s="191" t="s">
        <v>142</v>
      </c>
      <c r="X35" s="191" t="s">
        <v>4</v>
      </c>
      <c r="Y35" s="191" t="s">
        <v>41</v>
      </c>
      <c r="Z35" s="191" t="s">
        <v>43</v>
      </c>
      <c r="AA35" s="191" t="s">
        <v>142</v>
      </c>
      <c r="AB35" s="191" t="s">
        <v>4</v>
      </c>
      <c r="AC35" s="191" t="s">
        <v>41</v>
      </c>
      <c r="AD35" s="191" t="s">
        <v>43</v>
      </c>
      <c r="AE35" s="191" t="s">
        <v>142</v>
      </c>
      <c r="AF35" s="191" t="s">
        <v>142</v>
      </c>
      <c r="AG35" s="191" t="s">
        <v>309</v>
      </c>
      <c r="AH35" s="191" t="s">
        <v>43</v>
      </c>
      <c r="AI35" s="191" t="s">
        <v>142</v>
      </c>
      <c r="AJ35" s="213">
        <f>IFERROR(COUNTIF(E35:AI35,"=Р")+COUNTIF(E35:AI35,"=Р1")+COUNTIF(E35:AI35,"=ВЧ")+COUNTIF(E35:AI35,"=РН")+COUNTIF(E35:AI35,"=Р2")+COUNTIF(E35:AI35,"=Р1/РВ")+COUNTIF(E35:AI35,"=Р2/РВ")+COUNTIF(E35:AI35,"=ВЧ/РВ")+COUNTIF(E35:AI35,"=РН/РВ"),0)</f>
        <v>20</v>
      </c>
      <c r="AK35" s="202">
        <f>IFERROR(SUMIF(E35:AI35,"=Р2",E36:AI36)+SUMIF(E35:AI35,"=ВЧ/РВ",E36:AI36)+SUMIF(E35:AI35,"=РН/РВ",E36:AI36)+SUMIF(E35:AI35,"=Р1/РВ",E36:AI36)+SUMIF(E35:AI35,"=ВЧ2/РВ",E36:AI36)+SUMIF(E35:AI35,"=Р2/РВ",E36:AI36)+SUMIF(E35:AI35,"=Р",E36:AI36)+SUMIF(E35:AI35,"=Р1",E36:AI36)+SUMIF(E35:AI35,"=ВЧ1",E36:AI36)+SUMIF(E35:AI35,"=РН",E36:AI36)+SUMIF(E35:AI35,"=ВЧ",E36:AI36),0)</f>
        <v>168</v>
      </c>
      <c r="AL35" s="202">
        <f>IFERROR(SUMIF(E35:AI35,"=НУ",E36:AI36),0)</f>
        <v>0</v>
      </c>
      <c r="AM35" s="202">
        <f>IFERROR(SUMIF(E35:AI35,"=РН",E36:AI36)+SUMIF(E35:AI35,"=РН/РВ",E36:AI36)+SUMIFS(E36:AI36,E35:AI35,"=Р2",E36:AI36,"=8"),0)</f>
        <v>64</v>
      </c>
      <c r="AN35" s="211">
        <f>IFERROR(SUMIF(E35:AI35,"=ВЧ",E36:AI36)+SUMIF(E35:AI35,"=ВЧ/РВ",E36:AI36)+CEILING(COUNTIFS(E35:AI35,"=Р2",E36:AI36,"=7")*4,1)+CEILING(COUNTIFS(E35:AI35,"=Р2/РВ",E36:AI36,"=7")*4,1)+SUMIFS(E36:AI36,E35:AI35,"=Р1/РВ",E36:AI36,"=12")/6+SUMIFS(E36:AI36,E35:AI35,"=ВЧ2/РВ",E36:AI36,"=4")/2+SUMIFS(E36:AI36,E35:AI35,"=Р1",E36:AI36,"=12")/6+SUMIFS(E36:AI36,E35:AI35,"=Р1",E36:AI36,"=8")/4+SUMIF(E35:AI35,"=ВЧ1",E36:AI36)/2,0)</f>
        <v>28</v>
      </c>
      <c r="AO35" s="202">
        <f>IFERROR(SUMIF(E35:AI35,"=РВ",E36:AI36)+SUMIF(E35:AI35,"=ВЧ/РВ",E36:AI36)+SUMIF(E35:AI35,"=РН/РВ",E36:AI36)+SUMIF(E35:AI35,"=Р1/РВ",E36:AI36)+SUMIF(E35:AI35,"=ВЧ2/РВ",E36:AI36)+SUMIF(E35:AI35,"=Р2/РВ",E36:AI36),0)</f>
        <v>0</v>
      </c>
      <c r="AP35" s="202">
        <f>IFERROR(COUNTIF(E35:AI35,"=ВВ")+COUNTIF(E35:AI35,"=Р1/ВВ")+COUNTIF(E35:AI35,"=РН/ВВ")+COUNTIF(E35:AI35,"=ВЧ/ВВ"),0)</f>
        <v>9</v>
      </c>
      <c r="AQ35" s="202">
        <f>SUM(AR35:AZ35)</f>
        <v>0</v>
      </c>
      <c r="AR35" s="202">
        <f>IFERROR(SUMIF(E35:AI35,"=В",E36:AI36)+SUMIF(E35:AI35,"=Ч",E36:AI36)+SUMIF(E35:AI35,"=ВБ",E36:AI36),0)</f>
        <v>0</v>
      </c>
      <c r="AS35" s="202">
        <f>IFERROR(SUMIF(E35:AI35,"=Н",E36:AI36),0)</f>
        <v>0</v>
      </c>
      <c r="AT35" s="202">
        <f>IFERROR(SUMIF(E35:AI35,"=НА",E36:AI36),0)</f>
        <v>0</v>
      </c>
      <c r="AU35" s="202">
        <f>IFERROR(SUMIF(E35:AI35,"=ВП",E36:AI36),0)</f>
        <v>0</v>
      </c>
      <c r="AV35" s="202">
        <f>IFERROR(SUMIF(E35:AI35,"=ДД",E36:AI36),0)</f>
        <v>0</v>
      </c>
      <c r="AW35" s="202">
        <f>IFERROR(SUMIF(E35:AI35,"=ДО",E36:AI36),0)</f>
        <v>0</v>
      </c>
      <c r="AX35" s="202">
        <f>IFERROR(SUMIF(E35:AI35,"=ТН",E36:AI36),0)</f>
        <v>0</v>
      </c>
      <c r="AY35" s="202">
        <f>IFERROR(SUMIF(E35:AI35,"=ВД",E36:AI36),0)</f>
        <v>0</v>
      </c>
      <c r="AZ35" s="200">
        <f>IFERROR(SUMIF(E35:AI35,"=ІН",E36:AI36),0)+SUMIF(E35:AI35,"=НЗ",E36:AI36)</f>
        <v>0</v>
      </c>
    </row>
    <row r="36" spans="1:53" s="171" customFormat="1" ht="20.100000000000001" customHeight="1" thickBot="1" x14ac:dyDescent="0.25">
      <c r="A36" s="280"/>
      <c r="B36" s="229"/>
      <c r="C36" s="280"/>
      <c r="D36" s="280"/>
      <c r="E36" s="192">
        <v>4</v>
      </c>
      <c r="F36" s="192">
        <v>8</v>
      </c>
      <c r="G36" s="192"/>
      <c r="H36" s="192">
        <v>12</v>
      </c>
      <c r="I36" s="192">
        <v>4</v>
      </c>
      <c r="J36" s="192">
        <v>8</v>
      </c>
      <c r="K36" s="192"/>
      <c r="L36" s="192">
        <v>12</v>
      </c>
      <c r="M36" s="192">
        <v>4</v>
      </c>
      <c r="N36" s="192">
        <v>8</v>
      </c>
      <c r="O36" s="192"/>
      <c r="P36" s="192">
        <v>12</v>
      </c>
      <c r="Q36" s="192">
        <v>4</v>
      </c>
      <c r="R36" s="192">
        <v>8</v>
      </c>
      <c r="S36" s="192"/>
      <c r="T36" s="192">
        <v>12</v>
      </c>
      <c r="U36" s="192">
        <v>4</v>
      </c>
      <c r="V36" s="192">
        <v>8</v>
      </c>
      <c r="W36" s="192"/>
      <c r="X36" s="192">
        <v>12</v>
      </c>
      <c r="Y36" s="192">
        <v>4</v>
      </c>
      <c r="Z36" s="192">
        <v>8</v>
      </c>
      <c r="AA36" s="192"/>
      <c r="AB36" s="192">
        <v>12</v>
      </c>
      <c r="AC36" s="192">
        <v>4</v>
      </c>
      <c r="AD36" s="192">
        <v>8</v>
      </c>
      <c r="AE36" s="192"/>
      <c r="AF36" s="192"/>
      <c r="AG36" s="192">
        <v>4</v>
      </c>
      <c r="AH36" s="192">
        <v>8</v>
      </c>
      <c r="AI36" s="192"/>
      <c r="AJ36" s="214"/>
      <c r="AK36" s="203"/>
      <c r="AL36" s="203"/>
      <c r="AM36" s="203"/>
      <c r="AN36" s="212"/>
      <c r="AO36" s="203"/>
      <c r="AP36" s="203"/>
      <c r="AQ36" s="203"/>
      <c r="AR36" s="203"/>
      <c r="AS36" s="203"/>
      <c r="AT36" s="203"/>
      <c r="AU36" s="203"/>
      <c r="AV36" s="203"/>
      <c r="AW36" s="203"/>
      <c r="AX36" s="203"/>
      <c r="AY36" s="203"/>
      <c r="AZ36" s="201"/>
    </row>
    <row r="37" spans="1:53" s="171" customFormat="1" ht="20.100000000000001" customHeight="1" x14ac:dyDescent="0.2">
      <c r="A37" s="279">
        <v>11</v>
      </c>
      <c r="B37" s="228" t="s">
        <v>166</v>
      </c>
      <c r="C37" s="228">
        <v>1976</v>
      </c>
      <c r="D37" s="230" t="s">
        <v>65</v>
      </c>
      <c r="E37" s="191" t="s">
        <v>43</v>
      </c>
      <c r="F37" s="191" t="s">
        <v>142</v>
      </c>
      <c r="G37" s="191" t="s">
        <v>142</v>
      </c>
      <c r="H37" s="191" t="s">
        <v>309</v>
      </c>
      <c r="I37" s="191" t="s">
        <v>43</v>
      </c>
      <c r="J37" s="191" t="s">
        <v>142</v>
      </c>
      <c r="K37" s="191" t="s">
        <v>4</v>
      </c>
      <c r="L37" s="191" t="s">
        <v>41</v>
      </c>
      <c r="M37" s="191" t="s">
        <v>43</v>
      </c>
      <c r="N37" s="191" t="s">
        <v>142</v>
      </c>
      <c r="O37" s="191" t="s">
        <v>4</v>
      </c>
      <c r="P37" s="191" t="s">
        <v>41</v>
      </c>
      <c r="Q37" s="191" t="s">
        <v>43</v>
      </c>
      <c r="R37" s="191" t="s">
        <v>263</v>
      </c>
      <c r="S37" s="191" t="s">
        <v>4</v>
      </c>
      <c r="T37" s="191" t="s">
        <v>41</v>
      </c>
      <c r="U37" s="191" t="s">
        <v>43</v>
      </c>
      <c r="V37" s="191" t="s">
        <v>142</v>
      </c>
      <c r="W37" s="191" t="s">
        <v>4</v>
      </c>
      <c r="X37" s="191" t="s">
        <v>41</v>
      </c>
      <c r="Y37" s="191" t="s">
        <v>43</v>
      </c>
      <c r="Z37" s="191" t="s">
        <v>142</v>
      </c>
      <c r="AA37" s="191" t="s">
        <v>142</v>
      </c>
      <c r="AB37" s="191" t="s">
        <v>309</v>
      </c>
      <c r="AC37" s="191" t="s">
        <v>43</v>
      </c>
      <c r="AD37" s="191" t="s">
        <v>142</v>
      </c>
      <c r="AE37" s="191" t="s">
        <v>4</v>
      </c>
      <c r="AF37" s="191" t="s">
        <v>41</v>
      </c>
      <c r="AG37" s="191" t="s">
        <v>43</v>
      </c>
      <c r="AH37" s="191" t="s">
        <v>142</v>
      </c>
      <c r="AI37" s="191" t="s">
        <v>263</v>
      </c>
      <c r="AJ37" s="213">
        <f>IFERROR(COUNTIF(E37:AI37,"=Р")+COUNTIF(E37:AI37,"=Р1")+COUNTIF(E37:AI37,"=ВЧ")+COUNTIF(E37:AI37,"=РН")+COUNTIF(E37:AI37,"=Р2")+COUNTIF(E37:AI37,"=Р1/РВ")+COUNTIF(E37:AI37,"=Р2/РВ")+COUNTIF(E37:AI37,"=ВЧ/РВ")+COUNTIF(E37:AI37,"=РН/РВ"),0)</f>
        <v>20</v>
      </c>
      <c r="AK37" s="202">
        <f>IFERROR(SUMIF(E37:AI37,"=Р2",E38:AI38)+SUMIF(E37:AI37,"=ВЧ/РВ",E38:AI38)+SUMIF(E37:AI37,"=РН/РВ",E38:AI38)+SUMIF(E37:AI37,"=Р1/РВ",E38:AI38)+SUMIF(E37:AI37,"=ВЧ2/РВ",E38:AI38)+SUMIF(E37:AI37,"=Р2/РВ",E38:AI38)+SUMIF(E37:AI37,"=Р",E38:AI38)+SUMIF(E37:AI37,"=Р1",E38:AI38)+SUMIF(E37:AI37,"=ВЧ1",E38:AI38)+SUMIF(E37:AI37,"=РН",E38:AI38)+SUMIF(E37:AI37,"=ВЧ",E38:AI38),0)</f>
        <v>168</v>
      </c>
      <c r="AL37" s="202">
        <f>IFERROR(SUMIF(E37:AI37,"=НУ",E38:AI38),0)</f>
        <v>0</v>
      </c>
      <c r="AM37" s="202">
        <f>IFERROR(SUMIF(E37:AI37,"=РН",E38:AI38)+SUMIF(E37:AI37,"=РН/РВ",E38:AI38)+SUMIFS(E38:AI38,E37:AI37,"=Р2",E38:AI38,"=8"),0)</f>
        <v>64</v>
      </c>
      <c r="AN37" s="211">
        <f>IFERROR(SUMIF(E37:AI37,"=ВЧ",E38:AI38)+SUMIF(E37:AI37,"=ВЧ/РВ",E38:AI38)+CEILING(COUNTIFS(E37:AI37,"=Р2",E38:AI38,"=7")*4,1)+CEILING(COUNTIFS(E37:AI37,"=Р2/РВ",E38:AI38,"=7")*4,1)+SUMIFS(E38:AI38,E37:AI37,"=Р1/РВ",E38:AI38,"=12")/6+SUMIFS(E38:AI38,E37:AI37,"=ВЧ2/РВ",E38:AI38,"=4")/2+SUMIFS(E38:AI38,E37:AI37,"=Р1",E38:AI38,"=12")/6+SUMIFS(E38:AI38,E37:AI37,"=Р1",E38:AI38,"=8")/4+SUMIF(E37:AI37,"=ВЧ1",E38:AI38)/2,0)</f>
        <v>28</v>
      </c>
      <c r="AO37" s="202">
        <f>IFERROR(SUMIF(E37:AI37,"=РВ",E38:AI38)+SUMIF(E37:AI37,"=ВЧ/РВ",E38:AI38)+SUMIF(E37:AI37,"=РН/РВ",E38:AI38)+SUMIF(E37:AI37,"=Р1/РВ",E38:AI38)+SUMIF(E37:AI37,"=ВЧ2/РВ",E38:AI38)+SUMIF(E37:AI37,"=Р2/РВ",E38:AI38),0)</f>
        <v>0</v>
      </c>
      <c r="AP37" s="202">
        <f>IFERROR(COUNTIF(E37:AI37,"=ВВ")+COUNTIF(E37:AI37,"=Р1/ВВ")+COUNTIF(E37:AI37,"=РН/ВВ")+COUNTIF(E37:AI37,"=ВЧ/ВВ"),0)</f>
        <v>9</v>
      </c>
      <c r="AQ37" s="202">
        <f>SUM(AR37:AZ37)</f>
        <v>0</v>
      </c>
      <c r="AR37" s="202">
        <f>IFERROR(SUMIF(E37:AI37,"=В",E38:AI38)+SUMIF(E37:AI37,"=Ч",E38:AI38)+SUMIF(E37:AI37,"=ВБ",E38:AI38),0)</f>
        <v>0</v>
      </c>
      <c r="AS37" s="202">
        <f>IFERROR(SUMIF(E37:AI37,"=Н",E38:AI38),0)</f>
        <v>0</v>
      </c>
      <c r="AT37" s="202">
        <f>IFERROR(SUMIF(E37:AI37,"=НА",E38:AI38),0)</f>
        <v>0</v>
      </c>
      <c r="AU37" s="202">
        <f>IFERROR(SUMIF(E37:AI37,"=ВП",E38:AI38),0)</f>
        <v>0</v>
      </c>
      <c r="AV37" s="202">
        <f>IFERROR(SUMIF(E37:AI37,"=ДД",E38:AI38),0)</f>
        <v>0</v>
      </c>
      <c r="AW37" s="198">
        <f>IFERROR(SUMIF(E37:AI37,"=ДО",E38:AI38),0)</f>
        <v>0</v>
      </c>
      <c r="AX37" s="202">
        <f>IFERROR(SUMIF(E37:AI37,"=ТН",E38:AI38),0)</f>
        <v>0</v>
      </c>
      <c r="AY37" s="202">
        <f>IFERROR(SUMIF(E37:AI37,"=ВД",E38:AI38),0)</f>
        <v>0</v>
      </c>
      <c r="AZ37" s="200">
        <f>IFERROR(SUMIF(E37:AI37,"=ІН",E38:AI38),0)+SUMIF(E37:AI37,"=НЗ",E38:AI38)</f>
        <v>0</v>
      </c>
    </row>
    <row r="38" spans="1:53" s="171" customFormat="1" ht="20.100000000000001" customHeight="1" thickBot="1" x14ac:dyDescent="0.25">
      <c r="A38" s="280"/>
      <c r="B38" s="229"/>
      <c r="C38" s="229"/>
      <c r="D38" s="231"/>
      <c r="E38" s="192">
        <v>8</v>
      </c>
      <c r="F38" s="192"/>
      <c r="G38" s="192"/>
      <c r="H38" s="192">
        <v>4</v>
      </c>
      <c r="I38" s="192">
        <v>8</v>
      </c>
      <c r="J38" s="192"/>
      <c r="K38" s="192">
        <v>12</v>
      </c>
      <c r="L38" s="192">
        <v>4</v>
      </c>
      <c r="M38" s="192">
        <v>8</v>
      </c>
      <c r="N38" s="192"/>
      <c r="O38" s="192">
        <v>12</v>
      </c>
      <c r="P38" s="192">
        <v>4</v>
      </c>
      <c r="Q38" s="192">
        <v>8</v>
      </c>
      <c r="R38" s="192">
        <v>12</v>
      </c>
      <c r="S38" s="192">
        <v>12</v>
      </c>
      <c r="T38" s="192">
        <v>4</v>
      </c>
      <c r="U38" s="192">
        <v>8</v>
      </c>
      <c r="V38" s="192"/>
      <c r="W38" s="192">
        <v>12</v>
      </c>
      <c r="X38" s="192">
        <v>4</v>
      </c>
      <c r="Y38" s="192">
        <v>8</v>
      </c>
      <c r="Z38" s="192"/>
      <c r="AA38" s="192"/>
      <c r="AB38" s="192">
        <v>4</v>
      </c>
      <c r="AC38" s="192">
        <v>8</v>
      </c>
      <c r="AD38" s="192"/>
      <c r="AE38" s="192">
        <v>4</v>
      </c>
      <c r="AF38" s="192">
        <v>4</v>
      </c>
      <c r="AG38" s="192">
        <v>8</v>
      </c>
      <c r="AH38" s="192"/>
      <c r="AI38" s="192">
        <v>12</v>
      </c>
      <c r="AJ38" s="214"/>
      <c r="AK38" s="203"/>
      <c r="AL38" s="203"/>
      <c r="AM38" s="203"/>
      <c r="AN38" s="212"/>
      <c r="AO38" s="203"/>
      <c r="AP38" s="203"/>
      <c r="AQ38" s="203"/>
      <c r="AR38" s="203"/>
      <c r="AS38" s="203"/>
      <c r="AT38" s="203"/>
      <c r="AU38" s="203"/>
      <c r="AV38" s="203"/>
      <c r="AW38" s="199"/>
      <c r="AX38" s="203"/>
      <c r="AY38" s="203"/>
      <c r="AZ38" s="201"/>
    </row>
    <row r="39" spans="1:53" ht="20.100000000000001" customHeight="1" x14ac:dyDescent="0.2">
      <c r="A39" s="284">
        <v>0</v>
      </c>
      <c r="B39" s="284" t="s">
        <v>74</v>
      </c>
      <c r="C39" s="284">
        <v>0</v>
      </c>
      <c r="D39" s="284">
        <v>0</v>
      </c>
      <c r="E39" s="72">
        <v>0</v>
      </c>
      <c r="F39" s="72"/>
      <c r="G39" s="72"/>
      <c r="H39" s="72"/>
      <c r="I39" s="72"/>
      <c r="J39" s="72"/>
      <c r="K39" s="72"/>
      <c r="L39" s="72"/>
      <c r="M39" s="72"/>
      <c r="N39" s="72"/>
      <c r="O39" s="72"/>
      <c r="P39" s="72"/>
      <c r="Q39" s="72"/>
      <c r="R39" s="72"/>
      <c r="S39" s="72"/>
      <c r="T39" s="72"/>
      <c r="U39" s="72"/>
      <c r="V39" s="72"/>
      <c r="W39" s="72"/>
      <c r="X39" s="72"/>
      <c r="Y39" s="72"/>
      <c r="Z39" s="72"/>
      <c r="AA39" s="72"/>
      <c r="AB39" s="72"/>
      <c r="AC39" s="72"/>
      <c r="AD39" s="72"/>
      <c r="AE39" s="72"/>
      <c r="AF39" s="72"/>
      <c r="AG39" s="72"/>
      <c r="AH39" s="72"/>
      <c r="AI39" s="72"/>
      <c r="AJ39" s="217">
        <f t="shared" ref="AJ39:AZ39" si="0">SUM(AJ17:AJ38)</f>
        <v>193</v>
      </c>
      <c r="AK39" s="209">
        <f t="shared" si="0"/>
        <v>1632.4</v>
      </c>
      <c r="AL39" s="209">
        <f t="shared" si="0"/>
        <v>0</v>
      </c>
      <c r="AM39" s="209">
        <f t="shared" si="0"/>
        <v>496</v>
      </c>
      <c r="AN39" s="209">
        <f t="shared" si="0"/>
        <v>248</v>
      </c>
      <c r="AO39" s="209">
        <f t="shared" si="0"/>
        <v>0</v>
      </c>
      <c r="AP39" s="209">
        <f t="shared" si="0"/>
        <v>92</v>
      </c>
      <c r="AQ39" s="209">
        <f t="shared" si="0"/>
        <v>215.6</v>
      </c>
      <c r="AR39" s="209">
        <f t="shared" si="0"/>
        <v>0</v>
      </c>
      <c r="AS39" s="209">
        <f t="shared" si="0"/>
        <v>0</v>
      </c>
      <c r="AT39" s="209">
        <f t="shared" si="0"/>
        <v>0</v>
      </c>
      <c r="AU39" s="209">
        <f t="shared" si="0"/>
        <v>0</v>
      </c>
      <c r="AV39" s="209">
        <f t="shared" si="0"/>
        <v>0</v>
      </c>
      <c r="AW39" s="209">
        <f>SUM(AW17:AW38)</f>
        <v>0</v>
      </c>
      <c r="AX39" s="209">
        <f t="shared" si="0"/>
        <v>47.599999999999994</v>
      </c>
      <c r="AY39" s="209">
        <f t="shared" si="0"/>
        <v>0</v>
      </c>
      <c r="AZ39" s="215">
        <f t="shared" si="0"/>
        <v>168</v>
      </c>
    </row>
    <row r="40" spans="1:53" ht="20.100000000000001" customHeight="1" thickBot="1" x14ac:dyDescent="0.25">
      <c r="A40" s="280"/>
      <c r="B40" s="280"/>
      <c r="C40" s="280"/>
      <c r="D40" s="280"/>
      <c r="E40" s="73">
        <v>0</v>
      </c>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218"/>
      <c r="AK40" s="210"/>
      <c r="AL40" s="210"/>
      <c r="AM40" s="210"/>
      <c r="AN40" s="210"/>
      <c r="AO40" s="210"/>
      <c r="AP40" s="210"/>
      <c r="AQ40" s="210"/>
      <c r="AR40" s="210"/>
      <c r="AS40" s="210"/>
      <c r="AT40" s="210"/>
      <c r="AU40" s="210"/>
      <c r="AV40" s="210"/>
      <c r="AW40" s="210"/>
      <c r="AX40" s="210"/>
      <c r="AY40" s="210"/>
      <c r="AZ40" s="216"/>
    </row>
    <row r="41" spans="1:53" ht="14.25" customHeight="1" x14ac:dyDescent="0.2">
      <c r="C41" s="20"/>
      <c r="D41" s="8"/>
      <c r="AJ41" s="26"/>
    </row>
    <row r="42" spans="1:53" ht="12.75" customHeight="1" x14ac:dyDescent="0.2">
      <c r="A42" s="226" t="s">
        <v>32</v>
      </c>
      <c r="B42" s="226"/>
      <c r="C42" s="226"/>
      <c r="D42" s="227" t="s">
        <v>81</v>
      </c>
      <c r="E42" s="227"/>
      <c r="F42" s="227"/>
      <c r="G42" s="227"/>
      <c r="H42" s="227"/>
      <c r="I42" s="227"/>
      <c r="J42" s="69"/>
      <c r="K42" s="224"/>
      <c r="L42" s="224"/>
      <c r="M42" s="224"/>
      <c r="N42" s="69"/>
      <c r="O42" s="225" t="s">
        <v>278</v>
      </c>
      <c r="P42" s="225"/>
      <c r="Q42" s="225"/>
      <c r="R42" s="225"/>
      <c r="S42" s="225"/>
      <c r="T42" s="9"/>
      <c r="U42" s="283">
        <v>45747</v>
      </c>
      <c r="V42" s="283"/>
      <c r="W42" s="283"/>
      <c r="X42" s="283"/>
      <c r="Y42" s="283"/>
      <c r="Z42" s="283"/>
      <c r="AA42" s="69"/>
      <c r="AB42" s="69"/>
      <c r="AC42" s="69"/>
      <c r="AD42" s="69"/>
      <c r="AE42" s="69"/>
      <c r="AF42" s="69"/>
      <c r="AG42" s="69"/>
      <c r="AH42" s="69"/>
      <c r="AI42" s="69"/>
      <c r="AJ42" s="69"/>
      <c r="AK42" s="69"/>
      <c r="AL42" s="69"/>
      <c r="AM42" s="69"/>
      <c r="AN42" s="69"/>
      <c r="AO42" s="69"/>
      <c r="AP42" s="69"/>
      <c r="AQ42" s="69"/>
      <c r="AR42" s="69"/>
      <c r="AS42" s="69"/>
      <c r="AT42" s="69"/>
    </row>
    <row r="43" spans="1:53" x14ac:dyDescent="0.15">
      <c r="A43" s="13"/>
      <c r="B43" s="16"/>
      <c r="D43" s="222" t="s">
        <v>34</v>
      </c>
      <c r="E43" s="222"/>
      <c r="F43" s="222"/>
      <c r="G43" s="222"/>
      <c r="H43" s="222"/>
      <c r="I43" s="222"/>
      <c r="J43" s="13"/>
      <c r="K43" s="222" t="s">
        <v>35</v>
      </c>
      <c r="L43" s="222"/>
      <c r="M43" s="222"/>
      <c r="N43" s="13"/>
      <c r="O43" s="222" t="s">
        <v>36</v>
      </c>
      <c r="P43" s="222"/>
      <c r="Q43" s="222"/>
      <c r="R43" s="222"/>
      <c r="S43" s="222"/>
      <c r="T43" s="13"/>
      <c r="U43" s="13"/>
      <c r="V43" s="31"/>
      <c r="W43" s="13"/>
      <c r="X43" s="17"/>
      <c r="Y43" s="17"/>
      <c r="Z43" s="17"/>
      <c r="AA43" s="13"/>
      <c r="AB43" s="13"/>
      <c r="AC43" s="13"/>
      <c r="AD43" s="13"/>
      <c r="AE43" s="13"/>
      <c r="AF43" s="13"/>
      <c r="AG43" s="13"/>
      <c r="AH43" s="13"/>
      <c r="AI43" s="13"/>
      <c r="AJ43" s="13"/>
      <c r="AK43" s="13"/>
      <c r="AL43" s="13"/>
      <c r="AM43" s="13"/>
      <c r="AN43" s="13"/>
      <c r="AO43" s="13"/>
      <c r="AP43" s="13"/>
      <c r="AQ43" s="13"/>
      <c r="AR43" s="13"/>
      <c r="AS43" s="13"/>
      <c r="AT43" s="13"/>
    </row>
    <row r="44" spans="1:53" ht="12.75" customHeight="1" x14ac:dyDescent="0.2">
      <c r="A44" s="32" t="s">
        <v>33</v>
      </c>
      <c r="B44" s="32"/>
      <c r="C44" s="69"/>
      <c r="D44" s="223" t="s">
        <v>277</v>
      </c>
      <c r="E44" s="223"/>
      <c r="F44" s="223"/>
      <c r="G44" s="223"/>
      <c r="H44" s="223"/>
      <c r="I44" s="223"/>
      <c r="J44" s="69"/>
      <c r="K44" s="224"/>
      <c r="L44" s="224"/>
      <c r="M44" s="224"/>
      <c r="N44" s="69"/>
      <c r="O44" s="225" t="s">
        <v>279</v>
      </c>
      <c r="P44" s="225"/>
      <c r="Q44" s="225"/>
      <c r="R44" s="225"/>
      <c r="S44" s="225"/>
      <c r="T44" s="9"/>
      <c r="U44" s="283">
        <f>U42</f>
        <v>45747</v>
      </c>
      <c r="V44" s="283"/>
      <c r="W44" s="283"/>
      <c r="X44" s="283"/>
      <c r="Y44" s="283"/>
      <c r="Z44" s="283"/>
      <c r="AA44" s="69"/>
      <c r="AB44" s="69"/>
      <c r="AC44" s="69"/>
      <c r="AD44" s="69"/>
      <c r="AE44" s="69"/>
      <c r="AF44" s="69"/>
      <c r="AG44" s="69"/>
      <c r="AH44" s="69"/>
      <c r="AI44" s="69"/>
      <c r="AJ44" s="69"/>
      <c r="AK44" s="69"/>
      <c r="AL44" s="69"/>
      <c r="AM44" s="69"/>
      <c r="AN44" s="69"/>
      <c r="AO44" s="69"/>
      <c r="AP44" s="69"/>
      <c r="AQ44" s="69"/>
      <c r="AR44" s="69"/>
      <c r="AS44" s="69"/>
      <c r="AT44" s="69"/>
    </row>
    <row r="45" spans="1:53" x14ac:dyDescent="0.2">
      <c r="A45" s="13"/>
      <c r="B45" s="13"/>
      <c r="D45" s="222" t="s">
        <v>34</v>
      </c>
      <c r="E45" s="222"/>
      <c r="F45" s="222"/>
      <c r="G45" s="222"/>
      <c r="H45" s="222"/>
      <c r="I45" s="222"/>
      <c r="J45" s="13"/>
      <c r="K45" s="222" t="s">
        <v>35</v>
      </c>
      <c r="L45" s="222"/>
      <c r="M45" s="222"/>
      <c r="N45" s="13"/>
      <c r="O45" s="222" t="s">
        <v>36</v>
      </c>
      <c r="P45" s="222"/>
      <c r="Q45" s="222"/>
      <c r="R45" s="222"/>
      <c r="S45" s="222"/>
      <c r="T45" s="17"/>
      <c r="U45" s="17"/>
      <c r="V45" s="13"/>
      <c r="W45" s="17"/>
      <c r="X45" s="17"/>
      <c r="Y45" s="17"/>
      <c r="Z45" s="69"/>
      <c r="AA45" s="69"/>
      <c r="AB45" s="69"/>
      <c r="AC45" s="69"/>
      <c r="AD45" s="69"/>
      <c r="AE45" s="69"/>
      <c r="AF45" s="69"/>
      <c r="AG45" s="69"/>
      <c r="AH45" s="69"/>
      <c r="AI45" s="69"/>
      <c r="AJ45" s="69"/>
      <c r="AK45" s="69"/>
      <c r="AL45" s="69"/>
      <c r="AM45" s="69"/>
      <c r="AN45" s="69"/>
      <c r="AO45" s="69"/>
      <c r="AP45" s="69"/>
      <c r="AQ45" s="69"/>
      <c r="AR45" s="69"/>
      <c r="AS45" s="69"/>
      <c r="AT45" s="69"/>
    </row>
    <row r="46" spans="1:53" x14ac:dyDescent="0.2">
      <c r="A46" s="69"/>
      <c r="B46" s="69"/>
      <c r="C46" s="33" t="s">
        <v>39</v>
      </c>
      <c r="D46" s="70"/>
      <c r="E46" s="70"/>
      <c r="F46" s="70"/>
      <c r="G46" s="70"/>
      <c r="H46" s="70"/>
      <c r="I46" s="70"/>
      <c r="J46" s="70"/>
      <c r="K46" s="70"/>
      <c r="L46" s="70"/>
      <c r="M46" s="70"/>
      <c r="N46" s="70"/>
      <c r="O46" s="70"/>
      <c r="P46" s="70"/>
      <c r="Q46" s="70"/>
      <c r="R46" s="69"/>
      <c r="S46" s="69"/>
      <c r="T46" s="69"/>
      <c r="U46" s="69"/>
      <c r="V46" s="69"/>
      <c r="W46" s="69"/>
      <c r="X46" s="69"/>
      <c r="Y46" s="69"/>
      <c r="Z46" s="69"/>
      <c r="AA46" s="69"/>
      <c r="AB46" s="69"/>
      <c r="AC46" s="69"/>
      <c r="AD46" s="69"/>
      <c r="AE46" s="69"/>
      <c r="AF46" s="69"/>
      <c r="AG46" s="69"/>
      <c r="AH46" s="69"/>
      <c r="AI46" s="69"/>
      <c r="AJ46" s="69"/>
      <c r="AK46" s="69"/>
      <c r="AL46" s="69"/>
      <c r="AM46" s="69"/>
      <c r="AN46" s="69"/>
      <c r="AO46" s="69"/>
      <c r="AP46" s="69"/>
      <c r="AQ46" s="69"/>
      <c r="AR46" s="69"/>
      <c r="AS46" s="69"/>
      <c r="AT46" s="69"/>
    </row>
    <row r="47" spans="1:53" x14ac:dyDescent="0.2">
      <c r="A47" s="69"/>
      <c r="B47" s="69"/>
      <c r="C47" s="34" t="s">
        <v>4</v>
      </c>
      <c r="D47" s="35" t="s">
        <v>49</v>
      </c>
      <c r="E47" t="s">
        <v>5</v>
      </c>
      <c r="F47"/>
      <c r="G47"/>
      <c r="H47"/>
      <c r="I47"/>
      <c r="J47"/>
      <c r="K47"/>
      <c r="L47"/>
      <c r="M47"/>
      <c r="N47" s="36"/>
      <c r="O47" s="3"/>
      <c r="P47" s="37"/>
      <c r="Q47" s="37"/>
      <c r="R47" s="69"/>
      <c r="S47" s="69"/>
      <c r="T47" s="69"/>
      <c r="U47" s="21" t="s">
        <v>2</v>
      </c>
      <c r="V47" s="15" t="s">
        <v>49</v>
      </c>
      <c r="W47" t="s">
        <v>61</v>
      </c>
      <c r="X47"/>
      <c r="Y47" s="69"/>
      <c r="Z47" s="69"/>
      <c r="AA47" s="69"/>
      <c r="AB47" s="69"/>
      <c r="AC47" s="69"/>
      <c r="AD47" s="69"/>
      <c r="AE47" s="69"/>
      <c r="AF47" s="69"/>
      <c r="AG47" s="69"/>
      <c r="AH47" s="69"/>
      <c r="AI47" s="69"/>
      <c r="AJ47" s="69"/>
      <c r="AK47" s="69"/>
      <c r="AL47" s="69"/>
      <c r="AM47" s="69"/>
      <c r="AN47" s="69"/>
      <c r="AO47" s="69"/>
      <c r="AP47" s="69"/>
      <c r="AQ47" s="69"/>
      <c r="AR47" s="69"/>
      <c r="AS47" s="69"/>
      <c r="AT47" s="69"/>
    </row>
    <row r="48" spans="1:53" x14ac:dyDescent="0.2">
      <c r="A48" s="69"/>
      <c r="B48" s="69"/>
      <c r="C48" s="34" t="s">
        <v>41</v>
      </c>
      <c r="D48" s="35" t="s">
        <v>49</v>
      </c>
      <c r="E48" t="s">
        <v>40</v>
      </c>
      <c r="F48"/>
      <c r="G48"/>
      <c r="H48"/>
      <c r="I48"/>
      <c r="J48"/>
      <c r="K48"/>
      <c r="L48"/>
      <c r="M48"/>
      <c r="N48" s="36"/>
      <c r="O48" s="3"/>
      <c r="P48" s="37"/>
      <c r="Q48" s="37"/>
      <c r="R48" s="69"/>
      <c r="S48" s="69"/>
      <c r="T48" s="69"/>
      <c r="U48" s="21" t="s">
        <v>50</v>
      </c>
      <c r="V48" s="15" t="s">
        <v>49</v>
      </c>
      <c r="W48" t="s">
        <v>62</v>
      </c>
      <c r="X48"/>
      <c r="Y48" s="69"/>
      <c r="Z48" s="69"/>
      <c r="AA48" s="69"/>
      <c r="AB48" s="69"/>
      <c r="AC48" s="69"/>
      <c r="AD48" s="69"/>
      <c r="AE48" s="69"/>
      <c r="AF48" s="69"/>
      <c r="AG48" s="69"/>
      <c r="AH48" s="69"/>
      <c r="AI48" s="69"/>
      <c r="AJ48" s="69"/>
      <c r="AK48" s="69"/>
      <c r="AL48" s="69"/>
      <c r="AM48" s="69"/>
      <c r="AN48" s="69"/>
      <c r="AO48" s="69"/>
      <c r="AP48" s="69"/>
      <c r="AQ48" s="69"/>
      <c r="AR48" s="69"/>
      <c r="AS48" s="69"/>
      <c r="AT48" s="69"/>
    </row>
    <row r="49" spans="1:46" x14ac:dyDescent="0.2">
      <c r="A49" s="69"/>
      <c r="B49" s="69"/>
      <c r="C49" s="34" t="s">
        <v>43</v>
      </c>
      <c r="D49" s="35" t="s">
        <v>49</v>
      </c>
      <c r="E49" t="s">
        <v>42</v>
      </c>
      <c r="F49"/>
      <c r="G49"/>
      <c r="H49"/>
      <c r="I49"/>
      <c r="J49"/>
      <c r="K49"/>
      <c r="L49"/>
      <c r="M49"/>
      <c r="N49" s="36"/>
      <c r="O49" s="3"/>
      <c r="P49" s="37"/>
      <c r="Q49" s="37"/>
      <c r="R49" s="69"/>
      <c r="S49" s="69"/>
      <c r="T49" s="69"/>
      <c r="U49" s="21" t="s">
        <v>51</v>
      </c>
      <c r="V49" s="15" t="s">
        <v>49</v>
      </c>
      <c r="W49" t="s">
        <v>53</v>
      </c>
      <c r="X49"/>
      <c r="Y49" s="69"/>
      <c r="Z49" s="69"/>
      <c r="AA49" s="69"/>
      <c r="AB49" s="69"/>
      <c r="AC49" s="69"/>
      <c r="AD49" s="69"/>
      <c r="AE49" s="69"/>
      <c r="AF49" s="69"/>
      <c r="AG49" s="69"/>
      <c r="AH49" s="69"/>
      <c r="AI49" s="69"/>
      <c r="AJ49" s="69"/>
      <c r="AK49" s="69"/>
      <c r="AL49" s="69"/>
      <c r="AM49" s="69"/>
      <c r="AN49" s="69"/>
      <c r="AO49" s="69"/>
      <c r="AP49" s="69"/>
      <c r="AQ49" s="69"/>
      <c r="AR49" s="69"/>
      <c r="AS49" s="69"/>
      <c r="AT49" s="69"/>
    </row>
    <row r="50" spans="1:46" x14ac:dyDescent="0.2">
      <c r="A50" s="69"/>
      <c r="B50" s="69"/>
      <c r="C50" s="34" t="s">
        <v>45</v>
      </c>
      <c r="D50" s="35" t="s">
        <v>49</v>
      </c>
      <c r="E50" t="s">
        <v>44</v>
      </c>
      <c r="F50"/>
      <c r="G50"/>
      <c r="H50"/>
      <c r="I50"/>
      <c r="J50"/>
      <c r="K50"/>
      <c r="L50"/>
      <c r="M50"/>
      <c r="N50" s="3"/>
      <c r="O50" s="3"/>
      <c r="P50" s="37"/>
      <c r="Q50" s="37"/>
      <c r="R50" s="69"/>
      <c r="S50" s="69"/>
      <c r="T50" s="69"/>
      <c r="U50" s="15" t="s">
        <v>63</v>
      </c>
      <c r="V50" s="15" t="s">
        <v>49</v>
      </c>
      <c r="W50" t="s">
        <v>64</v>
      </c>
      <c r="X50"/>
      <c r="Y50" s="69"/>
      <c r="Z50" s="69"/>
      <c r="AA50" s="69"/>
      <c r="AB50" s="69"/>
      <c r="AC50" s="69"/>
      <c r="AD50" s="69"/>
      <c r="AE50" s="69"/>
      <c r="AF50" s="69"/>
      <c r="AG50" s="69"/>
      <c r="AH50" s="69"/>
      <c r="AI50" s="69"/>
      <c r="AJ50" s="69"/>
      <c r="AK50" s="69"/>
      <c r="AL50" s="69"/>
      <c r="AM50" s="69"/>
      <c r="AN50" s="69"/>
      <c r="AO50" s="69"/>
      <c r="AP50" s="69"/>
      <c r="AQ50" s="69"/>
      <c r="AR50" s="69"/>
      <c r="AS50" s="69"/>
      <c r="AT50" s="69"/>
    </row>
    <row r="51" spans="1:46" x14ac:dyDescent="0.2">
      <c r="A51" s="69"/>
      <c r="B51" s="69"/>
      <c r="C51" s="34" t="s">
        <v>47</v>
      </c>
      <c r="D51" s="35" t="s">
        <v>49</v>
      </c>
      <c r="E51" t="s">
        <v>46</v>
      </c>
      <c r="F51"/>
      <c r="G51"/>
      <c r="H51"/>
      <c r="I51"/>
      <c r="J51"/>
      <c r="K51"/>
      <c r="L51"/>
      <c r="M51"/>
      <c r="N51" s="3"/>
      <c r="O51" s="3"/>
      <c r="P51" s="37"/>
      <c r="Q51" s="37"/>
      <c r="R51" s="69"/>
      <c r="S51" s="69"/>
      <c r="T51" s="69"/>
      <c r="U51" s="15" t="s">
        <v>65</v>
      </c>
      <c r="V51" s="15" t="s">
        <v>49</v>
      </c>
      <c r="W51" t="s">
        <v>66</v>
      </c>
      <c r="X51"/>
      <c r="Y51" s="69"/>
      <c r="Z51" s="69"/>
      <c r="AA51" s="69"/>
      <c r="AB51" s="69"/>
      <c r="AC51" s="69"/>
      <c r="AD51" s="69"/>
      <c r="AE51" s="69"/>
      <c r="AF51" s="69"/>
      <c r="AG51" s="69"/>
      <c r="AH51" s="69"/>
      <c r="AI51" s="69"/>
      <c r="AJ51" s="69"/>
      <c r="AK51" s="69"/>
      <c r="AL51" s="69"/>
      <c r="AM51" s="69"/>
      <c r="AN51" s="69"/>
      <c r="AO51" s="69"/>
      <c r="AP51" s="69"/>
      <c r="AQ51" s="69"/>
      <c r="AR51" s="69"/>
      <c r="AS51" s="69"/>
      <c r="AT51" s="69"/>
    </row>
    <row r="52" spans="1:46" x14ac:dyDescent="0.2">
      <c r="A52" s="69"/>
      <c r="B52" s="69"/>
      <c r="C52" s="34" t="s">
        <v>48</v>
      </c>
      <c r="D52" s="35" t="s">
        <v>49</v>
      </c>
      <c r="E52" t="s">
        <v>29</v>
      </c>
      <c r="F52"/>
      <c r="G52"/>
      <c r="H52"/>
      <c r="I52"/>
      <c r="J52"/>
      <c r="K52"/>
      <c r="L52"/>
      <c r="M52"/>
      <c r="N52" s="36"/>
      <c r="O52" s="3"/>
      <c r="P52" s="37"/>
      <c r="Q52" s="37"/>
      <c r="R52" s="69"/>
      <c r="S52" s="69"/>
      <c r="T52" s="69"/>
      <c r="U52" s="21" t="s">
        <v>52</v>
      </c>
      <c r="V52" s="15" t="s">
        <v>49</v>
      </c>
      <c r="W52" t="s">
        <v>54</v>
      </c>
      <c r="X52"/>
      <c r="Y52" s="69"/>
      <c r="Z52" s="69"/>
      <c r="AA52" s="69"/>
      <c r="AB52" s="69"/>
      <c r="AC52" s="69"/>
      <c r="AD52" s="69"/>
      <c r="AE52" s="69"/>
      <c r="AF52" s="69"/>
      <c r="AG52" s="69"/>
      <c r="AH52" s="69"/>
      <c r="AI52" s="69"/>
      <c r="AJ52" s="69"/>
      <c r="AK52" s="69"/>
      <c r="AL52" s="69"/>
      <c r="AM52" s="69"/>
      <c r="AN52" s="69"/>
      <c r="AO52" s="69"/>
      <c r="AP52" s="69"/>
      <c r="AQ52" s="69"/>
      <c r="AR52" s="69"/>
      <c r="AS52" s="69"/>
      <c r="AT52" s="69"/>
    </row>
    <row r="53" spans="1:46" x14ac:dyDescent="0.2">
      <c r="A53" s="69"/>
      <c r="B53" s="69"/>
      <c r="C53" s="34" t="s">
        <v>3</v>
      </c>
      <c r="D53" s="35" t="s">
        <v>49</v>
      </c>
      <c r="E53" t="s">
        <v>67</v>
      </c>
      <c r="F53"/>
      <c r="G53"/>
      <c r="H53"/>
      <c r="I53"/>
      <c r="J53"/>
      <c r="K53"/>
      <c r="L53"/>
      <c r="M53"/>
      <c r="N53" s="36"/>
      <c r="O53" s="3"/>
      <c r="P53" s="37"/>
      <c r="Q53" s="37"/>
      <c r="R53" s="69"/>
      <c r="S53" s="69"/>
      <c r="T53" s="69"/>
      <c r="U53" s="21" t="s">
        <v>68</v>
      </c>
      <c r="V53" s="15" t="s">
        <v>49</v>
      </c>
      <c r="W53" t="s">
        <v>31</v>
      </c>
      <c r="X53"/>
      <c r="Y53" s="69"/>
      <c r="Z53" s="69"/>
      <c r="AA53" s="69"/>
      <c r="AB53" s="69"/>
      <c r="AC53" s="69"/>
      <c r="AD53" s="69"/>
      <c r="AE53" s="69"/>
      <c r="AF53" s="69"/>
      <c r="AG53" s="69"/>
      <c r="AH53" s="69"/>
      <c r="AI53" s="69"/>
      <c r="AJ53" s="69"/>
      <c r="AK53" s="69"/>
      <c r="AL53" s="69"/>
      <c r="AM53" s="69"/>
      <c r="AN53" s="69"/>
      <c r="AO53" s="69"/>
      <c r="AP53" s="69"/>
      <c r="AQ53" s="69"/>
      <c r="AR53" s="69"/>
      <c r="AS53" s="69"/>
      <c r="AT53" s="69"/>
    </row>
    <row r="54" spans="1:46" x14ac:dyDescent="0.2">
      <c r="A54" s="69"/>
      <c r="B54" s="69"/>
      <c r="C54" s="34" t="s">
        <v>73</v>
      </c>
      <c r="D54" s="35" t="s">
        <v>49</v>
      </c>
      <c r="E54" s="219" t="s">
        <v>75</v>
      </c>
      <c r="F54" s="220"/>
      <c r="G54" s="220"/>
      <c r="H54" s="220"/>
      <c r="I54" s="220"/>
      <c r="J54" s="220"/>
      <c r="K54" s="220"/>
      <c r="L54" s="220"/>
      <c r="M54" s="220"/>
      <c r="N54" s="220"/>
      <c r="O54" s="220"/>
      <c r="P54" s="220"/>
      <c r="Q54" s="220"/>
      <c r="R54" s="69"/>
      <c r="S54" s="69"/>
      <c r="T54" s="69"/>
      <c r="U54" s="21" t="s">
        <v>76</v>
      </c>
      <c r="V54" s="15" t="s">
        <v>49</v>
      </c>
      <c r="W54" t="s">
        <v>77</v>
      </c>
      <c r="X54" s="69"/>
      <c r="Y54" s="69"/>
      <c r="Z54" s="69"/>
      <c r="AA54" s="69"/>
      <c r="AB54" s="69"/>
      <c r="AC54" s="69"/>
      <c r="AD54" s="69"/>
      <c r="AE54" s="69"/>
      <c r="AF54" s="69"/>
      <c r="AG54" s="69"/>
      <c r="AH54" s="69"/>
      <c r="AI54" s="69"/>
      <c r="AJ54" s="69"/>
      <c r="AK54" s="69"/>
      <c r="AL54" s="69"/>
      <c r="AM54" s="69"/>
      <c r="AN54" s="69"/>
      <c r="AO54" s="69"/>
      <c r="AP54" s="69"/>
      <c r="AQ54" s="69"/>
      <c r="AR54" s="69"/>
      <c r="AS54" s="69"/>
      <c r="AT54" s="69"/>
    </row>
    <row r="55" spans="1:46" x14ac:dyDescent="0.2">
      <c r="A55" s="69"/>
      <c r="B55" s="69"/>
      <c r="C55" s="34" t="s">
        <v>142</v>
      </c>
      <c r="D55" s="35" t="s">
        <v>49</v>
      </c>
      <c r="E55" s="219" t="s">
        <v>143</v>
      </c>
      <c r="F55" s="220"/>
      <c r="G55" s="220"/>
      <c r="H55" s="220"/>
      <c r="I55" s="220"/>
      <c r="J55" s="220"/>
      <c r="K55" s="220"/>
      <c r="L55" s="220"/>
      <c r="M55" s="220"/>
      <c r="N55" s="220"/>
      <c r="O55" s="220"/>
      <c r="P55" s="220"/>
      <c r="Q55" s="220"/>
      <c r="R55" s="69"/>
      <c r="S55" s="69"/>
      <c r="T55" s="69"/>
      <c r="U55" s="69"/>
      <c r="V55" s="69"/>
      <c r="W55" s="69"/>
      <c r="X55" s="69"/>
      <c r="Y55" s="69"/>
      <c r="Z55" s="69"/>
      <c r="AA55" s="69"/>
      <c r="AB55" s="69"/>
      <c r="AC55" s="69"/>
      <c r="AD55" s="69"/>
      <c r="AE55" s="69"/>
      <c r="AF55" s="69"/>
      <c r="AG55" s="69"/>
      <c r="AH55" s="69"/>
      <c r="AI55" s="69"/>
      <c r="AJ55" s="69"/>
      <c r="AK55" s="69"/>
      <c r="AL55" s="69"/>
      <c r="AM55" s="69"/>
      <c r="AN55" s="69"/>
      <c r="AO55" s="69"/>
      <c r="AP55" s="69"/>
      <c r="AQ55" s="69"/>
      <c r="AR55" s="69"/>
      <c r="AS55" s="69"/>
      <c r="AT55" s="69"/>
    </row>
  </sheetData>
  <sheetProtection insertColumns="0" insertRows="0" deleteColumns="0" deleteRows="0" autoFilter="0"/>
  <mergeCells count="344">
    <mergeCell ref="AR35:AR36"/>
    <mergeCell ref="AS35:AS36"/>
    <mergeCell ref="AT35:AT36"/>
    <mergeCell ref="AU35:AU36"/>
    <mergeCell ref="AV35:AV36"/>
    <mergeCell ref="AW35:AW36"/>
    <mergeCell ref="AX35:AX36"/>
    <mergeCell ref="AY35:AY36"/>
    <mergeCell ref="AZ35:AZ36"/>
    <mergeCell ref="A35:A36"/>
    <mergeCell ref="B35:B36"/>
    <mergeCell ref="C35:C36"/>
    <mergeCell ref="D35:D36"/>
    <mergeCell ref="AJ35:AJ36"/>
    <mergeCell ref="AK35:AK36"/>
    <mergeCell ref="AL35:AL36"/>
    <mergeCell ref="AM35:AM36"/>
    <mergeCell ref="AN35:AN36"/>
    <mergeCell ref="AR29:AR30"/>
    <mergeCell ref="AS29:AS30"/>
    <mergeCell ref="AT29:AT30"/>
    <mergeCell ref="AU29:AU30"/>
    <mergeCell ref="AV29:AV30"/>
    <mergeCell ref="AW29:AW30"/>
    <mergeCell ref="AX29:AX30"/>
    <mergeCell ref="AY29:AY30"/>
    <mergeCell ref="AZ29:AZ30"/>
    <mergeCell ref="A29:A30"/>
    <mergeCell ref="B29:B30"/>
    <mergeCell ref="C29:C30"/>
    <mergeCell ref="D29:D30"/>
    <mergeCell ref="AJ29:AJ30"/>
    <mergeCell ref="AK29:AK30"/>
    <mergeCell ref="AL29:AL30"/>
    <mergeCell ref="AM29:AM30"/>
    <mergeCell ref="AN29:AN30"/>
    <mergeCell ref="A27:A28"/>
    <mergeCell ref="B27:B28"/>
    <mergeCell ref="C27:C28"/>
    <mergeCell ref="D27:D28"/>
    <mergeCell ref="AJ27:AJ28"/>
    <mergeCell ref="AK27:AK28"/>
    <mergeCell ref="AL27:AL28"/>
    <mergeCell ref="AM27:AM28"/>
    <mergeCell ref="AN27:AN28"/>
    <mergeCell ref="AX19:AX20"/>
    <mergeCell ref="AY19:AY20"/>
    <mergeCell ref="AZ19:AZ20"/>
    <mergeCell ref="A25:A26"/>
    <mergeCell ref="B25:B26"/>
    <mergeCell ref="C25:C26"/>
    <mergeCell ref="D25:D26"/>
    <mergeCell ref="AJ25:AJ26"/>
    <mergeCell ref="AK25:AK26"/>
    <mergeCell ref="AL25:AL26"/>
    <mergeCell ref="AM25:AM26"/>
    <mergeCell ref="AN25:AN26"/>
    <mergeCell ref="AO25:AO26"/>
    <mergeCell ref="AP25:AP26"/>
    <mergeCell ref="AQ25:AQ26"/>
    <mergeCell ref="AR25:AR26"/>
    <mergeCell ref="AS25:AS26"/>
    <mergeCell ref="AT25:AT26"/>
    <mergeCell ref="AU25:AU26"/>
    <mergeCell ref="AV25:AV26"/>
    <mergeCell ref="AW25:AW26"/>
    <mergeCell ref="AX25:AX26"/>
    <mergeCell ref="AY25:AY26"/>
    <mergeCell ref="AZ25:AZ26"/>
    <mergeCell ref="AO19:AO20"/>
    <mergeCell ref="AP19:AP20"/>
    <mergeCell ref="AQ19:AQ20"/>
    <mergeCell ref="AR19:AR20"/>
    <mergeCell ref="AS19:AS20"/>
    <mergeCell ref="AT19:AT20"/>
    <mergeCell ref="AU19:AU20"/>
    <mergeCell ref="AV19:AV20"/>
    <mergeCell ref="AW19:AW20"/>
    <mergeCell ref="A19:A20"/>
    <mergeCell ref="B19:B20"/>
    <mergeCell ref="C19:C20"/>
    <mergeCell ref="D19:D20"/>
    <mergeCell ref="AJ19:AJ20"/>
    <mergeCell ref="AK19:AK20"/>
    <mergeCell ref="AL19:AL20"/>
    <mergeCell ref="AM19:AM20"/>
    <mergeCell ref="AN19:AN20"/>
    <mergeCell ref="BA31:BA32"/>
    <mergeCell ref="A31:A32"/>
    <mergeCell ref="B31:B32"/>
    <mergeCell ref="C31:C32"/>
    <mergeCell ref="D31:D32"/>
    <mergeCell ref="AJ31:AJ32"/>
    <mergeCell ref="AK31:AK32"/>
    <mergeCell ref="AL31:AL32"/>
    <mergeCell ref="AM31:AM32"/>
    <mergeCell ref="AN31:AN32"/>
    <mergeCell ref="BA21:BA22"/>
    <mergeCell ref="D21:D22"/>
    <mergeCell ref="C21:C22"/>
    <mergeCell ref="B21:B22"/>
    <mergeCell ref="A21:A22"/>
    <mergeCell ref="A39:A40"/>
    <mergeCell ref="B39:B40"/>
    <mergeCell ref="C39:C40"/>
    <mergeCell ref="D39:D40"/>
    <mergeCell ref="A23:A24"/>
    <mergeCell ref="B23:B24"/>
    <mergeCell ref="C23:C24"/>
    <mergeCell ref="D23:D24"/>
    <mergeCell ref="BA23:BA24"/>
    <mergeCell ref="A33:A34"/>
    <mergeCell ref="BA33:BA34"/>
    <mergeCell ref="AO23:AO24"/>
    <mergeCell ref="AO33:AO34"/>
    <mergeCell ref="AO37:AO38"/>
    <mergeCell ref="AJ21:AJ22"/>
    <mergeCell ref="AJ23:AJ24"/>
    <mergeCell ref="AJ33:AJ34"/>
    <mergeCell ref="AJ37:AJ38"/>
    <mergeCell ref="AJ39:AJ40"/>
    <mergeCell ref="U42:Z42"/>
    <mergeCell ref="U44:Z44"/>
    <mergeCell ref="E55:Q55"/>
    <mergeCell ref="B33:B34"/>
    <mergeCell ref="C33:C34"/>
    <mergeCell ref="D33:D34"/>
    <mergeCell ref="A42:C42"/>
    <mergeCell ref="D42:I42"/>
    <mergeCell ref="K42:M42"/>
    <mergeCell ref="O42:S42"/>
    <mergeCell ref="K45:M45"/>
    <mergeCell ref="O45:S45"/>
    <mergeCell ref="D44:I44"/>
    <mergeCell ref="K44:M44"/>
    <mergeCell ref="O44:S44"/>
    <mergeCell ref="D43:I43"/>
    <mergeCell ref="K43:M43"/>
    <mergeCell ref="O43:S43"/>
    <mergeCell ref="E54:Q54"/>
    <mergeCell ref="D45:I45"/>
    <mergeCell ref="A37:A38"/>
    <mergeCell ref="B37:B38"/>
    <mergeCell ref="C37:C38"/>
    <mergeCell ref="D37:D38"/>
    <mergeCell ref="BA17:BA18"/>
    <mergeCell ref="AK17:AK18"/>
    <mergeCell ref="AL17:AL18"/>
    <mergeCell ref="AM17:AM18"/>
    <mergeCell ref="AN17:AN18"/>
    <mergeCell ref="AO17:AO18"/>
    <mergeCell ref="AP17:AP18"/>
    <mergeCell ref="AS17:AS18"/>
    <mergeCell ref="AT17:AT18"/>
    <mergeCell ref="AU17:AU18"/>
    <mergeCell ref="AV17:AV18"/>
    <mergeCell ref="AX17:AX18"/>
    <mergeCell ref="AY17:AY18"/>
    <mergeCell ref="AZ17:AZ18"/>
    <mergeCell ref="AR17:AR18"/>
    <mergeCell ref="AZ13:AZ15"/>
    <mergeCell ref="AK14:AK15"/>
    <mergeCell ref="AL14:AO14"/>
    <mergeCell ref="AV13:AV15"/>
    <mergeCell ref="AX13:AX15"/>
    <mergeCell ref="AY13:AY15"/>
    <mergeCell ref="A17:A18"/>
    <mergeCell ref="B17:B18"/>
    <mergeCell ref="C17:C18"/>
    <mergeCell ref="D17:D18"/>
    <mergeCell ref="AS13:AS15"/>
    <mergeCell ref="AT13:AT15"/>
    <mergeCell ref="AU13:AU15"/>
    <mergeCell ref="AG13:AG15"/>
    <mergeCell ref="AH13:AH15"/>
    <mergeCell ref="AI13:AI15"/>
    <mergeCell ref="AJ13:AJ15"/>
    <mergeCell ref="AK13:AO13"/>
    <mergeCell ref="AR13:AR15"/>
    <mergeCell ref="AA13:AA15"/>
    <mergeCell ref="AB13:AB15"/>
    <mergeCell ref="AJ17:AJ18"/>
    <mergeCell ref="T13:T15"/>
    <mergeCell ref="G13:G15"/>
    <mergeCell ref="A2:N2"/>
    <mergeCell ref="W2:AB2"/>
    <mergeCell ref="W3:Y3"/>
    <mergeCell ref="Z3:AB3"/>
    <mergeCell ref="W4:Y4"/>
    <mergeCell ref="Z4:AB4"/>
    <mergeCell ref="A12:A15"/>
    <mergeCell ref="B12:B15"/>
    <mergeCell ref="C12:C15"/>
    <mergeCell ref="D12:D15"/>
    <mergeCell ref="E12:AI12"/>
    <mergeCell ref="L13:L15"/>
    <mergeCell ref="M13:M15"/>
    <mergeCell ref="N13:N15"/>
    <mergeCell ref="A5:N5"/>
    <mergeCell ref="A6:N6"/>
    <mergeCell ref="W6:Y7"/>
    <mergeCell ref="AC13:AC15"/>
    <mergeCell ref="Z6:AB7"/>
    <mergeCell ref="A8:B8"/>
    <mergeCell ref="C8:F8"/>
    <mergeCell ref="W8:Y8"/>
    <mergeCell ref="Z8:AB8"/>
    <mergeCell ref="H9:S9"/>
    <mergeCell ref="D10:P10"/>
    <mergeCell ref="O13:O15"/>
    <mergeCell ref="P13:P15"/>
    <mergeCell ref="Q13:Q15"/>
    <mergeCell ref="R13:R15"/>
    <mergeCell ref="S13:S15"/>
    <mergeCell ref="H13:H15"/>
    <mergeCell ref="I13:I15"/>
    <mergeCell ref="J13:J15"/>
    <mergeCell ref="K13:K15"/>
    <mergeCell ref="AO39:AO40"/>
    <mergeCell ref="AP39:AP40"/>
    <mergeCell ref="AQ39:AQ40"/>
    <mergeCell ref="AR39:AR40"/>
    <mergeCell ref="AS39:AS40"/>
    <mergeCell ref="AJ12:AO12"/>
    <mergeCell ref="AP12:AP15"/>
    <mergeCell ref="AQ12:AQ15"/>
    <mergeCell ref="X13:X15"/>
    <mergeCell ref="Y13:Y15"/>
    <mergeCell ref="Z13:Z15"/>
    <mergeCell ref="E16:AI16"/>
    <mergeCell ref="AK16:AO16"/>
    <mergeCell ref="AD13:AD15"/>
    <mergeCell ref="AE13:AE15"/>
    <mergeCell ref="AF13:AF15"/>
    <mergeCell ref="U13:U15"/>
    <mergeCell ref="V13:V15"/>
    <mergeCell ref="W13:W15"/>
    <mergeCell ref="AQ17:AQ18"/>
    <mergeCell ref="E13:E15"/>
    <mergeCell ref="F13:F15"/>
    <mergeCell ref="AN33:AN34"/>
    <mergeCell ref="AN37:AN38"/>
    <mergeCell ref="AT39:AT40"/>
    <mergeCell ref="AU39:AU40"/>
    <mergeCell ref="AV39:AV40"/>
    <mergeCell ref="AX39:AX40"/>
    <mergeCell ref="AY39:AY40"/>
    <mergeCell ref="AZ39:AZ40"/>
    <mergeCell ref="AK21:AK22"/>
    <mergeCell ref="AK23:AK24"/>
    <mergeCell ref="AK33:AK34"/>
    <mergeCell ref="AK37:AK38"/>
    <mergeCell ref="AL21:AL22"/>
    <mergeCell ref="AL23:AL24"/>
    <mergeCell ref="AL33:AL34"/>
    <mergeCell ref="AL37:AL38"/>
    <mergeCell ref="AM21:AM22"/>
    <mergeCell ref="AM23:AM24"/>
    <mergeCell ref="AM33:AM34"/>
    <mergeCell ref="AM37:AM38"/>
    <mergeCell ref="AN21:AN22"/>
    <mergeCell ref="AN23:AN24"/>
    <mergeCell ref="AK39:AK40"/>
    <mergeCell ref="AL39:AL40"/>
    <mergeCell ref="AM39:AM40"/>
    <mergeCell ref="AN39:AN40"/>
    <mergeCell ref="AO21:AO22"/>
    <mergeCell ref="AP21:AP22"/>
    <mergeCell ref="AP23:AP24"/>
    <mergeCell ref="AP33:AP34"/>
    <mergeCell ref="AP37:AP38"/>
    <mergeCell ref="AQ21:AQ22"/>
    <mergeCell ref="AQ23:AQ24"/>
    <mergeCell ref="AQ33:AQ34"/>
    <mergeCell ref="AQ37:AQ38"/>
    <mergeCell ref="AO31:AO32"/>
    <mergeCell ref="AP31:AP32"/>
    <mergeCell ref="AQ31:AQ32"/>
    <mergeCell ref="AO27:AO28"/>
    <mergeCell ref="AP27:AP28"/>
    <mergeCell ref="AQ27:AQ28"/>
    <mergeCell ref="AO29:AO30"/>
    <mergeCell ref="AP29:AP30"/>
    <mergeCell ref="AQ29:AQ30"/>
    <mergeCell ref="AO35:AO36"/>
    <mergeCell ref="AP35:AP36"/>
    <mergeCell ref="AQ35:AQ36"/>
    <mergeCell ref="AT21:AT22"/>
    <mergeCell ref="AT23:AT24"/>
    <mergeCell ref="AT33:AT34"/>
    <mergeCell ref="AT37:AT38"/>
    <mergeCell ref="AU21:AU22"/>
    <mergeCell ref="AU23:AU24"/>
    <mergeCell ref="AU33:AU34"/>
    <mergeCell ref="AU37:AU38"/>
    <mergeCell ref="AR21:AR22"/>
    <mergeCell ref="AR23:AR24"/>
    <mergeCell ref="AR33:AR34"/>
    <mergeCell ref="AR37:AR38"/>
    <mergeCell ref="AS21:AS22"/>
    <mergeCell ref="AS23:AS24"/>
    <mergeCell ref="AS33:AS34"/>
    <mergeCell ref="AS37:AS38"/>
    <mergeCell ref="AR31:AR32"/>
    <mergeCell ref="AS31:AS32"/>
    <mergeCell ref="AT31:AT32"/>
    <mergeCell ref="AU31:AU32"/>
    <mergeCell ref="AR27:AR28"/>
    <mergeCell ref="AS27:AS28"/>
    <mergeCell ref="AT27:AT28"/>
    <mergeCell ref="AU27:AU28"/>
    <mergeCell ref="AZ21:AZ22"/>
    <mergeCell ref="AZ23:AZ24"/>
    <mergeCell ref="AZ33:AZ34"/>
    <mergeCell ref="AZ37:AZ38"/>
    <mergeCell ref="AX21:AX22"/>
    <mergeCell ref="AX23:AX24"/>
    <mergeCell ref="AX33:AX34"/>
    <mergeCell ref="AX37:AX38"/>
    <mergeCell ref="AY21:AY22"/>
    <mergeCell ref="AY23:AY24"/>
    <mergeCell ref="AY33:AY34"/>
    <mergeCell ref="AY37:AY38"/>
    <mergeCell ref="AX31:AX32"/>
    <mergeCell ref="AY31:AY32"/>
    <mergeCell ref="AZ31:AZ32"/>
    <mergeCell ref="AX27:AX28"/>
    <mergeCell ref="AY27:AY28"/>
    <mergeCell ref="AZ27:AZ28"/>
    <mergeCell ref="AW13:AW15"/>
    <mergeCell ref="AW17:AW18"/>
    <mergeCell ref="AW21:AW22"/>
    <mergeCell ref="AW23:AW24"/>
    <mergeCell ref="AW33:AW34"/>
    <mergeCell ref="AW37:AW38"/>
    <mergeCell ref="AW39:AW40"/>
    <mergeCell ref="AV21:AV22"/>
    <mergeCell ref="AV23:AV24"/>
    <mergeCell ref="AV33:AV34"/>
    <mergeCell ref="AV37:AV38"/>
    <mergeCell ref="AV31:AV32"/>
    <mergeCell ref="AW31:AW32"/>
    <mergeCell ref="AV27:AV28"/>
    <mergeCell ref="AW27:AW28"/>
  </mergeCells>
  <conditionalFormatting sqref="E17">
    <cfRule type="expression" dxfId="1390" priority="73" stopIfTrue="1">
      <formula>(E17="Р")</formula>
    </cfRule>
    <cfRule type="expression" dxfId="1389" priority="74" stopIfTrue="1">
      <formula>(E17="ВЧ")</formula>
    </cfRule>
    <cfRule type="expression" dxfId="1388" priority="75" stopIfTrue="1">
      <formula>(E17="ВЧ1")</formula>
    </cfRule>
    <cfRule type="expression" dxfId="1387" priority="76" stopIfTrue="1">
      <formula>(E17="ВЧ2")</formula>
    </cfRule>
    <cfRule type="expression" dxfId="1386" priority="77" stopIfTrue="1">
      <formula>(E17="РН")</formula>
    </cfRule>
    <cfRule type="expression" dxfId="1385" priority="78" stopIfTrue="1">
      <formula>(E17="НУ")</formula>
    </cfRule>
    <cfRule type="expression" dxfId="1384" priority="79" stopIfTrue="1">
      <formula>(E17="Р1")</formula>
    </cfRule>
    <cfRule type="expression" dxfId="1383" priority="80" stopIfTrue="1">
      <formula>(E17="Р2")</formula>
    </cfRule>
    <cfRule type="expression" dxfId="1382" priority="81" stopIfTrue="1">
      <formula>(E17="Р1/РВ")</formula>
    </cfRule>
    <cfRule type="expression" dxfId="1381" priority="82" stopIfTrue="1">
      <formula>(E17="Р2/РВ")</formula>
    </cfRule>
    <cfRule type="expression" dxfId="1380" priority="83" stopIfTrue="1">
      <formula>(E17="ВЧ/РВ")</formula>
    </cfRule>
    <cfRule type="expression" priority="84" stopIfTrue="1">
      <formula>(E17="РН/РВ")</formula>
    </cfRule>
  </conditionalFormatting>
  <conditionalFormatting sqref="F17:AI17">
    <cfRule type="expression" dxfId="1379" priority="61" stopIfTrue="1">
      <formula>(F17="Р")</formula>
    </cfRule>
    <cfRule type="expression" dxfId="1378" priority="62" stopIfTrue="1">
      <formula>(F17="ВЧ")</formula>
    </cfRule>
    <cfRule type="expression" dxfId="1377" priority="63" stopIfTrue="1">
      <formula>(F17="ВЧ1")</formula>
    </cfRule>
    <cfRule type="expression" dxfId="1376" priority="64" stopIfTrue="1">
      <formula>(F17="ВЧ2")</formula>
    </cfRule>
    <cfRule type="expression" dxfId="1375" priority="65" stopIfTrue="1">
      <formula>(F17="РН")</formula>
    </cfRule>
    <cfRule type="expression" dxfId="1374" priority="66" stopIfTrue="1">
      <formula>(F17="НУ")</formula>
    </cfRule>
    <cfRule type="expression" dxfId="1373" priority="67" stopIfTrue="1">
      <formula>(F17="Р1")</formula>
    </cfRule>
    <cfRule type="expression" dxfId="1372" priority="68" stopIfTrue="1">
      <formula>(F17="Р2")</formula>
    </cfRule>
    <cfRule type="expression" dxfId="1371" priority="69" stopIfTrue="1">
      <formula>(F17="Р1/РВ")</formula>
    </cfRule>
    <cfRule type="expression" dxfId="1370" priority="70" stopIfTrue="1">
      <formula>(F17="Р2/РВ")</formula>
    </cfRule>
    <cfRule type="expression" dxfId="1369" priority="71" stopIfTrue="1">
      <formula>(F17="ВЧ/РВ")</formula>
    </cfRule>
    <cfRule type="expression" priority="72" stopIfTrue="1">
      <formula>(F17="РН/РВ")</formula>
    </cfRule>
  </conditionalFormatting>
  <conditionalFormatting sqref="E18">
    <cfRule type="expression" dxfId="1368" priority="85" stopIfTrue="1">
      <formula>(E17="ВД")</formula>
    </cfRule>
    <cfRule type="expression" dxfId="1367" priority="86" stopIfTrue="1">
      <formula>(E17="В")</formula>
    </cfRule>
    <cfRule type="expression" dxfId="1366" priority="87" stopIfTrue="1">
      <formula>(E17="ВП")</formula>
    </cfRule>
    <cfRule type="expression" dxfId="1365" priority="88" stopIfTrue="1">
      <formula>(E17="ДД")</formula>
    </cfRule>
    <cfRule type="expression" dxfId="1364" priority="89" stopIfTrue="1">
      <formula>(E17="НА")</formula>
    </cfRule>
    <cfRule type="expression" dxfId="1363" priority="90" stopIfTrue="1">
      <formula>(E17="Ч")</formula>
    </cfRule>
    <cfRule type="expression" dxfId="1362" priority="91" stopIfTrue="1">
      <formula>(E17="Н")</formula>
    </cfRule>
    <cfRule type="expression" dxfId="1361" priority="92" stopIfTrue="1">
      <formula>(E17="ТН")</formula>
    </cfRule>
    <cfRule type="expression" dxfId="1360" priority="93" stopIfTrue="1">
      <formula>(E17="ДО")</formula>
    </cfRule>
    <cfRule type="expression" dxfId="1359" priority="94" stopIfTrue="1">
      <formula>(E17="ІН")</formula>
    </cfRule>
    <cfRule type="expression" dxfId="1358" priority="95" stopIfTrue="1">
      <formula>(E17="РВ")</formula>
    </cfRule>
    <cfRule type="expression" dxfId="1357" priority="96" stopIfTrue="1">
      <formula>(E17="ВБ")</formula>
    </cfRule>
  </conditionalFormatting>
  <conditionalFormatting sqref="F18:AI18">
    <cfRule type="expression" dxfId="1356" priority="49" stopIfTrue="1">
      <formula>(F17="ВД")</formula>
    </cfRule>
    <cfRule type="expression" dxfId="1355" priority="50" stopIfTrue="1">
      <formula>(F17="В")</formula>
    </cfRule>
    <cfRule type="expression" dxfId="1354" priority="51" stopIfTrue="1">
      <formula>(F17="ВП")</formula>
    </cfRule>
    <cfRule type="expression" dxfId="1353" priority="52" stopIfTrue="1">
      <formula>(F17="ДД")</formula>
    </cfRule>
    <cfRule type="expression" dxfId="1352" priority="53" stopIfTrue="1">
      <formula>(F17="НА")</formula>
    </cfRule>
    <cfRule type="expression" dxfId="1351" priority="54" stopIfTrue="1">
      <formula>(F17="Ч")</formula>
    </cfRule>
    <cfRule type="expression" dxfId="1350" priority="55" stopIfTrue="1">
      <formula>(F17="Н")</formula>
    </cfRule>
    <cfRule type="expression" dxfId="1349" priority="56" stopIfTrue="1">
      <formula>(F17="ТН")</formula>
    </cfRule>
    <cfRule type="expression" dxfId="1348" priority="57" stopIfTrue="1">
      <formula>(F17="ДО")</formula>
    </cfRule>
    <cfRule type="expression" dxfId="1347" priority="58" stopIfTrue="1">
      <formula>(F17="ІН")</formula>
    </cfRule>
    <cfRule type="expression" dxfId="1346" priority="59" stopIfTrue="1">
      <formula>(F17="РВ")</formula>
    </cfRule>
    <cfRule type="expression" dxfId="1345" priority="60" stopIfTrue="1">
      <formula>(F17="ВБ")</formula>
    </cfRule>
  </conditionalFormatting>
  <conditionalFormatting sqref="E19 E21 E23 E25 E27 E29 E31 E33 E35 E37">
    <cfRule type="expression" dxfId="1344" priority="25" stopIfTrue="1">
      <formula>(E19="Р")</formula>
    </cfRule>
    <cfRule type="expression" dxfId="1343" priority="26" stopIfTrue="1">
      <formula>(E19="ВЧ")</formula>
    </cfRule>
    <cfRule type="expression" dxfId="1342" priority="27" stopIfTrue="1">
      <formula>(E19="ВЧ1")</formula>
    </cfRule>
    <cfRule type="expression" dxfId="1341" priority="28" stopIfTrue="1">
      <formula>(E19="ВЧ2")</formula>
    </cfRule>
    <cfRule type="expression" dxfId="1340" priority="29" stopIfTrue="1">
      <formula>(E19="РН")</formula>
    </cfRule>
    <cfRule type="expression" dxfId="1339" priority="30" stopIfTrue="1">
      <formula>(E19="НУ")</formula>
    </cfRule>
    <cfRule type="expression" dxfId="1338" priority="31" stopIfTrue="1">
      <formula>(E19="Р1")</formula>
    </cfRule>
    <cfRule type="expression" dxfId="1337" priority="32" stopIfTrue="1">
      <formula>(E19="Р2")</formula>
    </cfRule>
    <cfRule type="expression" dxfId="1336" priority="33" stopIfTrue="1">
      <formula>(E19="Р1/РВ")</formula>
    </cfRule>
    <cfRule type="expression" dxfId="1335" priority="34" stopIfTrue="1">
      <formula>(E19="Р2/РВ")</formula>
    </cfRule>
    <cfRule type="expression" dxfId="1334" priority="35" stopIfTrue="1">
      <formula>(E19="ВЧ/РВ")</formula>
    </cfRule>
    <cfRule type="expression" priority="36" stopIfTrue="1">
      <formula>(E19="РН/РВ")</formula>
    </cfRule>
  </conditionalFormatting>
  <conditionalFormatting sqref="F19:AI19 F21:AI21 F23:AI23 F25:AI25 F27:AI27 F29:AI29 F31:AI31 F33:AI33 F35:AI35 F37:AI37">
    <cfRule type="expression" dxfId="1333" priority="13" stopIfTrue="1">
      <formula>(F19="Р")</formula>
    </cfRule>
    <cfRule type="expression" dxfId="1332" priority="14" stopIfTrue="1">
      <formula>(F19="ВЧ")</formula>
    </cfRule>
    <cfRule type="expression" dxfId="1331" priority="15" stopIfTrue="1">
      <formula>(F19="ВЧ1")</formula>
    </cfRule>
    <cfRule type="expression" dxfId="1330" priority="16" stopIfTrue="1">
      <formula>(F19="ВЧ2")</formula>
    </cfRule>
    <cfRule type="expression" dxfId="1329" priority="17" stopIfTrue="1">
      <formula>(F19="РН")</formula>
    </cfRule>
    <cfRule type="expression" dxfId="1328" priority="18" stopIfTrue="1">
      <formula>(F19="НУ")</formula>
    </cfRule>
    <cfRule type="expression" dxfId="1327" priority="19" stopIfTrue="1">
      <formula>(F19="Р1")</formula>
    </cfRule>
    <cfRule type="expression" dxfId="1326" priority="20" stopIfTrue="1">
      <formula>(F19="Р2")</formula>
    </cfRule>
    <cfRule type="expression" dxfId="1325" priority="21" stopIfTrue="1">
      <formula>(F19="Р1/РВ")</formula>
    </cfRule>
    <cfRule type="expression" dxfId="1324" priority="22" stopIfTrue="1">
      <formula>(F19="Р2/РВ")</formula>
    </cfRule>
    <cfRule type="expression" dxfId="1323" priority="23" stopIfTrue="1">
      <formula>(F19="ВЧ/РВ")</formula>
    </cfRule>
    <cfRule type="expression" priority="24" stopIfTrue="1">
      <formula>(F19="РН/РВ")</formula>
    </cfRule>
  </conditionalFormatting>
  <conditionalFormatting sqref="E20 E22 E24 E26 E28 E30 E32 E34 E36 E38">
    <cfRule type="expression" dxfId="1322" priority="37" stopIfTrue="1">
      <formula>(E19="ВД")</formula>
    </cfRule>
    <cfRule type="expression" dxfId="1321" priority="38" stopIfTrue="1">
      <formula>(E19="В")</formula>
    </cfRule>
    <cfRule type="expression" dxfId="1320" priority="39" stopIfTrue="1">
      <formula>(E19="ВП")</formula>
    </cfRule>
    <cfRule type="expression" dxfId="1319" priority="40" stopIfTrue="1">
      <formula>(E19="ДД")</formula>
    </cfRule>
    <cfRule type="expression" dxfId="1318" priority="41" stopIfTrue="1">
      <formula>(E19="НА")</formula>
    </cfRule>
    <cfRule type="expression" dxfId="1317" priority="42" stopIfTrue="1">
      <formula>(E19="Ч")</formula>
    </cfRule>
    <cfRule type="expression" dxfId="1316" priority="43" stopIfTrue="1">
      <formula>(E19="Н")</formula>
    </cfRule>
    <cfRule type="expression" dxfId="1315" priority="44" stopIfTrue="1">
      <formula>(E19="ТН")</formula>
    </cfRule>
    <cfRule type="expression" dxfId="1314" priority="45" stopIfTrue="1">
      <formula>(E19="ДО")</formula>
    </cfRule>
    <cfRule type="expression" dxfId="1313" priority="46" stopIfTrue="1">
      <formula>(E19="ІН")</formula>
    </cfRule>
    <cfRule type="expression" dxfId="1312" priority="47" stopIfTrue="1">
      <formula>(E19="РВ")</formula>
    </cfRule>
    <cfRule type="expression" dxfId="1311" priority="48" stopIfTrue="1">
      <formula>(E19="ВБ")</formula>
    </cfRule>
  </conditionalFormatting>
  <conditionalFormatting sqref="F20:AI20 F22:AI22 F24:AI24 F26:AI26 F28:AI28 F30:AI30 F32:AI32 F34:AI34 F36:AI36 F38:AI38">
    <cfRule type="expression" dxfId="1310" priority="1" stopIfTrue="1">
      <formula>(F19="ВД")</formula>
    </cfRule>
    <cfRule type="expression" dxfId="1309" priority="2" stopIfTrue="1">
      <formula>(F19="В")</formula>
    </cfRule>
    <cfRule type="expression" dxfId="1308" priority="3" stopIfTrue="1">
      <formula>(F19="ВП")</formula>
    </cfRule>
    <cfRule type="expression" dxfId="1307" priority="4" stopIfTrue="1">
      <formula>(F19="ДД")</formula>
    </cfRule>
    <cfRule type="expression" dxfId="1306" priority="5" stopIfTrue="1">
      <formula>(F19="НА")</formula>
    </cfRule>
    <cfRule type="expression" dxfId="1305" priority="6" stopIfTrue="1">
      <formula>(F19="Ч")</formula>
    </cfRule>
    <cfRule type="expression" dxfId="1304" priority="7" stopIfTrue="1">
      <formula>(F19="Н")</formula>
    </cfRule>
    <cfRule type="expression" dxfId="1303" priority="8" stopIfTrue="1">
      <formula>(F19="ТН")</formula>
    </cfRule>
    <cfRule type="expression" dxfId="1302" priority="9" stopIfTrue="1">
      <formula>(F19="ДО")</formula>
    </cfRule>
    <cfRule type="expression" dxfId="1301" priority="10" stopIfTrue="1">
      <formula>(F19="ІН")</formula>
    </cfRule>
    <cfRule type="expression" dxfId="1300" priority="11" stopIfTrue="1">
      <formula>(F19="РВ")</formula>
    </cfRule>
    <cfRule type="expression" dxfId="1299" priority="12" stopIfTrue="1">
      <formula>(F19="ВБ")</formula>
    </cfRule>
  </conditionalFormatting>
  <printOptions horizontalCentered="1"/>
  <pageMargins left="0.39370078740157483" right="0.39370078740157483" top="0.39370078740157483" bottom="0.39370078740157483" header="0" footer="0"/>
  <pageSetup paperSize="8" scale="85" fitToHeight="999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4" r:id="rId4" name="Button 4">
              <controlPr defaultSize="0" print="0" autoFill="0" autoPict="0" macro="[0]!Макрос1">
                <anchor moveWithCells="1" sizeWithCells="1">
                  <from>
                    <xdr:col>16</xdr:col>
                    <xdr:colOff>180975</xdr:colOff>
                    <xdr:row>1</xdr:row>
                    <xdr:rowOff>19050</xdr:rowOff>
                  </from>
                  <to>
                    <xdr:col>21</xdr:col>
                    <xdr:colOff>95250</xdr:colOff>
                    <xdr:row>2</xdr:row>
                    <xdr:rowOff>95250</xdr:rowOff>
                  </to>
                </anchor>
              </controlPr>
            </control>
          </mc:Choice>
        </mc:AlternateContent>
        <mc:AlternateContent xmlns:mc="http://schemas.openxmlformats.org/markup-compatibility/2006">
          <mc:Choice Requires="x14">
            <control shapeId="25605" r:id="rId5" name="Button 5">
              <controlPr defaultSize="0" print="0" autoFill="0" autoPict="0" macro="[0]!Макрос2">
                <anchor moveWithCells="1" sizeWithCells="1">
                  <from>
                    <xdr:col>16</xdr:col>
                    <xdr:colOff>180975</xdr:colOff>
                    <xdr:row>3</xdr:row>
                    <xdr:rowOff>85725</xdr:rowOff>
                  </from>
                  <to>
                    <xdr:col>21</xdr:col>
                    <xdr:colOff>104775</xdr:colOff>
                    <xdr:row>4</xdr:row>
                    <xdr:rowOff>123825</xdr:rowOff>
                  </to>
                </anchor>
              </controlPr>
            </control>
          </mc:Choice>
        </mc:AlternateContent>
        <mc:AlternateContent xmlns:mc="http://schemas.openxmlformats.org/markup-compatibility/2006">
          <mc:Choice Requires="x14">
            <control shapeId="25606" r:id="rId6" name="Button 6">
              <controlPr defaultSize="0" print="0" autoFill="0" autoPict="0" macro="[0]!Макрос3">
                <anchor moveWithCells="1" sizeWithCells="1">
                  <from>
                    <xdr:col>15</xdr:col>
                    <xdr:colOff>28575</xdr:colOff>
                    <xdr:row>5</xdr:row>
                    <xdr:rowOff>114300</xdr:rowOff>
                  </from>
                  <to>
                    <xdr:col>21</xdr:col>
                    <xdr:colOff>104775</xdr:colOff>
                    <xdr:row>7</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6">
    <pageSetUpPr fitToPage="1"/>
  </sheetPr>
  <dimension ref="A2:AZ141"/>
  <sheetViews>
    <sheetView showZeros="0" tabSelected="1" zoomScale="85" zoomScaleNormal="85" zoomScaleSheetLayoutView="80" workbookViewId="0">
      <pane ySplit="15" topLeftCell="A16" activePane="bottomLeft" state="frozen"/>
      <selection pane="bottomLeft" activeCell="E47" sqref="E47:I47"/>
    </sheetView>
  </sheetViews>
  <sheetFormatPr defaultRowHeight="12.75" x14ac:dyDescent="0.2"/>
  <cols>
    <col min="1" max="1" width="5.28515625" style="1" customWidth="1"/>
    <col min="2" max="2" width="25.85546875" style="1" customWidth="1"/>
    <col min="3" max="3" width="5.85546875" style="13" customWidth="1"/>
    <col min="4" max="18" width="3.7109375" style="1" customWidth="1"/>
    <col min="19" max="19" width="5.28515625" style="1" customWidth="1"/>
    <col min="20" max="35" width="3.7109375" style="1" customWidth="1"/>
    <col min="36" max="36" width="6.5703125" style="1" customWidth="1"/>
    <col min="37" max="37" width="7.28515625" style="1" customWidth="1"/>
    <col min="38" max="42" width="4.7109375" style="1" customWidth="1"/>
    <col min="43" max="43" width="7" style="1" customWidth="1"/>
    <col min="44" max="44" width="7.5703125" style="1" customWidth="1"/>
    <col min="45" max="45" width="6.85546875" style="1" customWidth="1"/>
    <col min="46" max="48" width="4.7109375" style="1" customWidth="1"/>
    <col min="49" max="49" width="4.7109375" style="131" customWidth="1"/>
    <col min="50" max="50" width="6" style="1" customWidth="1"/>
    <col min="51" max="51" width="5.7109375" style="1" customWidth="1"/>
    <col min="52" max="52" width="4.7109375" style="1" customWidth="1"/>
    <col min="53" max="16384" width="9.140625" style="1"/>
  </cols>
  <sheetData>
    <row r="2" spans="1:52" ht="12.75" customHeight="1" x14ac:dyDescent="0.2">
      <c r="A2" s="257" t="s">
        <v>69</v>
      </c>
      <c r="B2" s="257"/>
      <c r="C2" s="257"/>
      <c r="D2" s="257"/>
      <c r="E2" s="257"/>
      <c r="F2" s="257"/>
      <c r="G2" s="257"/>
      <c r="H2" s="257"/>
      <c r="I2" s="257"/>
      <c r="J2" s="257"/>
      <c r="K2" s="257"/>
      <c r="L2" s="257"/>
      <c r="M2" s="257"/>
      <c r="N2" s="257"/>
      <c r="W2" s="288"/>
      <c r="X2" s="288"/>
      <c r="Y2" s="288"/>
      <c r="Z2" s="288"/>
      <c r="AA2" s="288"/>
      <c r="AB2" s="288"/>
      <c r="AE2" s="258" t="s">
        <v>8</v>
      </c>
      <c r="AF2" s="259"/>
      <c r="AG2" s="259"/>
      <c r="AH2" s="259"/>
      <c r="AI2" s="259"/>
      <c r="AJ2" s="260"/>
    </row>
    <row r="3" spans="1:52" ht="12.75" customHeight="1" x14ac:dyDescent="0.2">
      <c r="C3" s="46" t="s">
        <v>6</v>
      </c>
      <c r="D3" s="47"/>
      <c r="W3" s="288"/>
      <c r="X3" s="288"/>
      <c r="Y3" s="288"/>
      <c r="Z3" s="288"/>
      <c r="AA3" s="288"/>
      <c r="AB3" s="288"/>
      <c r="AE3" s="258" t="s">
        <v>9</v>
      </c>
      <c r="AF3" s="259"/>
      <c r="AG3" s="260"/>
      <c r="AH3" s="254" t="s">
        <v>0</v>
      </c>
      <c r="AI3" s="255"/>
      <c r="AJ3" s="256"/>
    </row>
    <row r="4" spans="1:52" ht="13.5" customHeight="1" x14ac:dyDescent="0.2">
      <c r="O4" s="48"/>
      <c r="P4" s="48"/>
      <c r="Q4" s="48"/>
      <c r="W4" s="287"/>
      <c r="X4" s="287"/>
      <c r="Y4" s="287"/>
      <c r="Z4" s="287"/>
      <c r="AA4" s="287"/>
      <c r="AB4" s="287"/>
      <c r="AE4" s="261">
        <v>45717</v>
      </c>
      <c r="AF4" s="262"/>
      <c r="AG4" s="263"/>
      <c r="AH4" s="261">
        <v>45747</v>
      </c>
      <c r="AI4" s="262"/>
      <c r="AJ4" s="263"/>
    </row>
    <row r="5" spans="1:52" x14ac:dyDescent="0.2">
      <c r="A5" s="257" t="s">
        <v>80</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88"/>
      <c r="X6" s="288"/>
      <c r="Y6" s="288"/>
      <c r="Z6" s="288"/>
      <c r="AA6" s="288"/>
      <c r="AB6" s="288"/>
      <c r="AE6" s="251" t="s">
        <v>11</v>
      </c>
      <c r="AF6" s="252"/>
      <c r="AG6" s="253"/>
      <c r="AH6" s="251" t="s">
        <v>10</v>
      </c>
      <c r="AI6" s="252"/>
      <c r="AJ6" s="253"/>
    </row>
    <row r="7" spans="1:52" ht="12.75" customHeight="1" x14ac:dyDescent="0.2">
      <c r="O7" s="50"/>
      <c r="P7" s="50"/>
      <c r="W7" s="288"/>
      <c r="X7" s="288"/>
      <c r="Y7" s="288"/>
      <c r="Z7" s="288"/>
      <c r="AA7" s="288"/>
      <c r="AB7" s="288"/>
      <c r="AE7" s="254"/>
      <c r="AF7" s="255"/>
      <c r="AG7" s="256"/>
      <c r="AH7" s="254"/>
      <c r="AI7" s="255"/>
      <c r="AJ7" s="256"/>
    </row>
    <row r="8" spans="1:52" ht="12.75" customHeight="1" x14ac:dyDescent="0.2">
      <c r="A8" s="271" t="s">
        <v>58</v>
      </c>
      <c r="B8" s="271"/>
      <c r="C8" s="227">
        <v>38076191</v>
      </c>
      <c r="D8" s="227"/>
      <c r="E8" s="227"/>
      <c r="F8" s="227"/>
      <c r="W8" s="291"/>
      <c r="X8" s="271"/>
      <c r="Y8" s="271"/>
      <c r="Z8" s="292"/>
      <c r="AA8" s="271"/>
      <c r="AB8" s="271"/>
      <c r="AE8" s="272" t="s">
        <v>80</v>
      </c>
      <c r="AF8" s="273"/>
      <c r="AG8" s="274"/>
      <c r="AH8" s="261">
        <v>45747</v>
      </c>
      <c r="AI8" s="262"/>
      <c r="AJ8" s="263"/>
    </row>
    <row r="9" spans="1:52" ht="16.5" customHeight="1" x14ac:dyDescent="0.2">
      <c r="B9" s="101">
        <v>168</v>
      </c>
      <c r="H9" s="278" t="s">
        <v>1</v>
      </c>
      <c r="I9" s="278"/>
      <c r="J9" s="278"/>
      <c r="K9" s="278"/>
      <c r="L9" s="278"/>
      <c r="M9" s="278"/>
      <c r="N9" s="278"/>
      <c r="O9" s="278"/>
      <c r="P9" s="278"/>
      <c r="Q9" s="278"/>
      <c r="R9" s="278"/>
      <c r="S9" s="278"/>
      <c r="T9" s="42"/>
      <c r="U9" s="42"/>
      <c r="V9" s="42"/>
      <c r="W9" s="42"/>
      <c r="X9" s="42"/>
      <c r="Y9" s="42"/>
      <c r="Z9" s="42"/>
      <c r="AA9" s="42"/>
      <c r="AB9" s="42"/>
      <c r="AC9" s="42"/>
      <c r="AD9" s="42"/>
      <c r="AE9" s="42"/>
      <c r="AF9" s="42"/>
      <c r="AG9" s="42"/>
      <c r="AH9" s="42"/>
      <c r="AI9" s="42"/>
      <c r="AJ9" s="7"/>
      <c r="AK9" s="7"/>
      <c r="AL9" s="7"/>
      <c r="AM9" s="7"/>
      <c r="AN9" s="7"/>
      <c r="AO9" s="7"/>
      <c r="AP9" s="7"/>
      <c r="AQ9" s="7"/>
      <c r="AR9" s="7"/>
      <c r="AS9" s="7"/>
      <c r="AT9" s="7"/>
      <c r="AU9" s="7"/>
      <c r="AV9" s="7"/>
      <c r="AW9" s="7"/>
      <c r="AX9" s="7"/>
      <c r="AY9" s="7"/>
      <c r="AZ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c r="AZ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102"/>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35" t="s">
        <v>31</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36"/>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37"/>
    </row>
    <row r="16" spans="1:52" s="14" customFormat="1" ht="13.5" customHeight="1" thickBot="1" x14ac:dyDescent="0.25">
      <c r="A16" s="67">
        <v>1</v>
      </c>
      <c r="B16" s="66">
        <v>2</v>
      </c>
      <c r="C16" s="71">
        <v>3</v>
      </c>
      <c r="D16" s="71" t="s">
        <v>27</v>
      </c>
      <c r="E16" s="232">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43">
        <v>6</v>
      </c>
      <c r="AK16" s="233">
        <v>7</v>
      </c>
      <c r="AL16" s="232"/>
      <c r="AM16" s="232"/>
      <c r="AN16" s="232"/>
      <c r="AO16" s="234"/>
      <c r="AP16" s="43">
        <v>8</v>
      </c>
      <c r="AQ16" s="27">
        <v>9</v>
      </c>
      <c r="AR16" s="28"/>
      <c r="AS16" s="28"/>
      <c r="AT16" s="28"/>
      <c r="AU16" s="28"/>
      <c r="AV16" s="28"/>
      <c r="AW16" s="28"/>
      <c r="AX16" s="28"/>
      <c r="AY16" s="29"/>
      <c r="AZ16" s="29"/>
    </row>
    <row r="17" spans="1:52" ht="18.75" customHeight="1" x14ac:dyDescent="0.2">
      <c r="A17" s="289">
        <v>1</v>
      </c>
      <c r="B17" s="228" t="s">
        <v>292</v>
      </c>
      <c r="C17" s="228">
        <v>1819</v>
      </c>
      <c r="D17" s="228" t="s">
        <v>65</v>
      </c>
      <c r="E17" s="185" t="s">
        <v>142</v>
      </c>
      <c r="F17" s="191" t="s">
        <v>142</v>
      </c>
      <c r="G17" s="191" t="s">
        <v>4</v>
      </c>
      <c r="H17" s="191" t="s">
        <v>4</v>
      </c>
      <c r="I17" s="191" t="s">
        <v>4</v>
      </c>
      <c r="J17" s="191" t="s">
        <v>4</v>
      </c>
      <c r="K17" s="191" t="s">
        <v>4</v>
      </c>
      <c r="L17" s="191" t="s">
        <v>142</v>
      </c>
      <c r="M17" s="191" t="s">
        <v>142</v>
      </c>
      <c r="N17" s="191" t="s">
        <v>4</v>
      </c>
      <c r="O17" s="191" t="s">
        <v>4</v>
      </c>
      <c r="P17" s="191" t="s">
        <v>4</v>
      </c>
      <c r="Q17" s="191" t="s">
        <v>4</v>
      </c>
      <c r="R17" s="191" t="s">
        <v>4</v>
      </c>
      <c r="S17" s="191" t="s">
        <v>142</v>
      </c>
      <c r="T17" s="191" t="s">
        <v>142</v>
      </c>
      <c r="U17" s="191" t="s">
        <v>4</v>
      </c>
      <c r="V17" s="191" t="s">
        <v>4</v>
      </c>
      <c r="W17" s="191" t="s">
        <v>4</v>
      </c>
      <c r="X17" s="191" t="s">
        <v>4</v>
      </c>
      <c r="Y17" s="191" t="s">
        <v>4</v>
      </c>
      <c r="Z17" s="191" t="s">
        <v>142</v>
      </c>
      <c r="AA17" s="191" t="s">
        <v>142</v>
      </c>
      <c r="AB17" s="191" t="s">
        <v>52</v>
      </c>
      <c r="AC17" s="191" t="s">
        <v>52</v>
      </c>
      <c r="AD17" s="191" t="s">
        <v>52</v>
      </c>
      <c r="AE17" s="191" t="s">
        <v>52</v>
      </c>
      <c r="AF17" s="191" t="s">
        <v>52</v>
      </c>
      <c r="AG17" s="191" t="s">
        <v>142</v>
      </c>
      <c r="AH17" s="191" t="s">
        <v>142</v>
      </c>
      <c r="AI17" s="191" t="s">
        <v>4</v>
      </c>
      <c r="AJ17" s="213">
        <f>IFERROR(COUNTIF(E17:AI17,"=Р")+COUNTIF(E17:AI17,"=Р1")+COUNTIF(E17:AI17,"=ВЧ")+COUNTIF(E17:AI17,"=РН")+COUNTIF(E17:AI17,"=Р2")+COUNTIF(E17:AI17,"=Р1/РВ")+COUNTIF(E17:AI17,"=Р2/РВ")+COUNTIF(E17:AI17,"=ВЧ/РВ")+COUNTIF(E17:AI17,"=РН/РВ"),0)</f>
        <v>16</v>
      </c>
      <c r="AK17" s="202">
        <f>IFERROR(SUMIF(E17:AI17,"=Р2",E18:AI18)+SUMIF(E17:AI17,"=ВЧ/РВ",E18:AI18)+SUMIF(E17:AI17,"=РН/РВ",E18:AI18)+SUMIF(E17:AI17,"=Р1/РВ",E18:AI18)+SUMIF(E17:AI17,"=ВЧ2/РВ",E18:AI18)+SUMIF(E17:AI17,"=Р2/РВ",E18:AI18)+SUMIF(E17:AI17,"=Р",E18:AI18)+SUMIF(E17:AI17,"=Р1",E18:AI18)+SUMIF(E17:AI17,"=ВЧ1",E18:AI18)+SUMIF(E17:AI17,"=РН",E18:AI18)+SUMIF(E17:AI17,"=ВЧ",E18:AI18)+SUMIF(E17:AI17,"=НУ",E18:AI18),0)</f>
        <v>128.00000000000003</v>
      </c>
      <c r="AL17" s="202">
        <f>IFERROR(SUMIF(E17:AI17,"=НУ",E18:AI18),0)</f>
        <v>0</v>
      </c>
      <c r="AM17" s="202">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02">
        <f>IFERROR(SUMIF(E17:AI17,"=РВ",E18:AI18)+SUMIF(E17:AI17,"=ВЧ/РВ",E18:AI18)+SUMIF(E17:AI17,"=РН/РВ",E18:AI18)+SUMIF(E17:AI17,"=Р1/РВ",E18:AI18)+SUMIF(E17:AI17,"=ВЧ2/РВ",E18:AI18)+SUMIF(E17:AI17,"=Р2/РВ",E18:AI18),0)</f>
        <v>0</v>
      </c>
      <c r="AP17" s="202">
        <f>IFERROR(COUNTIF(E17:AI17,"=ВВ")+COUNTIF(E17:AI17,"=Р1/ВВ")+COUNTIF(E17:AI17,"=РН/ВВ")+COUNTIF(E17:AI17,"=ВЧ/ВВ"),0)</f>
        <v>10</v>
      </c>
      <c r="AQ17" s="202">
        <f>SUM(AR17:AZ17)</f>
        <v>40</v>
      </c>
      <c r="AR17" s="202">
        <f>IFERROR(SUMIF(E17:AI17,"=В",E18:AI18)+SUMIF(E17:AI17,"=Ч",E18:AI18)+SUMIF(E17:AI17,"=ВБ",E18:AI18),0)</f>
        <v>0</v>
      </c>
      <c r="AS17" s="202">
        <f>IFERROR(SUMIF(E17:AI17,"=Н",E18:AI18),0)</f>
        <v>0</v>
      </c>
      <c r="AT17" s="202">
        <f>IFERROR(SUMIF(E17:AI17,"=НА",E18:AI18),0)</f>
        <v>0</v>
      </c>
      <c r="AU17" s="202">
        <f>IFERROR(SUMIF(E17:AI17,"=ВП",E18:AI18),0)</f>
        <v>0</v>
      </c>
      <c r="AV17" s="202">
        <f>IFERROR(SUMIF(E17:AI17,"=ДД",E18:AI18),0)</f>
        <v>0</v>
      </c>
      <c r="AW17" s="202">
        <f>IFERROR(SUMIF(E17:AI17,"=ДО",E18:AI18),0)</f>
        <v>0</v>
      </c>
      <c r="AX17" s="202">
        <f>IFERROR(SUMIF(E17:AI17,"=ТН",E18:AI18),0)</f>
        <v>40</v>
      </c>
      <c r="AY17" s="202">
        <f>IFERROR(SUMIF(E17:AI17,"=ВД",E18:AI18),0)</f>
        <v>0</v>
      </c>
      <c r="AZ17" s="200">
        <f>IFERROR(SUMIF(E17:AI17,"=ІН",E18:AI18),0)+SUMIF(E17:AI17,"=НЗ",E18:AI18)</f>
        <v>0</v>
      </c>
    </row>
    <row r="18" spans="1:52" ht="16.5" customHeight="1" thickBot="1" x14ac:dyDescent="0.25">
      <c r="A18" s="290"/>
      <c r="B18" s="229"/>
      <c r="C18" s="229"/>
      <c r="D18" s="229"/>
      <c r="E18" s="186"/>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c r="AH18" s="192"/>
      <c r="AI18" s="192">
        <v>8.1999999999999993</v>
      </c>
      <c r="AJ18" s="214"/>
      <c r="AK18" s="203"/>
      <c r="AL18" s="203"/>
      <c r="AM18" s="203"/>
      <c r="AN18" s="212"/>
      <c r="AO18" s="203"/>
      <c r="AP18" s="203"/>
      <c r="AQ18" s="203"/>
      <c r="AR18" s="203"/>
      <c r="AS18" s="203"/>
      <c r="AT18" s="203"/>
      <c r="AU18" s="203"/>
      <c r="AV18" s="203"/>
      <c r="AW18" s="203"/>
      <c r="AX18" s="203"/>
      <c r="AY18" s="203"/>
      <c r="AZ18" s="201"/>
    </row>
    <row r="19" spans="1:52" ht="20.100000000000001" customHeight="1" x14ac:dyDescent="0.2">
      <c r="A19" s="289">
        <f>A17+1</f>
        <v>2</v>
      </c>
      <c r="B19" s="228" t="s">
        <v>167</v>
      </c>
      <c r="C19" s="228">
        <v>1981</v>
      </c>
      <c r="D19" s="228" t="s">
        <v>65</v>
      </c>
      <c r="E19" s="191" t="s">
        <v>142</v>
      </c>
      <c r="F19" s="191" t="s">
        <v>142</v>
      </c>
      <c r="G19" s="191" t="s">
        <v>4</v>
      </c>
      <c r="H19" s="191" t="s">
        <v>4</v>
      </c>
      <c r="I19" s="191" t="s">
        <v>4</v>
      </c>
      <c r="J19" s="191" t="s">
        <v>4</v>
      </c>
      <c r="K19" s="191" t="s">
        <v>4</v>
      </c>
      <c r="L19" s="191" t="s">
        <v>142</v>
      </c>
      <c r="M19" s="191" t="s">
        <v>142</v>
      </c>
      <c r="N19" s="191" t="s">
        <v>4</v>
      </c>
      <c r="O19" s="191" t="s">
        <v>4</v>
      </c>
      <c r="P19" s="191" t="s">
        <v>4</v>
      </c>
      <c r="Q19" s="191" t="s">
        <v>4</v>
      </c>
      <c r="R19" s="191" t="s">
        <v>4</v>
      </c>
      <c r="S19" s="191" t="s">
        <v>142</v>
      </c>
      <c r="T19" s="191" t="s">
        <v>142</v>
      </c>
      <c r="U19" s="191" t="s">
        <v>4</v>
      </c>
      <c r="V19" s="191" t="s">
        <v>4</v>
      </c>
      <c r="W19" s="191" t="s">
        <v>4</v>
      </c>
      <c r="X19" s="191" t="s">
        <v>4</v>
      </c>
      <c r="Y19" s="191" t="s">
        <v>4</v>
      </c>
      <c r="Z19" s="191" t="s">
        <v>142</v>
      </c>
      <c r="AA19" s="191" t="s">
        <v>142</v>
      </c>
      <c r="AB19" s="191" t="s">
        <v>4</v>
      </c>
      <c r="AC19" s="191" t="s">
        <v>4</v>
      </c>
      <c r="AD19" s="191" t="s">
        <v>4</v>
      </c>
      <c r="AE19" s="191" t="s">
        <v>4</v>
      </c>
      <c r="AF19" s="191" t="s">
        <v>4</v>
      </c>
      <c r="AG19" s="191" t="s">
        <v>142</v>
      </c>
      <c r="AH19" s="191" t="s">
        <v>142</v>
      </c>
      <c r="AI19" s="191" t="s">
        <v>4</v>
      </c>
      <c r="AJ19" s="213">
        <f>IFERROR(COUNTIF(E19:AI19,"=Р")+COUNTIF(E19:AI19,"=Р1")+COUNTIF(E19:AI19,"=ВЧ")+COUNTIF(E19:AI19,"=РН")+COUNTIF(E19:AI19,"=Р2")+COUNTIF(E19:AI19,"=Р1/РВ")+COUNTIF(E19:AI19,"=Р2/РВ")+COUNTIF(E19:AI19,"=ВЧ/РВ")+COUNTIF(E19:AI19,"=РН/РВ"),0)</f>
        <v>21</v>
      </c>
      <c r="AK19" s="202">
        <f>IFERROR(SUMIF(E19:AI19,"=Р2",E20:AI20)+SUMIF(E19:AI19,"=ВЧ/РВ",E20:AI20)+SUMIF(E19:AI19,"=РН/РВ",E20:AI20)+SUMIF(E19:AI19,"=Р1/РВ",E20:AI20)+SUMIF(E19:AI19,"=ВЧ2/РВ",E20:AI20)+SUMIF(E19:AI19,"=Р2/РВ",E20:AI20)+SUMIF(E19:AI19,"=Р",E20:AI20)+SUMIF(E19:AI19,"=Р1",E20:AI20)+SUMIF(E19:AI19,"=ВЧ1",E20:AI20)+SUMIF(E19:AI19,"=РН",E20:AI20)+SUMIF(E19:AI19,"=ВЧ",E20:AI20)+SUMIF(E19:AI19,"=НУ",E20:AI20),0)</f>
        <v>167.99999999999997</v>
      </c>
      <c r="AL19" s="202">
        <f>IFERROR(SUMIF(E19:AI19,"=НУ",E20:AI20),0)</f>
        <v>0</v>
      </c>
      <c r="AM19" s="202">
        <f>IFERROR(SUMIF(E19:AI19,"=РН",E20:AI20)+SUMIF(E19:AI19,"=РН/РВ",E20:AI20)+SUMIFS(E20:AI20,E19:AI19,"=Р2",E20:AI20,"=8"),0)</f>
        <v>0</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0</v>
      </c>
      <c r="AO19" s="202">
        <f>IFERROR(SUMIF(E19:AI19,"=РВ",E20:AI20)+SUMIF(E19:AI19,"=ВЧ/РВ",E20:AI20)+SUMIF(E19:AI19,"=РН/РВ",E20:AI20)+SUMIF(E19:AI19,"=Р1/РВ",E20:AI20)+SUMIF(E19:AI19,"=ВЧ2/РВ",E20:AI20)+SUMIF(E19:AI19,"=Р2/РВ",E20:AI20),0)</f>
        <v>0</v>
      </c>
      <c r="AP19" s="202">
        <f>IFERROR(COUNTIF(E19:AI19,"=ВВ")+COUNTIF(E19:AI19,"=Р1/ВВ")+COUNTIF(E19:AI19,"=РН/ВВ")+COUNTIF(E19:AI19,"=ВЧ/ВВ"),0)</f>
        <v>10</v>
      </c>
      <c r="AQ19" s="202">
        <f>SUM(AR19:AZ19)</f>
        <v>0</v>
      </c>
      <c r="AR19" s="202">
        <f>IFERROR(SUMIF(E19:AI19,"=В",E20:AI20)+SUMIF(E19:AI19,"=Ч",E20:AI20)+SUMIF(E19:AI19,"=ВБ",E20:AI20),0)</f>
        <v>0</v>
      </c>
      <c r="AS19" s="202">
        <f>IFERROR(SUMIF(E19:AI19,"=Н",E20:AI20),0)</f>
        <v>0</v>
      </c>
      <c r="AT19" s="202">
        <f>IFERROR(SUMIF(E19:AI19,"=НА",E20:AI20),0)</f>
        <v>0</v>
      </c>
      <c r="AU19" s="202">
        <f>IFERROR(SUMIF(E19:AI19,"=ВП",E20:AI20),0)</f>
        <v>0</v>
      </c>
      <c r="AV19" s="202">
        <f>IFERROR(SUMIF(E19:AI19,"=ДД",E20:AI20),0)</f>
        <v>0</v>
      </c>
      <c r="AW19" s="202">
        <f>IFERROR(SUMIF(E19:AI19,"=ДО",E20:AI20),0)</f>
        <v>0</v>
      </c>
      <c r="AX19" s="202">
        <f>IFERROR(SUMIF(E19:AI19,"=ТН",E20:AI20),0)</f>
        <v>0</v>
      </c>
      <c r="AY19" s="202">
        <f>IFERROR(SUMIF(E19:AI19,"=ВД",E20:AI20),0)</f>
        <v>0</v>
      </c>
      <c r="AZ19" s="200">
        <f>IFERROR(SUMIF(E19:AI19,"=ІН",E20:AI20),0)+SUMIF(E19:AI19,"=НЗ",E20:AI20)</f>
        <v>0</v>
      </c>
    </row>
    <row r="20" spans="1:52" ht="17.25" customHeight="1" thickBot="1" x14ac:dyDescent="0.25">
      <c r="A20" s="290"/>
      <c r="B20" s="229"/>
      <c r="C20" s="229"/>
      <c r="D20" s="229"/>
      <c r="E20" s="192"/>
      <c r="F20" s="192"/>
      <c r="G20" s="192">
        <v>8.1999999999999993</v>
      </c>
      <c r="H20" s="192">
        <v>8.1999999999999993</v>
      </c>
      <c r="I20" s="192">
        <v>8.1999999999999993</v>
      </c>
      <c r="J20" s="192">
        <v>8.1999999999999993</v>
      </c>
      <c r="K20" s="192">
        <v>7</v>
      </c>
      <c r="L20" s="192"/>
      <c r="M20" s="192"/>
      <c r="N20" s="192">
        <v>8.1999999999999993</v>
      </c>
      <c r="O20" s="192">
        <v>8.1999999999999993</v>
      </c>
      <c r="P20" s="192">
        <v>8.1999999999999993</v>
      </c>
      <c r="Q20" s="192">
        <v>8.1999999999999993</v>
      </c>
      <c r="R20" s="192">
        <v>7.2</v>
      </c>
      <c r="S20" s="192"/>
      <c r="T20" s="192"/>
      <c r="U20" s="192">
        <v>8.1999999999999993</v>
      </c>
      <c r="V20" s="192">
        <v>8.1999999999999993</v>
      </c>
      <c r="W20" s="192">
        <v>8.1999999999999993</v>
      </c>
      <c r="X20" s="192">
        <v>8.1999999999999993</v>
      </c>
      <c r="Y20" s="192">
        <v>7.2</v>
      </c>
      <c r="Z20" s="192"/>
      <c r="AA20" s="192"/>
      <c r="AB20" s="192">
        <v>8.1999999999999993</v>
      </c>
      <c r="AC20" s="192">
        <v>8.1999999999999993</v>
      </c>
      <c r="AD20" s="192">
        <v>8.1999999999999993</v>
      </c>
      <c r="AE20" s="192">
        <v>8.1999999999999993</v>
      </c>
      <c r="AF20" s="192">
        <v>7.2</v>
      </c>
      <c r="AG20" s="192"/>
      <c r="AH20" s="192"/>
      <c r="AI20" s="192">
        <v>8.1999999999999993</v>
      </c>
      <c r="AJ20" s="214"/>
      <c r="AK20" s="203"/>
      <c r="AL20" s="203"/>
      <c r="AM20" s="203"/>
      <c r="AN20" s="212"/>
      <c r="AO20" s="203"/>
      <c r="AP20" s="203"/>
      <c r="AQ20" s="203"/>
      <c r="AR20" s="203"/>
      <c r="AS20" s="203"/>
      <c r="AT20" s="203"/>
      <c r="AU20" s="203"/>
      <c r="AV20" s="203"/>
      <c r="AW20" s="203"/>
      <c r="AX20" s="203"/>
      <c r="AY20" s="203"/>
      <c r="AZ20" s="201"/>
    </row>
    <row r="21" spans="1:52" ht="21" customHeight="1" x14ac:dyDescent="0.2">
      <c r="A21" s="289">
        <f t="shared" ref="A21" si="0">A19+1</f>
        <v>3</v>
      </c>
      <c r="B21" s="228" t="s">
        <v>168</v>
      </c>
      <c r="C21" s="228">
        <v>2108</v>
      </c>
      <c r="D21" s="228" t="s">
        <v>65</v>
      </c>
      <c r="E21" s="191" t="s">
        <v>68</v>
      </c>
      <c r="F21" s="191" t="s">
        <v>68</v>
      </c>
      <c r="G21" s="191" t="s">
        <v>68</v>
      </c>
      <c r="H21" s="191" t="s">
        <v>68</v>
      </c>
      <c r="I21" s="191" t="s">
        <v>68</v>
      </c>
      <c r="J21" s="191" t="s">
        <v>68</v>
      </c>
      <c r="K21" s="191" t="s">
        <v>68</v>
      </c>
      <c r="L21" s="191" t="s">
        <v>68</v>
      </c>
      <c r="M21" s="191" t="s">
        <v>68</v>
      </c>
      <c r="N21" s="191" t="s">
        <v>68</v>
      </c>
      <c r="O21" s="191" t="s">
        <v>68</v>
      </c>
      <c r="P21" s="191" t="s">
        <v>68</v>
      </c>
      <c r="Q21" s="191" t="s">
        <v>68</v>
      </c>
      <c r="R21" s="191" t="s">
        <v>68</v>
      </c>
      <c r="S21" s="191" t="s">
        <v>68</v>
      </c>
      <c r="T21" s="191" t="s">
        <v>68</v>
      </c>
      <c r="U21" s="191" t="s">
        <v>68</v>
      </c>
      <c r="V21" s="191" t="s">
        <v>68</v>
      </c>
      <c r="W21" s="191" t="s">
        <v>68</v>
      </c>
      <c r="X21" s="191" t="s">
        <v>68</v>
      </c>
      <c r="Y21" s="191" t="s">
        <v>68</v>
      </c>
      <c r="Z21" s="191" t="s">
        <v>68</v>
      </c>
      <c r="AA21" s="191" t="s">
        <v>68</v>
      </c>
      <c r="AB21" s="191" t="s">
        <v>68</v>
      </c>
      <c r="AC21" s="191" t="s">
        <v>68</v>
      </c>
      <c r="AD21" s="191" t="s">
        <v>68</v>
      </c>
      <c r="AE21" s="191" t="s">
        <v>68</v>
      </c>
      <c r="AF21" s="191" t="s">
        <v>68</v>
      </c>
      <c r="AG21" s="191" t="s">
        <v>68</v>
      </c>
      <c r="AH21" s="191" t="s">
        <v>68</v>
      </c>
      <c r="AI21" s="191" t="s">
        <v>68</v>
      </c>
      <c r="AJ21" s="213">
        <f>IFERROR(COUNTIF(E21:AI21,"=Р")+COUNTIF(E21:AI21,"=Р1")+COUNTIF(E21:AI21,"=ВЧ")+COUNTIF(E21:AI21,"=РН")+COUNTIF(E21:AI21,"=Р2")+COUNTIF(E21:AI21,"=Р1/РВ")+COUNTIF(E21:AI21,"=Р2/РВ")+COUNTIF(E21:AI21,"=ВЧ/РВ")+COUNTIF(E21:AI21,"=РН/РВ"),0)</f>
        <v>0</v>
      </c>
      <c r="AK21" s="202">
        <f>IFERROR(SUMIF(E21:AI21,"=Р2",E22:AI22)+SUMIF(E21:AI21,"=ВЧ/РВ",E22:AI22)+SUMIF(E21:AI21,"=РН/РВ",E22:AI22)+SUMIF(E21:AI21,"=Р1/РВ",E22:AI22)+SUMIF(E21:AI21,"=ВЧ2/РВ",E22:AI22)+SUMIF(E21:AI21,"=Р2/РВ",E22:AI22)+SUMIF(E21:AI21,"=Р",E22:AI22)+SUMIF(E21:AI21,"=Р1",E22:AI22)+SUMIF(E21:AI21,"=ВЧ1",E22:AI22)+SUMIF(E21:AI21,"=РН",E22:AI22)+SUMIF(E21:AI21,"=ВЧ",E22:AI22)+SUMIF(E21:AI21,"=НУ",E22:AI22),0)</f>
        <v>0</v>
      </c>
      <c r="AL21" s="202">
        <f>IFERROR(SUMIF(E21:AI21,"=НУ",E22:AI22),0)</f>
        <v>0</v>
      </c>
      <c r="AM21" s="202">
        <f>IFERROR(SUMIF(E21:AI21,"=РН",E22:AI22)+SUMIF(E21:AI21,"=РН/РВ",E22:AI22)+SUMIFS(E22:AI22,E21:AI21,"=Р2",E22:AI22,"=8"),0)</f>
        <v>0</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0</v>
      </c>
      <c r="AO21" s="202">
        <f>IFERROR(SUMIF(E21:AI21,"=РВ",E22:AI22)+SUMIF(E21:AI21,"=ВЧ/РВ",E22:AI22)+SUMIF(E21:AI21,"=РН/РВ",E22:AI22)+SUMIF(E21:AI21,"=Р1/РВ",E22:AI22)+SUMIF(E21:AI21,"=ВЧ2/РВ",E22:AI22)+SUMIF(E21:AI21,"=Р2/РВ",E22:AI22),0)</f>
        <v>0</v>
      </c>
      <c r="AP21" s="202">
        <f>IFERROR(COUNTIF(E21:AI21,"=ВВ")+COUNTIF(E21:AI21,"=Р1/ВВ")+COUNTIF(E21:AI21,"=РН/ВВ")+COUNTIF(E21:AI21,"=ВЧ/ВВ"),0)</f>
        <v>0</v>
      </c>
      <c r="AQ21" s="202">
        <f>SUM(AR21:AZ21)</f>
        <v>167.99999999999997</v>
      </c>
      <c r="AR21" s="202">
        <f>IFERROR(SUMIF(E21:AI21,"=В",E22:AI22)+SUMIF(E21:AI21,"=Ч",E22:AI22)+SUMIF(E21:AI21,"=ВБ",E22:AI22),0)</f>
        <v>0</v>
      </c>
      <c r="AS21" s="202">
        <f>IFERROR(SUMIF(E21:AI21,"=Н",E22:AI22),0)</f>
        <v>0</v>
      </c>
      <c r="AT21" s="202">
        <f>IFERROR(SUMIF(E21:AI21,"=НА",E22:AI22),0)</f>
        <v>0</v>
      </c>
      <c r="AU21" s="202">
        <f>IFERROR(SUMIF(E21:AI21,"=ВП",E22:AI22),0)</f>
        <v>0</v>
      </c>
      <c r="AV21" s="202">
        <f>IFERROR(SUMIF(E21:AI21,"=ДД",E22:AI22),0)</f>
        <v>0</v>
      </c>
      <c r="AW21" s="202">
        <f>IFERROR(SUMIF(E21:AI21,"=ДО",E22:AI22),0)</f>
        <v>0</v>
      </c>
      <c r="AX21" s="202">
        <f>IFERROR(SUMIF(E21:AI21,"=ТН",E22:AI22),0)</f>
        <v>0</v>
      </c>
      <c r="AY21" s="202">
        <f>IFERROR(SUMIF(E21:AI21,"=ВД",E22:AI22),0)</f>
        <v>0</v>
      </c>
      <c r="AZ21" s="200">
        <f>IFERROR(SUMIF(E21:AI21,"=ІН",E22:AI22),0)+SUMIF(E21:AI21,"=НЗ",E22:AI22)</f>
        <v>167.99999999999997</v>
      </c>
    </row>
    <row r="22" spans="1:52" ht="18.75" customHeight="1" thickBot="1" x14ac:dyDescent="0.25">
      <c r="A22" s="290"/>
      <c r="B22" s="229"/>
      <c r="C22" s="229"/>
      <c r="D22" s="229"/>
      <c r="E22" s="192"/>
      <c r="F22" s="192"/>
      <c r="G22" s="192">
        <v>8.1999999999999993</v>
      </c>
      <c r="H22" s="192">
        <v>8.1999999999999993</v>
      </c>
      <c r="I22" s="192">
        <v>8.1999999999999993</v>
      </c>
      <c r="J22" s="192">
        <v>8.1999999999999993</v>
      </c>
      <c r="K22" s="192">
        <v>7</v>
      </c>
      <c r="L22" s="192"/>
      <c r="M22" s="192"/>
      <c r="N22" s="192">
        <v>8.1999999999999993</v>
      </c>
      <c r="O22" s="192">
        <v>8.1999999999999993</v>
      </c>
      <c r="P22" s="192">
        <v>8.1999999999999993</v>
      </c>
      <c r="Q22" s="192">
        <v>8.1999999999999993</v>
      </c>
      <c r="R22" s="192">
        <v>7.2</v>
      </c>
      <c r="S22" s="192"/>
      <c r="T22" s="192"/>
      <c r="U22" s="192">
        <v>8.1999999999999993</v>
      </c>
      <c r="V22" s="192">
        <v>8.1999999999999993</v>
      </c>
      <c r="W22" s="192">
        <v>8.1999999999999993</v>
      </c>
      <c r="X22" s="192">
        <v>8.1999999999999993</v>
      </c>
      <c r="Y22" s="192">
        <v>7.2</v>
      </c>
      <c r="Z22" s="192"/>
      <c r="AA22" s="192"/>
      <c r="AB22" s="192">
        <v>8.1999999999999993</v>
      </c>
      <c r="AC22" s="192">
        <v>8.1999999999999993</v>
      </c>
      <c r="AD22" s="192">
        <v>8.1999999999999993</v>
      </c>
      <c r="AE22" s="192">
        <v>8.1999999999999993</v>
      </c>
      <c r="AF22" s="192">
        <v>7.2</v>
      </c>
      <c r="AG22" s="192"/>
      <c r="AH22" s="192"/>
      <c r="AI22" s="192">
        <v>8.1999999999999993</v>
      </c>
      <c r="AJ22" s="214"/>
      <c r="AK22" s="203"/>
      <c r="AL22" s="203"/>
      <c r="AM22" s="203"/>
      <c r="AN22" s="212"/>
      <c r="AO22" s="203"/>
      <c r="AP22" s="203"/>
      <c r="AQ22" s="203"/>
      <c r="AR22" s="203"/>
      <c r="AS22" s="203"/>
      <c r="AT22" s="203"/>
      <c r="AU22" s="203"/>
      <c r="AV22" s="203"/>
      <c r="AW22" s="203"/>
      <c r="AX22" s="203"/>
      <c r="AY22" s="203"/>
      <c r="AZ22" s="201"/>
    </row>
    <row r="23" spans="1:52" ht="18.75" customHeight="1" x14ac:dyDescent="0.2">
      <c r="A23" s="289">
        <f t="shared" ref="A23" si="1">A21+1</f>
        <v>4</v>
      </c>
      <c r="B23" s="228" t="s">
        <v>169</v>
      </c>
      <c r="C23" s="228">
        <v>2050</v>
      </c>
      <c r="D23" s="228" t="s">
        <v>65</v>
      </c>
      <c r="E23" s="191" t="s">
        <v>142</v>
      </c>
      <c r="F23" s="191" t="s">
        <v>142</v>
      </c>
      <c r="G23" s="191" t="s">
        <v>4</v>
      </c>
      <c r="H23" s="191" t="s">
        <v>4</v>
      </c>
      <c r="I23" s="191" t="s">
        <v>4</v>
      </c>
      <c r="J23" s="191" t="s">
        <v>4</v>
      </c>
      <c r="K23" s="191" t="s">
        <v>4</v>
      </c>
      <c r="L23" s="191" t="s">
        <v>142</v>
      </c>
      <c r="M23" s="191" t="s">
        <v>142</v>
      </c>
      <c r="N23" s="191" t="s">
        <v>4</v>
      </c>
      <c r="O23" s="191" t="s">
        <v>4</v>
      </c>
      <c r="P23" s="191" t="s">
        <v>4</v>
      </c>
      <c r="Q23" s="191" t="s">
        <v>4</v>
      </c>
      <c r="R23" s="191" t="s">
        <v>4</v>
      </c>
      <c r="S23" s="191" t="s">
        <v>142</v>
      </c>
      <c r="T23" s="191" t="s">
        <v>142</v>
      </c>
      <c r="U23" s="191" t="s">
        <v>52</v>
      </c>
      <c r="V23" s="191" t="s">
        <v>52</v>
      </c>
      <c r="W23" s="191" t="s">
        <v>52</v>
      </c>
      <c r="X23" s="191" t="s">
        <v>52</v>
      </c>
      <c r="Y23" s="191" t="s">
        <v>52</v>
      </c>
      <c r="Z23" s="191" t="s">
        <v>142</v>
      </c>
      <c r="AA23" s="191" t="s">
        <v>142</v>
      </c>
      <c r="AB23" s="191" t="s">
        <v>4</v>
      </c>
      <c r="AC23" s="191" t="s">
        <v>4</v>
      </c>
      <c r="AD23" s="191" t="s">
        <v>4</v>
      </c>
      <c r="AE23" s="191" t="s">
        <v>4</v>
      </c>
      <c r="AF23" s="191" t="s">
        <v>4</v>
      </c>
      <c r="AG23" s="191" t="s">
        <v>142</v>
      </c>
      <c r="AH23" s="191" t="s">
        <v>142</v>
      </c>
      <c r="AI23" s="191" t="s">
        <v>4</v>
      </c>
      <c r="AJ23" s="213">
        <f>IFERROR(COUNTIF(E23:AI23,"=Р")+COUNTIF(E23:AI23,"=Р1")+COUNTIF(E23:AI23,"=ВЧ")+COUNTIF(E23:AI23,"=РН")+COUNTIF(E23:AI23,"=Р2")+COUNTIF(E23:AI23,"=Р1/РВ")+COUNTIF(E23:AI23,"=Р2/РВ")+COUNTIF(E23:AI23,"=ВЧ/РВ")+COUNTIF(E23:AI23,"=РН/РВ"),0)</f>
        <v>16</v>
      </c>
      <c r="AK23" s="202">
        <f>IFERROR(SUMIF(E23:AI23,"=Р2",E24:AI24)+SUMIF(E23:AI23,"=ВЧ/РВ",E24:AI24)+SUMIF(E23:AI23,"=РН/РВ",E24:AI24)+SUMIF(E23:AI23,"=Р1/РВ",E24:AI24)+SUMIF(E23:AI23,"=ВЧ2/РВ",E24:AI24)+SUMIF(E23:AI23,"=Р2/РВ",E24:AI24)+SUMIF(E23:AI23,"=Р",E24:AI24)+SUMIF(E23:AI23,"=Р1",E24:AI24)+SUMIF(E23:AI23,"=ВЧ1",E24:AI24)+SUMIF(E23:AI23,"=РН",E24:AI24)+SUMIF(E23:AI23,"=ВЧ",E24:AI24)+SUMIF(E23:AI23,"=НУ",E24:AI24),0)</f>
        <v>128.00000000000003</v>
      </c>
      <c r="AL23" s="202">
        <f>IFERROR(SUMIF(E23:AI23,"=НУ",E24:AI24),0)</f>
        <v>0</v>
      </c>
      <c r="AM23" s="202">
        <f>IFERROR(SUMIF(E23:AI23,"=РН",E24:AI24)+SUMIF(E23:AI23,"=РН/РВ",E24:AI24)+SUMIFS(E24:AI24,E23:AI23,"=Р2",E24:AI24,"=8"),0)</f>
        <v>0</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0</v>
      </c>
      <c r="AO23" s="202">
        <f>IFERROR(SUMIF(E23:AI23,"=РВ",E24:AI24)+SUMIF(E23:AI23,"=ВЧ/РВ",E24:AI24)+SUMIF(E23:AI23,"=РН/РВ",E24:AI24)+SUMIF(E23:AI23,"=Р1/РВ",E24:AI24)+SUMIF(E23:AI23,"=ВЧ2/РВ",E24:AI24)+SUMIF(E23:AI23,"=Р2/РВ",E24:AI24),0)</f>
        <v>0</v>
      </c>
      <c r="AP23" s="202">
        <f>IFERROR(COUNTIF(E23:AI23,"=ВВ")+COUNTIF(E23:AI23,"=Р1/ВВ")+COUNTIF(E23:AI23,"=РН/ВВ")+COUNTIF(E23:AI23,"=ВЧ/ВВ"),0)</f>
        <v>10</v>
      </c>
      <c r="AQ23" s="202">
        <f>SUM(AR23:AZ23)</f>
        <v>40</v>
      </c>
      <c r="AR23" s="202">
        <f>IFERROR(SUMIF(E23:AI23,"=В",E24:AI24)+SUMIF(E23:AI23,"=Ч",E24:AI24)+SUMIF(E23:AI23,"=ВБ",E24:AI24),0)</f>
        <v>0</v>
      </c>
      <c r="AS23" s="202">
        <f>IFERROR(SUMIF(E23:AI23,"=Н",E24:AI24),0)</f>
        <v>0</v>
      </c>
      <c r="AT23" s="202">
        <f>IFERROR(SUMIF(E23:AI23,"=НА",E24:AI24),0)</f>
        <v>0</v>
      </c>
      <c r="AU23" s="202">
        <f>IFERROR(SUMIF(E23:AI23,"=ВП",E24:AI24),0)</f>
        <v>0</v>
      </c>
      <c r="AV23" s="202">
        <f>IFERROR(SUMIF(E23:AI23,"=ДД",E24:AI24),0)</f>
        <v>0</v>
      </c>
      <c r="AW23" s="202">
        <f>IFERROR(SUMIF(E23:AI23,"=ДО",E24:AI24),0)</f>
        <v>0</v>
      </c>
      <c r="AX23" s="202">
        <f>IFERROR(SUMIF(E23:AI23,"=ТН",E24:AI24),0)</f>
        <v>40</v>
      </c>
      <c r="AY23" s="202">
        <f>IFERROR(SUMIF(E23:AI23,"=ВД",E24:AI24),0)</f>
        <v>0</v>
      </c>
      <c r="AZ23" s="200">
        <f>IFERROR(SUMIF(E23:AI23,"=ІН",E24:AI24),0)+SUMIF(E23:AI23,"=НЗ",E24:AI24)</f>
        <v>0</v>
      </c>
    </row>
    <row r="24" spans="1:52" ht="20.100000000000001" customHeight="1" thickBot="1" x14ac:dyDescent="0.25">
      <c r="A24" s="290"/>
      <c r="B24" s="229"/>
      <c r="C24" s="229"/>
      <c r="D24" s="229"/>
      <c r="E24" s="192"/>
      <c r="F24" s="192"/>
      <c r="G24" s="192">
        <v>8.1999999999999993</v>
      </c>
      <c r="H24" s="192">
        <v>8.1999999999999993</v>
      </c>
      <c r="I24" s="192">
        <v>8.1999999999999993</v>
      </c>
      <c r="J24" s="192">
        <v>8.1999999999999993</v>
      </c>
      <c r="K24" s="192">
        <v>7</v>
      </c>
      <c r="L24" s="192"/>
      <c r="M24" s="192"/>
      <c r="N24" s="192">
        <v>8.1999999999999993</v>
      </c>
      <c r="O24" s="192">
        <v>8.1999999999999993</v>
      </c>
      <c r="P24" s="192">
        <v>8.1999999999999993</v>
      </c>
      <c r="Q24" s="192">
        <v>8.1999999999999993</v>
      </c>
      <c r="R24" s="192">
        <v>7.2</v>
      </c>
      <c r="S24" s="192"/>
      <c r="T24" s="192"/>
      <c r="U24" s="192">
        <v>8.1999999999999993</v>
      </c>
      <c r="V24" s="192">
        <v>8.1999999999999993</v>
      </c>
      <c r="W24" s="192">
        <v>8.1999999999999993</v>
      </c>
      <c r="X24" s="192">
        <v>8.1999999999999993</v>
      </c>
      <c r="Y24" s="192">
        <v>7.2</v>
      </c>
      <c r="Z24" s="192"/>
      <c r="AA24" s="192"/>
      <c r="AB24" s="192">
        <v>8.1999999999999993</v>
      </c>
      <c r="AC24" s="192">
        <v>8.1999999999999993</v>
      </c>
      <c r="AD24" s="192">
        <v>8.1999999999999993</v>
      </c>
      <c r="AE24" s="192">
        <v>8.1999999999999993</v>
      </c>
      <c r="AF24" s="192">
        <v>7.2</v>
      </c>
      <c r="AG24" s="192"/>
      <c r="AH24" s="192"/>
      <c r="AI24" s="192">
        <v>8.1999999999999993</v>
      </c>
      <c r="AJ24" s="214"/>
      <c r="AK24" s="203"/>
      <c r="AL24" s="203"/>
      <c r="AM24" s="203"/>
      <c r="AN24" s="212"/>
      <c r="AO24" s="203"/>
      <c r="AP24" s="203"/>
      <c r="AQ24" s="203"/>
      <c r="AR24" s="203"/>
      <c r="AS24" s="203"/>
      <c r="AT24" s="203"/>
      <c r="AU24" s="203"/>
      <c r="AV24" s="203"/>
      <c r="AW24" s="203"/>
      <c r="AX24" s="203"/>
      <c r="AY24" s="203"/>
      <c r="AZ24" s="201"/>
    </row>
    <row r="25" spans="1:52" ht="18.75" customHeight="1" x14ac:dyDescent="0.2">
      <c r="A25" s="289">
        <f t="shared" ref="A25" si="2">A23+1</f>
        <v>5</v>
      </c>
      <c r="B25" s="228" t="s">
        <v>170</v>
      </c>
      <c r="C25" s="228">
        <v>1315</v>
      </c>
      <c r="D25" s="228" t="s">
        <v>72</v>
      </c>
      <c r="E25" s="191" t="s">
        <v>142</v>
      </c>
      <c r="F25" s="191" t="s">
        <v>142</v>
      </c>
      <c r="G25" s="191" t="s">
        <v>4</v>
      </c>
      <c r="H25" s="191" t="s">
        <v>4</v>
      </c>
      <c r="I25" s="191" t="s">
        <v>4</v>
      </c>
      <c r="J25" s="191" t="s">
        <v>4</v>
      </c>
      <c r="K25" s="191" t="s">
        <v>4</v>
      </c>
      <c r="L25" s="191" t="s">
        <v>142</v>
      </c>
      <c r="M25" s="191" t="s">
        <v>142</v>
      </c>
      <c r="N25" s="191" t="s">
        <v>4</v>
      </c>
      <c r="O25" s="191" t="s">
        <v>4</v>
      </c>
      <c r="P25" s="191" t="s">
        <v>4</v>
      </c>
      <c r="Q25" s="191" t="s">
        <v>4</v>
      </c>
      <c r="R25" s="191" t="s">
        <v>4</v>
      </c>
      <c r="S25" s="191" t="s">
        <v>142</v>
      </c>
      <c r="T25" s="191" t="s">
        <v>142</v>
      </c>
      <c r="U25" s="191" t="s">
        <v>4</v>
      </c>
      <c r="V25" s="191" t="s">
        <v>4</v>
      </c>
      <c r="W25" s="191" t="s">
        <v>4</v>
      </c>
      <c r="X25" s="191" t="s">
        <v>4</v>
      </c>
      <c r="Y25" s="191" t="s">
        <v>4</v>
      </c>
      <c r="Z25" s="191" t="s">
        <v>142</v>
      </c>
      <c r="AA25" s="191" t="s">
        <v>142</v>
      </c>
      <c r="AB25" s="191" t="s">
        <v>4</v>
      </c>
      <c r="AC25" s="191" t="s">
        <v>4</v>
      </c>
      <c r="AD25" s="191" t="s">
        <v>4</v>
      </c>
      <c r="AE25" s="191" t="s">
        <v>4</v>
      </c>
      <c r="AF25" s="191" t="s">
        <v>4</v>
      </c>
      <c r="AG25" s="191" t="s">
        <v>142</v>
      </c>
      <c r="AH25" s="191" t="s">
        <v>142</v>
      </c>
      <c r="AI25" s="191" t="s">
        <v>4</v>
      </c>
      <c r="AJ25" s="213">
        <f>IFERROR(COUNTIF(E25:AI25,"=Р")+COUNTIF(E25:AI25,"=Р1")+COUNTIF(E25:AI25,"=ВЧ")+COUNTIF(E25:AI25,"=РН")+COUNTIF(E25:AI25,"=Р2")+COUNTIF(E25:AI25,"=Р1/РВ")+COUNTIF(E25:AI25,"=Р2/РВ")+COUNTIF(E25:AI25,"=ВЧ/РВ")+COUNTIF(E25:AI25,"=РН/РВ"),0)</f>
        <v>21</v>
      </c>
      <c r="AK25" s="202">
        <f>IFERROR(SUMIF(E25:AI25,"=Р2",E26:AI26)+SUMIF(E25:AI25,"=ВЧ/РВ",E26:AI26)+SUMIF(E25:AI25,"=РН/РВ",E26:AI26)+SUMIF(E25:AI25,"=Р1/РВ",E26:AI26)+SUMIF(E25:AI25,"=ВЧ2/РВ",E26:AI26)+SUMIF(E25:AI25,"=Р2/РВ",E26:AI26)+SUMIF(E25:AI25,"=Р",E26:AI26)+SUMIF(E25:AI25,"=Р1",E26:AI26)+SUMIF(E25:AI25,"=ВЧ1",E26:AI26)+SUMIF(E25:AI25,"=РН",E26:AI26)+SUMIF(E25:AI25,"=ВЧ",E26:AI26)+SUMIF(E25:AI25,"=НУ",E26:AI26),0)</f>
        <v>167.99999999999997</v>
      </c>
      <c r="AL25" s="202">
        <f>IFERROR(SUMIF(E25:AI25,"=НУ",E26:AI26),0)</f>
        <v>0</v>
      </c>
      <c r="AM25" s="202">
        <f>IFERROR(SUMIF(E25:AI25,"=РН",E26:AI26)+SUMIF(E25:AI25,"=РН/РВ",E26:AI26)+SUMIFS(E26:AI26,E25:AI25,"=Р2",E26:AI26,"=8"),0)</f>
        <v>0</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0</v>
      </c>
      <c r="AO25" s="202">
        <f>IFERROR(SUMIF(E25:AI25,"=РВ",E26:AI26)+SUMIF(E25:AI25,"=ВЧ/РВ",E26:AI26)+SUMIF(E25:AI25,"=РН/РВ",E26:AI26)+SUMIF(E25:AI25,"=Р1/РВ",E26:AI26)+SUMIF(E25:AI25,"=ВЧ2/РВ",E26:AI26)+SUMIF(E25:AI25,"=Р2/РВ",E26:AI26),0)</f>
        <v>0</v>
      </c>
      <c r="AP25" s="202">
        <f>IFERROR(COUNTIF(E25:AI25,"=ВВ")+COUNTIF(E25:AI25,"=Р1/ВВ")+COUNTIF(E25:AI25,"=РН/ВВ")+COUNTIF(E25:AI25,"=ВЧ/ВВ"),0)</f>
        <v>10</v>
      </c>
      <c r="AQ25" s="202">
        <f>SUM(AR25:AZ25)</f>
        <v>0</v>
      </c>
      <c r="AR25" s="202">
        <f>IFERROR(SUMIF(E25:AI25,"=В",E26:AI26)+SUMIF(E25:AI25,"=Ч",E26:AI26)+SUMIF(E25:AI25,"=ВБ",E26:AI26),0)</f>
        <v>0</v>
      </c>
      <c r="AS25" s="202">
        <f>IFERROR(SUMIF(E25:AI25,"=Н",E26:AI26),0)</f>
        <v>0</v>
      </c>
      <c r="AT25" s="202">
        <f>IFERROR(SUMIF(E25:AI25,"=НА",E26:AI26),0)</f>
        <v>0</v>
      </c>
      <c r="AU25" s="202">
        <f>IFERROR(SUMIF(E25:AI25,"=ВП",E26:AI26),0)</f>
        <v>0</v>
      </c>
      <c r="AV25" s="202">
        <f>IFERROR(SUMIF(E25:AI25,"=ДД",E26:AI26),0)</f>
        <v>0</v>
      </c>
      <c r="AW25" s="202">
        <f>IFERROR(SUMIF(E25:AI25,"=ДО",E26:AI26),0)</f>
        <v>0</v>
      </c>
      <c r="AX25" s="202">
        <f>IFERROR(SUMIF(E25:AI25,"=ТН",E26:AI26),0)</f>
        <v>0</v>
      </c>
      <c r="AY25" s="202">
        <f>IFERROR(SUMIF(E25:AI25,"=ВД",E26:AI26),0)</f>
        <v>0</v>
      </c>
      <c r="AZ25" s="200">
        <f>IFERROR(SUMIF(E25:AI25,"=ІН",E26:AI26),0)+SUMIF(E25:AI25,"=НЗ",E26:AI26)</f>
        <v>0</v>
      </c>
    </row>
    <row r="26" spans="1:52" ht="21" customHeight="1" thickBot="1" x14ac:dyDescent="0.25">
      <c r="A26" s="290"/>
      <c r="B26" s="229"/>
      <c r="C26" s="229"/>
      <c r="D26" s="229"/>
      <c r="E26" s="192"/>
      <c r="F26" s="192"/>
      <c r="G26" s="192">
        <v>8.1999999999999993</v>
      </c>
      <c r="H26" s="192">
        <v>8.1999999999999993</v>
      </c>
      <c r="I26" s="192">
        <v>8.1999999999999993</v>
      </c>
      <c r="J26" s="192">
        <v>8.1999999999999993</v>
      </c>
      <c r="K26" s="192">
        <v>7</v>
      </c>
      <c r="L26" s="192"/>
      <c r="M26" s="192"/>
      <c r="N26" s="192">
        <v>8.1999999999999993</v>
      </c>
      <c r="O26" s="192">
        <v>8.1999999999999993</v>
      </c>
      <c r="P26" s="192">
        <v>8.1999999999999993</v>
      </c>
      <c r="Q26" s="192">
        <v>8.1999999999999993</v>
      </c>
      <c r="R26" s="192">
        <v>7.2</v>
      </c>
      <c r="S26" s="192"/>
      <c r="T26" s="192"/>
      <c r="U26" s="192">
        <v>8.1999999999999993</v>
      </c>
      <c r="V26" s="192">
        <v>8.1999999999999993</v>
      </c>
      <c r="W26" s="192">
        <v>8.1999999999999993</v>
      </c>
      <c r="X26" s="192">
        <v>8.1999999999999993</v>
      </c>
      <c r="Y26" s="192">
        <v>7.2</v>
      </c>
      <c r="Z26" s="192"/>
      <c r="AA26" s="192"/>
      <c r="AB26" s="192">
        <v>8.1999999999999993</v>
      </c>
      <c r="AC26" s="192">
        <v>8.1999999999999993</v>
      </c>
      <c r="AD26" s="192">
        <v>8.1999999999999993</v>
      </c>
      <c r="AE26" s="192">
        <v>8.1999999999999993</v>
      </c>
      <c r="AF26" s="192">
        <v>7.2</v>
      </c>
      <c r="AG26" s="192"/>
      <c r="AH26" s="192"/>
      <c r="AI26" s="192">
        <v>8.1999999999999993</v>
      </c>
      <c r="AJ26" s="214"/>
      <c r="AK26" s="203"/>
      <c r="AL26" s="203"/>
      <c r="AM26" s="203"/>
      <c r="AN26" s="212"/>
      <c r="AO26" s="203"/>
      <c r="AP26" s="203"/>
      <c r="AQ26" s="203"/>
      <c r="AR26" s="203"/>
      <c r="AS26" s="203"/>
      <c r="AT26" s="203"/>
      <c r="AU26" s="203"/>
      <c r="AV26" s="203"/>
      <c r="AW26" s="203"/>
      <c r="AX26" s="203"/>
      <c r="AY26" s="203"/>
      <c r="AZ26" s="201"/>
    </row>
    <row r="27" spans="1:52" ht="18.75" customHeight="1" x14ac:dyDescent="0.2">
      <c r="A27" s="289">
        <f t="shared" ref="A27" si="3">A25+1</f>
        <v>6</v>
      </c>
      <c r="B27" s="228" t="s">
        <v>345</v>
      </c>
      <c r="C27" s="279">
        <v>790</v>
      </c>
      <c r="D27" s="228" t="s">
        <v>65</v>
      </c>
      <c r="E27" s="191" t="s">
        <v>142</v>
      </c>
      <c r="F27" s="191" t="s">
        <v>142</v>
      </c>
      <c r="G27" s="191" t="s">
        <v>4</v>
      </c>
      <c r="H27" s="191" t="s">
        <v>4</v>
      </c>
      <c r="I27" s="191" t="s">
        <v>4</v>
      </c>
      <c r="J27" s="191" t="s">
        <v>4</v>
      </c>
      <c r="K27" s="191" t="s">
        <v>4</v>
      </c>
      <c r="L27" s="191" t="s">
        <v>142</v>
      </c>
      <c r="M27" s="191" t="s">
        <v>142</v>
      </c>
      <c r="N27" s="191" t="s">
        <v>4</v>
      </c>
      <c r="O27" s="191" t="s">
        <v>4</v>
      </c>
      <c r="P27" s="191" t="s">
        <v>4</v>
      </c>
      <c r="Q27" s="191" t="s">
        <v>4</v>
      </c>
      <c r="R27" s="191" t="s">
        <v>4</v>
      </c>
      <c r="S27" s="191" t="s">
        <v>142</v>
      </c>
      <c r="T27" s="191" t="s">
        <v>142</v>
      </c>
      <c r="U27" s="191" t="s">
        <v>4</v>
      </c>
      <c r="V27" s="191" t="s">
        <v>4</v>
      </c>
      <c r="W27" s="191" t="s">
        <v>52</v>
      </c>
      <c r="X27" s="191" t="s">
        <v>52</v>
      </c>
      <c r="Y27" s="191" t="s">
        <v>52</v>
      </c>
      <c r="Z27" s="191" t="s">
        <v>52</v>
      </c>
      <c r="AA27" s="191" t="s">
        <v>52</v>
      </c>
      <c r="AB27" s="191" t="s">
        <v>52</v>
      </c>
      <c r="AC27" s="191" t="s">
        <v>52</v>
      </c>
      <c r="AD27" s="191" t="s">
        <v>4</v>
      </c>
      <c r="AE27" s="191" t="s">
        <v>4</v>
      </c>
      <c r="AF27" s="191" t="s">
        <v>4</v>
      </c>
      <c r="AG27" s="191" t="s">
        <v>142</v>
      </c>
      <c r="AH27" s="191" t="s">
        <v>142</v>
      </c>
      <c r="AI27" s="191" t="s">
        <v>4</v>
      </c>
      <c r="AJ27" s="213">
        <f>IFERROR(COUNTIF(E27:AI27,"=Р")+COUNTIF(E27:AI27,"=Р1")+COUNTIF(E27:AI27,"=ВЧ")+COUNTIF(E27:AI27,"=РН")+COUNTIF(E27:AI27,"=Р2")+COUNTIF(E27:AI27,"=Р1/РВ")+COUNTIF(E27:AI27,"=Р2/РВ")+COUNTIF(E27:AI27,"=ВЧ/РВ")+COUNTIF(E27:AI27,"=РН/РВ"),0)</f>
        <v>16</v>
      </c>
      <c r="AK27" s="202">
        <f>IFERROR(SUMIF(E27:AI27,"=Р2",E28:AI28)+SUMIF(E27:AI27,"=ВЧ/РВ",E28:AI28)+SUMIF(E27:AI27,"=РН/РВ",E28:AI28)+SUMIF(E27:AI27,"=Р1/РВ",E28:AI28)+SUMIF(E27:AI27,"=ВЧ2/РВ",E28:AI28)+SUMIF(E27:AI27,"=Р2/РВ",E28:AI28)+SUMIF(E27:AI27,"=Р",E28:AI28)+SUMIF(E27:AI27,"=Р1",E28:AI28)+SUMIF(E27:AI27,"=ВЧ1",E28:AI28)+SUMIF(E27:AI27,"=РН",E28:AI28)+SUMIF(E27:AI27,"=ВЧ",E28:AI28)+SUMIF(E27:AI27,"=НУ",E28:AI28),0)</f>
        <v>128.00000000000003</v>
      </c>
      <c r="AL27" s="202">
        <f>IFERROR(SUMIF(E27:AI27,"=НУ",E28:AI28),0)</f>
        <v>0</v>
      </c>
      <c r="AM27" s="202">
        <f>IFERROR(SUMIF(E27:AI27,"=РН",E28:AI28)+SUMIF(E27:AI27,"=РН/РВ",E28:AI28)+SUMIFS(E28:AI28,E27:AI27,"=Р2",E28:AI28,"=8"),0)</f>
        <v>0</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0</v>
      </c>
      <c r="AO27" s="202">
        <f>IFERROR(SUMIF(E27:AI27,"=РВ",E28:AI28)+SUMIF(E27:AI27,"=ВЧ/РВ",E28:AI28)+SUMIF(E27:AI27,"=РН/РВ",E28:AI28)+SUMIF(E27:AI27,"=Р1/РВ",E28:AI28)+SUMIF(E27:AI27,"=ВЧ2/РВ",E28:AI28)+SUMIF(E27:AI27,"=Р2/РВ",E28:AI28),0)</f>
        <v>0</v>
      </c>
      <c r="AP27" s="202">
        <f>IFERROR(COUNTIF(E27:AI27,"=ВВ")+COUNTIF(E27:AI27,"=Р1/ВВ")+COUNTIF(E27:AI27,"=РН/ВВ")+COUNTIF(E27:AI27,"=ВЧ/ВВ"),0)</f>
        <v>8</v>
      </c>
      <c r="AQ27" s="202">
        <f>SUM(AR27:AZ27)</f>
        <v>40</v>
      </c>
      <c r="AR27" s="202">
        <f>IFERROR(SUMIF(E27:AI27,"=В",E28:AI28)+SUMIF(E27:AI27,"=Ч",E28:AI28)+SUMIF(E27:AI27,"=ВБ",E28:AI28),0)</f>
        <v>0</v>
      </c>
      <c r="AS27" s="202">
        <f>IFERROR(SUMIF(E27:AI27,"=Н",E28:AI28),0)</f>
        <v>0</v>
      </c>
      <c r="AT27" s="202">
        <f>IFERROR(SUMIF(E27:AI27,"=НА",E28:AI28),0)</f>
        <v>0</v>
      </c>
      <c r="AU27" s="202">
        <f>IFERROR(SUMIF(E27:AI27,"=ВП",E28:AI28),0)</f>
        <v>0</v>
      </c>
      <c r="AV27" s="202">
        <f>IFERROR(SUMIF(E27:AI27,"=ДД",E28:AI28),0)</f>
        <v>0</v>
      </c>
      <c r="AW27" s="202">
        <f>IFERROR(SUMIF(E27:AI27,"=ДО",E28:AI28),0)</f>
        <v>0</v>
      </c>
      <c r="AX27" s="202">
        <f>IFERROR(SUMIF(E27:AI27,"=ТН",E28:AI28),0)</f>
        <v>40</v>
      </c>
      <c r="AY27" s="202">
        <f>IFERROR(SUMIF(E27:AI27,"=ВД",E28:AI28),0)</f>
        <v>0</v>
      </c>
      <c r="AZ27" s="200">
        <f>IFERROR(SUMIF(E27:AI27,"=ІН",E28:AI28),0)+SUMIF(E27:AI27,"=НЗ",E28:AI28)</f>
        <v>0</v>
      </c>
    </row>
    <row r="28" spans="1:52" ht="16.5" customHeight="1" thickBot="1" x14ac:dyDescent="0.25">
      <c r="A28" s="290"/>
      <c r="B28" s="229"/>
      <c r="C28" s="280"/>
      <c r="D28" s="229"/>
      <c r="E28" s="192"/>
      <c r="F28" s="192"/>
      <c r="G28" s="192">
        <v>8.1999999999999993</v>
      </c>
      <c r="H28" s="192">
        <v>8.1999999999999993</v>
      </c>
      <c r="I28" s="192">
        <v>8.1999999999999993</v>
      </c>
      <c r="J28" s="192">
        <v>8.1999999999999993</v>
      </c>
      <c r="K28" s="192">
        <v>7</v>
      </c>
      <c r="L28" s="192"/>
      <c r="M28" s="192"/>
      <c r="N28" s="192">
        <v>8.1999999999999993</v>
      </c>
      <c r="O28" s="192">
        <v>8.1999999999999993</v>
      </c>
      <c r="P28" s="192">
        <v>8.1999999999999993</v>
      </c>
      <c r="Q28" s="192">
        <v>8.1999999999999993</v>
      </c>
      <c r="R28" s="192">
        <v>7.2</v>
      </c>
      <c r="S28" s="192"/>
      <c r="T28" s="192"/>
      <c r="U28" s="192">
        <v>8.1999999999999993</v>
      </c>
      <c r="V28" s="192">
        <v>8.1999999999999993</v>
      </c>
      <c r="W28" s="192">
        <v>8.1999999999999993</v>
      </c>
      <c r="X28" s="192">
        <v>8.1999999999999993</v>
      </c>
      <c r="Y28" s="192">
        <v>7.2</v>
      </c>
      <c r="Z28" s="192"/>
      <c r="AA28" s="192"/>
      <c r="AB28" s="192">
        <v>8.1999999999999993</v>
      </c>
      <c r="AC28" s="192">
        <v>8.1999999999999993</v>
      </c>
      <c r="AD28" s="192">
        <v>8.1999999999999993</v>
      </c>
      <c r="AE28" s="192">
        <v>8.1999999999999993</v>
      </c>
      <c r="AF28" s="192">
        <v>7.2</v>
      </c>
      <c r="AG28" s="192"/>
      <c r="AH28" s="192"/>
      <c r="AI28" s="192">
        <v>8.1999999999999993</v>
      </c>
      <c r="AJ28" s="214"/>
      <c r="AK28" s="203"/>
      <c r="AL28" s="203"/>
      <c r="AM28" s="203"/>
      <c r="AN28" s="212"/>
      <c r="AO28" s="203"/>
      <c r="AP28" s="203"/>
      <c r="AQ28" s="203"/>
      <c r="AR28" s="203"/>
      <c r="AS28" s="203"/>
      <c r="AT28" s="203"/>
      <c r="AU28" s="203"/>
      <c r="AV28" s="203"/>
      <c r="AW28" s="203"/>
      <c r="AX28" s="203"/>
      <c r="AY28" s="203"/>
      <c r="AZ28" s="201"/>
    </row>
    <row r="29" spans="1:52" ht="16.5" customHeight="1" x14ac:dyDescent="0.2">
      <c r="A29" s="289">
        <f t="shared" ref="A29" si="4">A27+1</f>
        <v>7</v>
      </c>
      <c r="B29" s="228" t="s">
        <v>171</v>
      </c>
      <c r="C29" s="279">
        <v>2126</v>
      </c>
      <c r="D29" s="279" t="s">
        <v>65</v>
      </c>
      <c r="E29" s="191" t="s">
        <v>142</v>
      </c>
      <c r="F29" s="191" t="s">
        <v>142</v>
      </c>
      <c r="G29" s="191" t="s">
        <v>4</v>
      </c>
      <c r="H29" s="191" t="s">
        <v>4</v>
      </c>
      <c r="I29" s="191" t="s">
        <v>4</v>
      </c>
      <c r="J29" s="191" t="s">
        <v>4</v>
      </c>
      <c r="K29" s="191" t="s">
        <v>4</v>
      </c>
      <c r="L29" s="191" t="s">
        <v>142</v>
      </c>
      <c r="M29" s="191" t="s">
        <v>142</v>
      </c>
      <c r="N29" s="191" t="s">
        <v>4</v>
      </c>
      <c r="O29" s="191" t="s">
        <v>4</v>
      </c>
      <c r="P29" s="191" t="s">
        <v>4</v>
      </c>
      <c r="Q29" s="191" t="s">
        <v>4</v>
      </c>
      <c r="R29" s="191" t="s">
        <v>4</v>
      </c>
      <c r="S29" s="191" t="s">
        <v>142</v>
      </c>
      <c r="T29" s="191" t="s">
        <v>142</v>
      </c>
      <c r="U29" s="191" t="s">
        <v>4</v>
      </c>
      <c r="V29" s="191" t="s">
        <v>4</v>
      </c>
      <c r="W29" s="191" t="s">
        <v>4</v>
      </c>
      <c r="X29" s="191" t="s">
        <v>4</v>
      </c>
      <c r="Y29" s="191" t="s">
        <v>4</v>
      </c>
      <c r="Z29" s="191" t="s">
        <v>142</v>
      </c>
      <c r="AA29" s="191" t="s">
        <v>142</v>
      </c>
      <c r="AB29" s="191" t="s">
        <v>4</v>
      </c>
      <c r="AC29" s="191" t="s">
        <v>4</v>
      </c>
      <c r="AD29" s="191" t="s">
        <v>4</v>
      </c>
      <c r="AE29" s="191" t="s">
        <v>4</v>
      </c>
      <c r="AF29" s="191" t="s">
        <v>4</v>
      </c>
      <c r="AG29" s="191" t="s">
        <v>142</v>
      </c>
      <c r="AH29" s="191" t="s">
        <v>142</v>
      </c>
      <c r="AI29" s="191" t="s">
        <v>4</v>
      </c>
      <c r="AJ29" s="213">
        <f>IFERROR(COUNTIF(E29:AI29,"=Р")+COUNTIF(E29:AI29,"=Р1")+COUNTIF(E29:AI29,"=ВЧ")+COUNTIF(E29:AI29,"=РН")+COUNTIF(E29:AI29,"=Р2")+COUNTIF(E29:AI29,"=Р1/РВ")+COUNTIF(E29:AI29,"=Р2/РВ")+COUNTIF(E29:AI29,"=ВЧ/РВ")+COUNTIF(E29:AI29,"=РН/РВ"),0)</f>
        <v>21</v>
      </c>
      <c r="AK29" s="202">
        <f>IFERROR(SUMIF(E29:AI29,"=Р2",E30:AI30)+SUMIF(E29:AI29,"=ВЧ/РВ",E30:AI30)+SUMIF(E29:AI29,"=РН/РВ",E30:AI30)+SUMIF(E29:AI29,"=Р1/РВ",E30:AI30)+SUMIF(E29:AI29,"=ВЧ2/РВ",E30:AI30)+SUMIF(E29:AI29,"=Р2/РВ",E30:AI30)+SUMIF(E29:AI29,"=Р",E30:AI30)+SUMIF(E29:AI29,"=Р1",E30:AI30)+SUMIF(E29:AI29,"=ВЧ1",E30:AI30)+SUMIF(E29:AI29,"=РН",E30:AI30)+SUMIF(E29:AI29,"=ВЧ",E30:AI30)+SUMIF(E29:AI29,"=НУ",E30:AI30),0)</f>
        <v>167.99999999999997</v>
      </c>
      <c r="AL29" s="202">
        <f>IFERROR(SUMIF(E29:AI29,"=НУ",E30:AI30),0)</f>
        <v>0</v>
      </c>
      <c r="AM29" s="202">
        <f>IFERROR(SUMIF(E29:AI29,"=РН",E30:AI30)+SUMIF(E29:AI29,"=РН/РВ",E30:AI30)+SUMIFS(E30:AI30,E29:AI29,"=Р2",E30:AI30,"=8"),0)</f>
        <v>0</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0</v>
      </c>
      <c r="AO29" s="202">
        <f>IFERROR(SUMIF(E29:AI29,"=РВ",E30:AI30)+SUMIF(E29:AI29,"=ВЧ/РВ",E30:AI30)+SUMIF(E29:AI29,"=РН/РВ",E30:AI30)+SUMIF(E29:AI29,"=Р1/РВ",E30:AI30)+SUMIF(E29:AI29,"=ВЧ2/РВ",E30:AI30)+SUMIF(E29:AI29,"=Р2/РВ",E30:AI30),0)</f>
        <v>0</v>
      </c>
      <c r="AP29" s="202">
        <f>IFERROR(COUNTIF(E29:AI29,"=ВВ")+COUNTIF(E29:AI29,"=Р1/ВВ")+COUNTIF(E29:AI29,"=РН/ВВ")+COUNTIF(E29:AI29,"=ВЧ/ВВ"),0)</f>
        <v>10</v>
      </c>
      <c r="AQ29" s="202">
        <f>SUM(AR29:AZ29)</f>
        <v>0</v>
      </c>
      <c r="AR29" s="202">
        <f>IFERROR(SUMIF(E29:AI29,"=В",E30:AI30)+SUMIF(E29:AI29,"=Ч",E30:AI30)+SUMIF(E29:AI29,"=ВБ",E30:AI30),0)</f>
        <v>0</v>
      </c>
      <c r="AS29" s="202">
        <f>IFERROR(SUMIF(E29:AI29,"=Н",E30:AI30),0)</f>
        <v>0</v>
      </c>
      <c r="AT29" s="202">
        <f>IFERROR(SUMIF(E29:AI29,"=НА",E30:AI30),0)</f>
        <v>0</v>
      </c>
      <c r="AU29" s="202">
        <f>IFERROR(SUMIF(E29:AI29,"=ВП",E30:AI30),0)</f>
        <v>0</v>
      </c>
      <c r="AV29" s="202">
        <f>IFERROR(SUMIF(E29:AI29,"=ДД",E30:AI30),0)</f>
        <v>0</v>
      </c>
      <c r="AW29" s="202">
        <f>IFERROR(SUMIF(E29:AI29,"=ДО",E30:AI30),0)</f>
        <v>0</v>
      </c>
      <c r="AX29" s="202">
        <f>IFERROR(SUMIF(E29:AI29,"=ТН",E30:AI30),0)</f>
        <v>0</v>
      </c>
      <c r="AY29" s="202">
        <f>IFERROR(SUMIF(E29:AI29,"=ВД",E30:AI30),0)</f>
        <v>0</v>
      </c>
      <c r="AZ29" s="200">
        <f>IFERROR(SUMIF(E29:AI29,"=ІН",E30:AI30),0)+SUMIF(E29:AI29,"=НЗ",E30:AI30)</f>
        <v>0</v>
      </c>
    </row>
    <row r="30" spans="1:52" ht="20.100000000000001" customHeight="1" thickBot="1" x14ac:dyDescent="0.25">
      <c r="A30" s="290"/>
      <c r="B30" s="229"/>
      <c r="C30" s="280"/>
      <c r="D30" s="280"/>
      <c r="E30" s="192"/>
      <c r="F30" s="192"/>
      <c r="G30" s="192">
        <v>8.1999999999999993</v>
      </c>
      <c r="H30" s="192">
        <v>8.1999999999999993</v>
      </c>
      <c r="I30" s="192">
        <v>8.1999999999999993</v>
      </c>
      <c r="J30" s="192">
        <v>8.1999999999999993</v>
      </c>
      <c r="K30" s="192">
        <v>7</v>
      </c>
      <c r="L30" s="192"/>
      <c r="M30" s="192"/>
      <c r="N30" s="192">
        <v>8.1999999999999993</v>
      </c>
      <c r="O30" s="192">
        <v>8.1999999999999993</v>
      </c>
      <c r="P30" s="192">
        <v>8.1999999999999993</v>
      </c>
      <c r="Q30" s="192">
        <v>8.1999999999999993</v>
      </c>
      <c r="R30" s="192">
        <v>7.2</v>
      </c>
      <c r="S30" s="192"/>
      <c r="T30" s="192"/>
      <c r="U30" s="192">
        <v>8.1999999999999993</v>
      </c>
      <c r="V30" s="192">
        <v>8.1999999999999993</v>
      </c>
      <c r="W30" s="192">
        <v>8.1999999999999993</v>
      </c>
      <c r="X30" s="192">
        <v>8.1999999999999993</v>
      </c>
      <c r="Y30" s="192">
        <v>7.2</v>
      </c>
      <c r="Z30" s="192"/>
      <c r="AA30" s="192"/>
      <c r="AB30" s="192">
        <v>8.1999999999999993</v>
      </c>
      <c r="AC30" s="192">
        <v>8.1999999999999993</v>
      </c>
      <c r="AD30" s="192">
        <v>8.1999999999999993</v>
      </c>
      <c r="AE30" s="192">
        <v>8.1999999999999993</v>
      </c>
      <c r="AF30" s="192">
        <v>7.2</v>
      </c>
      <c r="AG30" s="192"/>
      <c r="AH30" s="192"/>
      <c r="AI30" s="192">
        <v>8.1999999999999993</v>
      </c>
      <c r="AJ30" s="214"/>
      <c r="AK30" s="203"/>
      <c r="AL30" s="203"/>
      <c r="AM30" s="203"/>
      <c r="AN30" s="212"/>
      <c r="AO30" s="203"/>
      <c r="AP30" s="203"/>
      <c r="AQ30" s="203"/>
      <c r="AR30" s="203"/>
      <c r="AS30" s="203"/>
      <c r="AT30" s="203"/>
      <c r="AU30" s="203"/>
      <c r="AV30" s="203"/>
      <c r="AW30" s="203"/>
      <c r="AX30" s="203"/>
      <c r="AY30" s="203"/>
      <c r="AZ30" s="201"/>
    </row>
    <row r="31" spans="1:52" ht="19.5" customHeight="1" x14ac:dyDescent="0.2">
      <c r="A31" s="289">
        <f t="shared" ref="A31" si="5">A29+1</f>
        <v>8</v>
      </c>
      <c r="B31" s="228" t="s">
        <v>172</v>
      </c>
      <c r="C31" s="228">
        <v>1908</v>
      </c>
      <c r="D31" s="228" t="s">
        <v>65</v>
      </c>
      <c r="E31" s="191" t="s">
        <v>142</v>
      </c>
      <c r="F31" s="191" t="s">
        <v>142</v>
      </c>
      <c r="G31" s="191" t="s">
        <v>4</v>
      </c>
      <c r="H31" s="191" t="s">
        <v>4</v>
      </c>
      <c r="I31" s="191" t="s">
        <v>4</v>
      </c>
      <c r="J31" s="191" t="s">
        <v>4</v>
      </c>
      <c r="K31" s="191" t="s">
        <v>4</v>
      </c>
      <c r="L31" s="191" t="s">
        <v>47</v>
      </c>
      <c r="M31" s="191" t="s">
        <v>142</v>
      </c>
      <c r="N31" s="191" t="s">
        <v>4</v>
      </c>
      <c r="O31" s="191" t="s">
        <v>4</v>
      </c>
      <c r="P31" s="191" t="s">
        <v>4</v>
      </c>
      <c r="Q31" s="191" t="s">
        <v>4</v>
      </c>
      <c r="R31" s="191" t="s">
        <v>4</v>
      </c>
      <c r="S31" s="191" t="s">
        <v>142</v>
      </c>
      <c r="T31" s="191" t="s">
        <v>142</v>
      </c>
      <c r="U31" s="191" t="s">
        <v>4</v>
      </c>
      <c r="V31" s="191" t="s">
        <v>4</v>
      </c>
      <c r="W31" s="191" t="s">
        <v>4</v>
      </c>
      <c r="X31" s="191" t="s">
        <v>4</v>
      </c>
      <c r="Y31" s="191" t="s">
        <v>4</v>
      </c>
      <c r="Z31" s="191" t="s">
        <v>142</v>
      </c>
      <c r="AA31" s="191" t="s">
        <v>142</v>
      </c>
      <c r="AB31" s="191" t="s">
        <v>4</v>
      </c>
      <c r="AC31" s="191" t="s">
        <v>4</v>
      </c>
      <c r="AD31" s="191" t="s">
        <v>4</v>
      </c>
      <c r="AE31" s="191" t="s">
        <v>4</v>
      </c>
      <c r="AF31" s="191" t="s">
        <v>4</v>
      </c>
      <c r="AG31" s="191" t="s">
        <v>142</v>
      </c>
      <c r="AH31" s="191" t="s">
        <v>142</v>
      </c>
      <c r="AI31" s="191" t="s">
        <v>4</v>
      </c>
      <c r="AJ31" s="213">
        <f>IFERROR(COUNTIF(E31:AI31,"=Р")+COUNTIF(E31:AI31,"=Р1")+COUNTIF(E31:AI31,"=ВЧ")+COUNTIF(E31:AI31,"=РН")+COUNTIF(E31:AI31,"=Р2")+COUNTIF(E31:AI31,"=Р1/РВ")+COUNTIF(E31:AI31,"=Р2/РВ")+COUNTIF(E31:AI31,"=ВЧ/РВ")+COUNTIF(E31:AI31,"=РН/РВ"),0)</f>
        <v>21</v>
      </c>
      <c r="AK31" s="202">
        <f>IFERROR(SUMIF(E31:AI31,"=Р2",E32:AI32)+SUMIF(E31:AI31,"=ВЧ/РВ",E32:AI32)+SUMIF(E31:AI31,"=РН/РВ",E32:AI32)+SUMIF(E31:AI31,"=Р1/РВ",E32:AI32)+SUMIF(E31:AI31,"=ВЧ2/РВ",E32:AI32)+SUMIF(E31:AI31,"=Р2/РВ",E32:AI32)+SUMIF(E31:AI31,"=Р",E32:AI32)+SUMIF(E31:AI31,"=Р1",E32:AI32)+SUMIF(E31:AI31,"=ВЧ1",E32:AI32)+SUMIF(E31:AI31,"=РН",E32:AI32)+SUMIF(E31:AI31,"=ВЧ",E32:AI32)+SUMIF(E31:AI31,"=НУ",E32:AI32),0)</f>
        <v>167.99999999999997</v>
      </c>
      <c r="AL31" s="202">
        <f>IFERROR(SUMIF(E31:AI31,"=НУ",E32:AI32),0)</f>
        <v>0</v>
      </c>
      <c r="AM31" s="202">
        <f>IFERROR(SUMIF(E31:AI31,"=РН",E32:AI32)+SUMIF(E31:AI31,"=РН/РВ",E32:AI32)+SUMIFS(E32:AI32,E31:AI31,"=Р2",E32:AI32,"=8"),0)</f>
        <v>0</v>
      </c>
      <c r="AN31" s="211">
        <f>IFERROR(SUMIF(E31:AI31,"=ВЧ",E32:AI32)+SUMIF(E31:AI31,"=ВЧ/РВ",E32:AI32)+CEILING(COUNTIFS(E31:AI31,"=Р2",E32:AI32,"=7")*4,1)+CEILING(COUNTIFS(E31:AI31,"=Р2/РВ",E32:AI32,"=7")*4,1)+SUMIFS(E32:AI32,E31:AI31,"=Р1/РВ",E32:AI32,"=12")/6+SUMIFS(E32:AI32,E31:AI31,"=ВЧ2/РВ",E32:AI32,"=4")/2+SUMIFS(E32:AI32,E31:AI31,"=Р1",E32:AI32,"=12")/6+SUMIFS(E32:AI32,E31:AI31,"=Р1",E32:AI32,"=8")/4+SUMIF(E31:AI31,"=ВЧ1",E32:AI32)/2,0)</f>
        <v>0</v>
      </c>
      <c r="AO31" s="202">
        <f>IFERROR(SUMIF(E31:AI31,"=РВ",E32:AI32)+SUMIF(E31:AI31,"=ВЧ/РВ",E32:AI32)+SUMIF(E31:AI31,"=РН/РВ",E32:AI32)+SUMIF(E31:AI31,"=Р1/РВ",E32:AI32)+SUMIF(E31:AI31,"=ВЧ2/РВ",E32:AI32)+SUMIF(E31:AI31,"=Р2/РВ",E32:AI32),0)</f>
        <v>4.5</v>
      </c>
      <c r="AP31" s="202">
        <f>IFERROR(COUNTIF(E31:AI31,"=ВВ")+COUNTIF(E31:AI31,"=Р1/ВВ")+COUNTIF(E31:AI31,"=РН/ВВ")+COUNTIF(E31:AI31,"=ВЧ/ВВ"),0)</f>
        <v>9</v>
      </c>
      <c r="AQ31" s="202">
        <f>SUM(AR31:AZ31)</f>
        <v>0</v>
      </c>
      <c r="AR31" s="202">
        <f>IFERROR(SUMIF(E31:AI31,"=В",E32:AI32)+SUMIF(E31:AI31,"=Ч",E32:AI32)+SUMIF(E31:AI31,"=ВБ",E32:AI32),0)</f>
        <v>0</v>
      </c>
      <c r="AS31" s="202">
        <f>IFERROR(SUMIF(E31:AI31,"=Н",E32:AI32),0)</f>
        <v>0</v>
      </c>
      <c r="AT31" s="202">
        <f>IFERROR(SUMIF(E31:AI31,"=НА",E32:AI32),0)</f>
        <v>0</v>
      </c>
      <c r="AU31" s="202">
        <f>IFERROR(SUMIF(E31:AI31,"=ВП",E32:AI32),0)</f>
        <v>0</v>
      </c>
      <c r="AV31" s="202">
        <f>IFERROR(SUMIF(E31:AI31,"=ДД",E32:AI32),0)</f>
        <v>0</v>
      </c>
      <c r="AW31" s="202">
        <f>IFERROR(SUMIF(E31:AI31,"=ДО",E32:AI32),0)</f>
        <v>0</v>
      </c>
      <c r="AX31" s="202">
        <f>IFERROR(SUMIF(E31:AI31,"=ТН",E32:AI32),0)</f>
        <v>0</v>
      </c>
      <c r="AY31" s="202">
        <f>IFERROR(SUMIF(E31:AI31,"=ВД",E32:AI32),0)</f>
        <v>0</v>
      </c>
      <c r="AZ31" s="200">
        <f>IFERROR(SUMIF(E31:AI31,"=ІН",E32:AI32),0)+SUMIF(E31:AI31,"=НЗ",E32:AI32)</f>
        <v>0</v>
      </c>
    </row>
    <row r="32" spans="1:52" ht="20.100000000000001" customHeight="1" thickBot="1" x14ac:dyDescent="0.25">
      <c r="A32" s="290"/>
      <c r="B32" s="229"/>
      <c r="C32" s="229"/>
      <c r="D32" s="229"/>
      <c r="E32" s="192"/>
      <c r="F32" s="192"/>
      <c r="G32" s="192">
        <v>8.1999999999999993</v>
      </c>
      <c r="H32" s="192">
        <v>8.1999999999999993</v>
      </c>
      <c r="I32" s="192">
        <v>8.1999999999999993</v>
      </c>
      <c r="J32" s="192">
        <v>8.1999999999999993</v>
      </c>
      <c r="K32" s="192">
        <v>7</v>
      </c>
      <c r="L32" s="192">
        <v>4.5</v>
      </c>
      <c r="M32" s="192"/>
      <c r="N32" s="192">
        <v>8.1999999999999993</v>
      </c>
      <c r="O32" s="192">
        <v>8.1999999999999993</v>
      </c>
      <c r="P32" s="192">
        <v>8.1999999999999993</v>
      </c>
      <c r="Q32" s="192">
        <v>8.1999999999999993</v>
      </c>
      <c r="R32" s="192">
        <v>7.2</v>
      </c>
      <c r="S32" s="192"/>
      <c r="T32" s="192"/>
      <c r="U32" s="192">
        <v>8.1999999999999993</v>
      </c>
      <c r="V32" s="192">
        <v>8.1999999999999993</v>
      </c>
      <c r="W32" s="192">
        <v>8.1999999999999993</v>
      </c>
      <c r="X32" s="192">
        <v>8.1999999999999993</v>
      </c>
      <c r="Y32" s="192">
        <v>7.2</v>
      </c>
      <c r="Z32" s="192"/>
      <c r="AA32" s="192"/>
      <c r="AB32" s="192">
        <v>8.1999999999999993</v>
      </c>
      <c r="AC32" s="192">
        <v>8.1999999999999993</v>
      </c>
      <c r="AD32" s="192">
        <v>8.1999999999999993</v>
      </c>
      <c r="AE32" s="192">
        <v>8.1999999999999993</v>
      </c>
      <c r="AF32" s="192">
        <v>7.2</v>
      </c>
      <c r="AG32" s="192"/>
      <c r="AH32" s="192"/>
      <c r="AI32" s="192">
        <v>8.1999999999999993</v>
      </c>
      <c r="AJ32" s="214"/>
      <c r="AK32" s="203"/>
      <c r="AL32" s="203"/>
      <c r="AM32" s="203"/>
      <c r="AN32" s="212"/>
      <c r="AO32" s="203"/>
      <c r="AP32" s="203"/>
      <c r="AQ32" s="203"/>
      <c r="AR32" s="203"/>
      <c r="AS32" s="203"/>
      <c r="AT32" s="203"/>
      <c r="AU32" s="203"/>
      <c r="AV32" s="203"/>
      <c r="AW32" s="203"/>
      <c r="AX32" s="203"/>
      <c r="AY32" s="203"/>
      <c r="AZ32" s="201"/>
    </row>
    <row r="33" spans="1:52" s="159" customFormat="1" ht="18" customHeight="1" x14ac:dyDescent="0.2">
      <c r="A33" s="289">
        <f t="shared" ref="A33" si="6">A31+1</f>
        <v>9</v>
      </c>
      <c r="B33" s="293" t="s">
        <v>313</v>
      </c>
      <c r="C33" s="293">
        <v>2110</v>
      </c>
      <c r="D33" s="293" t="s">
        <v>72</v>
      </c>
      <c r="E33" s="191" t="s">
        <v>142</v>
      </c>
      <c r="F33" s="191" t="s">
        <v>142</v>
      </c>
      <c r="G33" s="191" t="s">
        <v>4</v>
      </c>
      <c r="H33" s="191" t="s">
        <v>4</v>
      </c>
      <c r="I33" s="191" t="s">
        <v>4</v>
      </c>
      <c r="J33" s="191" t="s">
        <v>4</v>
      </c>
      <c r="K33" s="191" t="s">
        <v>4</v>
      </c>
      <c r="L33" s="191" t="s">
        <v>142</v>
      </c>
      <c r="M33" s="191" t="s">
        <v>142</v>
      </c>
      <c r="N33" s="191" t="s">
        <v>4</v>
      </c>
      <c r="O33" s="191" t="s">
        <v>4</v>
      </c>
      <c r="P33" s="191" t="s">
        <v>4</v>
      </c>
      <c r="Q33" s="191" t="s">
        <v>4</v>
      </c>
      <c r="R33" s="191" t="s">
        <v>4</v>
      </c>
      <c r="S33" s="191" t="s">
        <v>142</v>
      </c>
      <c r="T33" s="191" t="s">
        <v>142</v>
      </c>
      <c r="U33" s="191" t="s">
        <v>4</v>
      </c>
      <c r="V33" s="191" t="s">
        <v>4</v>
      </c>
      <c r="W33" s="191" t="s">
        <v>52</v>
      </c>
      <c r="X33" s="191" t="s">
        <v>52</v>
      </c>
      <c r="Y33" s="191" t="s">
        <v>52</v>
      </c>
      <c r="Z33" s="191" t="s">
        <v>142</v>
      </c>
      <c r="AA33" s="191" t="s">
        <v>142</v>
      </c>
      <c r="AB33" s="191" t="s">
        <v>4</v>
      </c>
      <c r="AC33" s="191" t="s">
        <v>4</v>
      </c>
      <c r="AD33" s="191" t="s">
        <v>4</v>
      </c>
      <c r="AE33" s="191" t="s">
        <v>4</v>
      </c>
      <c r="AF33" s="191" t="s">
        <v>4</v>
      </c>
      <c r="AG33" s="191" t="s">
        <v>142</v>
      </c>
      <c r="AH33" s="191" t="s">
        <v>142</v>
      </c>
      <c r="AI33" s="191" t="s">
        <v>4</v>
      </c>
      <c r="AJ33" s="213">
        <f>IFERROR(COUNTIF(E33:AI33,"=Р")+COUNTIF(E33:AI33,"=Р1")+COUNTIF(E33:AI33,"=ВЧ")+COUNTIF(E33:AI33,"=РН")+COUNTIF(E33:AI33,"=Р2")+COUNTIF(E33:AI33,"=Р1/РВ")+COUNTIF(E33:AI33,"=Р2/РВ")+COUNTIF(E33:AI33,"=ВЧ/РВ")+COUNTIF(E33:AI33,"=РН/РВ"),0)</f>
        <v>18</v>
      </c>
      <c r="AK33" s="202">
        <f>IFERROR(SUMIF(E33:AI33,"=Р2",E34:AI34)+SUMIF(E33:AI33,"=ВЧ/РВ",E34:AI34)+SUMIF(E33:AI33,"=РН/РВ",E34:AI34)+SUMIF(E33:AI33,"=Р1/РВ",E34:AI34)+SUMIF(E33:AI33,"=ВЧ2/РВ",E34:AI34)+SUMIF(E33:AI33,"=Р2/РВ",E34:AI34)+SUMIF(E33:AI33,"=Р",E34:AI34)+SUMIF(E33:AI33,"=Р1",E34:AI34)+SUMIF(E33:AI33,"=ВЧ1",E34:AI34)+SUMIF(E33:AI33,"=РН",E34:AI34)+SUMIF(E33:AI33,"=ВЧ",E34:AI34)+SUMIF(E33:AI33,"=НУ",E34:AI34),0)</f>
        <v>144.4</v>
      </c>
      <c r="AL33" s="202">
        <f>IFERROR(SUMIF(E33:AI33,"=НУ",E34:AI34),0)</f>
        <v>0</v>
      </c>
      <c r="AM33" s="202">
        <f>IFERROR(SUMIF(E33:AI33,"=РН",E34:AI34)+SUMIF(E33:AI33,"=РН/РВ",E34:AI34)+SUMIFS(E34:AI34,E33:AI33,"=Р2",E34:AI34,"=8"),0)</f>
        <v>0</v>
      </c>
      <c r="AN33" s="211">
        <f>IFERROR(SUMIF(E33:AI33,"=ВЧ",E34:AI34)+SUMIF(E33:AI33,"=ВЧ/РВ",E34:AI34)+CEILING(COUNTIFS(E33:AI33,"=Р2",E34:AI34,"=7")*4,1)+CEILING(COUNTIFS(E33:AI33,"=Р2/РВ",E34:AI34,"=7")*4,1)+SUMIFS(E34:AI34,E33:AI33,"=Р1/РВ",E34:AI34,"=12")/6+SUMIFS(E34:AI34,E33:AI33,"=ВЧ2/РВ",E34:AI34,"=4")/2+SUMIFS(E34:AI34,E33:AI33,"=Р1",E34:AI34,"=12")/6+SUMIFS(E34:AI34,E33:AI33,"=Р1",E34:AI34,"=8")/4+SUMIF(E33:AI33,"=ВЧ1",E34:AI34)/2,0)</f>
        <v>0</v>
      </c>
      <c r="AO33" s="202">
        <f>IFERROR(SUMIF(E33:AI33,"=РВ",E34:AI34)+SUMIF(E33:AI33,"=ВЧ/РВ",E34:AI34)+SUMIF(E33:AI33,"=РН/РВ",E34:AI34)+SUMIF(E33:AI33,"=Р1/РВ",E34:AI34)+SUMIF(E33:AI33,"=ВЧ2/РВ",E34:AI34)+SUMIF(E33:AI33,"=Р2/РВ",E34:AI34),0)</f>
        <v>0</v>
      </c>
      <c r="AP33" s="202">
        <f>IFERROR(COUNTIF(E33:AI33,"=ВВ")+COUNTIF(E33:AI33,"=Р1/ВВ")+COUNTIF(E33:AI33,"=РН/ВВ")+COUNTIF(E33:AI33,"=ВЧ/ВВ"),0)</f>
        <v>10</v>
      </c>
      <c r="AQ33" s="202">
        <f>SUM(AR33:AZ33)</f>
        <v>23.599999999999998</v>
      </c>
      <c r="AR33" s="202">
        <f>IFERROR(SUMIF(E33:AI33,"=В",E34:AI34)+SUMIF(E33:AI33,"=Ч",E34:AI34)+SUMIF(E33:AI33,"=ВБ",E34:AI34),0)</f>
        <v>0</v>
      </c>
      <c r="AS33" s="202">
        <f>IFERROR(SUMIF(E33:AI33,"=Н",E34:AI34),0)</f>
        <v>0</v>
      </c>
      <c r="AT33" s="202">
        <f>IFERROR(SUMIF(E33:AI33,"=НА",E34:AI34),0)</f>
        <v>0</v>
      </c>
      <c r="AU33" s="202">
        <f>IFERROR(SUMIF(E33:AI33,"=ВП",E34:AI34),0)</f>
        <v>0</v>
      </c>
      <c r="AV33" s="202">
        <f>IFERROR(SUMIF(E33:AI33,"=ДД",E34:AI34),0)</f>
        <v>0</v>
      </c>
      <c r="AW33" s="202">
        <f>IFERROR(SUMIF(E33:AI33,"=ДО",E34:AI34),0)</f>
        <v>0</v>
      </c>
      <c r="AX33" s="202">
        <f>IFERROR(SUMIF(E33:AI33,"=ТН",E34:AI34),0)</f>
        <v>23.599999999999998</v>
      </c>
      <c r="AY33" s="202">
        <f>IFERROR(SUMIF(E33:AI33,"=ВД",E34:AI34),0)</f>
        <v>0</v>
      </c>
      <c r="AZ33" s="200">
        <f>IFERROR(SUMIF(E33:AI33,"=ІН",E34:AI34),0)+SUMIF(E33:AI33,"=НЗ",E34:AI34)</f>
        <v>0</v>
      </c>
    </row>
    <row r="34" spans="1:52" s="159" customFormat="1" ht="20.100000000000001" customHeight="1" thickBot="1" x14ac:dyDescent="0.25">
      <c r="A34" s="290"/>
      <c r="B34" s="229"/>
      <c r="C34" s="229"/>
      <c r="D34" s="229"/>
      <c r="E34" s="192"/>
      <c r="F34" s="192"/>
      <c r="G34" s="192">
        <v>8.1999999999999993</v>
      </c>
      <c r="H34" s="192">
        <v>8.1999999999999993</v>
      </c>
      <c r="I34" s="192">
        <v>8.1999999999999993</v>
      </c>
      <c r="J34" s="192">
        <v>8.1999999999999993</v>
      </c>
      <c r="K34" s="192">
        <v>7</v>
      </c>
      <c r="L34" s="192"/>
      <c r="M34" s="192"/>
      <c r="N34" s="192">
        <v>8.1999999999999993</v>
      </c>
      <c r="O34" s="192">
        <v>8.1999999999999993</v>
      </c>
      <c r="P34" s="192">
        <v>8.1999999999999993</v>
      </c>
      <c r="Q34" s="192">
        <v>8.1999999999999993</v>
      </c>
      <c r="R34" s="192">
        <v>7.2</v>
      </c>
      <c r="S34" s="192"/>
      <c r="T34" s="192"/>
      <c r="U34" s="192">
        <v>8.1999999999999993</v>
      </c>
      <c r="V34" s="192">
        <v>8.1999999999999993</v>
      </c>
      <c r="W34" s="192">
        <v>8.1999999999999993</v>
      </c>
      <c r="X34" s="192">
        <v>8.1999999999999993</v>
      </c>
      <c r="Y34" s="192">
        <v>7.2</v>
      </c>
      <c r="Z34" s="192"/>
      <c r="AA34" s="192"/>
      <c r="AB34" s="192">
        <v>8.1999999999999993</v>
      </c>
      <c r="AC34" s="192">
        <v>8.1999999999999993</v>
      </c>
      <c r="AD34" s="192">
        <v>8.1999999999999993</v>
      </c>
      <c r="AE34" s="192">
        <v>8.1999999999999993</v>
      </c>
      <c r="AF34" s="192">
        <v>7.2</v>
      </c>
      <c r="AG34" s="192"/>
      <c r="AH34" s="192"/>
      <c r="AI34" s="192">
        <v>8.1999999999999993</v>
      </c>
      <c r="AJ34" s="214"/>
      <c r="AK34" s="203"/>
      <c r="AL34" s="203"/>
      <c r="AM34" s="203"/>
      <c r="AN34" s="212"/>
      <c r="AO34" s="203"/>
      <c r="AP34" s="203"/>
      <c r="AQ34" s="203"/>
      <c r="AR34" s="203"/>
      <c r="AS34" s="203"/>
      <c r="AT34" s="203"/>
      <c r="AU34" s="203"/>
      <c r="AV34" s="203"/>
      <c r="AW34" s="203"/>
      <c r="AX34" s="203"/>
      <c r="AY34" s="203"/>
      <c r="AZ34" s="201"/>
    </row>
    <row r="35" spans="1:52" s="159" customFormat="1" ht="15.75" customHeight="1" x14ac:dyDescent="0.2">
      <c r="A35" s="289">
        <f t="shared" ref="A35" si="7">A33+1</f>
        <v>10</v>
      </c>
      <c r="B35" s="228" t="s">
        <v>338</v>
      </c>
      <c r="C35" s="228">
        <v>1816</v>
      </c>
      <c r="D35" s="228" t="s">
        <v>72</v>
      </c>
      <c r="E35" s="191" t="s">
        <v>142</v>
      </c>
      <c r="F35" s="191" t="s">
        <v>142</v>
      </c>
      <c r="G35" s="191" t="s">
        <v>4</v>
      </c>
      <c r="H35" s="191" t="s">
        <v>4</v>
      </c>
      <c r="I35" s="191" t="s">
        <v>4</v>
      </c>
      <c r="J35" s="191" t="s">
        <v>4</v>
      </c>
      <c r="K35" s="191" t="s">
        <v>4</v>
      </c>
      <c r="L35" s="191" t="s">
        <v>142</v>
      </c>
      <c r="M35" s="191" t="s">
        <v>142</v>
      </c>
      <c r="N35" s="191" t="s">
        <v>4</v>
      </c>
      <c r="O35" s="191" t="s">
        <v>4</v>
      </c>
      <c r="P35" s="191" t="s">
        <v>4</v>
      </c>
      <c r="Q35" s="191" t="s">
        <v>4</v>
      </c>
      <c r="R35" s="191" t="s">
        <v>4</v>
      </c>
      <c r="S35" s="191" t="s">
        <v>142</v>
      </c>
      <c r="T35" s="191" t="s">
        <v>142</v>
      </c>
      <c r="U35" s="191" t="s">
        <v>4</v>
      </c>
      <c r="V35" s="191" t="s">
        <v>4</v>
      </c>
      <c r="W35" s="191" t="s">
        <v>4</v>
      </c>
      <c r="X35" s="191" t="s">
        <v>4</v>
      </c>
      <c r="Y35" s="191" t="s">
        <v>4</v>
      </c>
      <c r="Z35" s="191" t="s">
        <v>142</v>
      </c>
      <c r="AA35" s="191" t="s">
        <v>142</v>
      </c>
      <c r="AB35" s="191" t="s">
        <v>4</v>
      </c>
      <c r="AC35" s="191" t="s">
        <v>4</v>
      </c>
      <c r="AD35" s="191" t="s">
        <v>4</v>
      </c>
      <c r="AE35" s="191" t="s">
        <v>4</v>
      </c>
      <c r="AF35" s="191" t="s">
        <v>4</v>
      </c>
      <c r="AG35" s="191" t="s">
        <v>142</v>
      </c>
      <c r="AH35" s="191" t="s">
        <v>142</v>
      </c>
      <c r="AI35" s="191" t="s">
        <v>4</v>
      </c>
      <c r="AJ35" s="213">
        <f>IFERROR(COUNTIF(E35:AI35,"=Р")+COUNTIF(E35:AI35,"=Р1")+COUNTIF(E35:AI35,"=ВЧ")+COUNTIF(E35:AI35,"=РН")+COUNTIF(E35:AI35,"=Р2")+COUNTIF(E35:AI35,"=Р1/РВ")+COUNTIF(E35:AI35,"=Р2/РВ")+COUNTIF(E35:AI35,"=ВЧ/РВ")+COUNTIF(E35:AI35,"=РН/РВ"),0)</f>
        <v>21</v>
      </c>
      <c r="AK35" s="202">
        <f>IFERROR(SUMIF(E35:AI35,"=Р2",E36:AI36)+SUMIF(E35:AI35,"=ВЧ/РВ",E36:AI36)+SUMIF(E35:AI35,"=РН/РВ",E36:AI36)+SUMIF(E35:AI35,"=Р1/РВ",E36:AI36)+SUMIF(E35:AI35,"=ВЧ2/РВ",E36:AI36)+SUMIF(E35:AI35,"=Р2/РВ",E36:AI36)+SUMIF(E35:AI35,"=Р",E36:AI36)+SUMIF(E35:AI35,"=Р1",E36:AI36)+SUMIF(E35:AI35,"=ВЧ1",E36:AI36)+SUMIF(E35:AI35,"=РН",E36:AI36)+SUMIF(E35:AI35,"=ВЧ",E36:AI36)+SUMIF(E35:AI35,"=НУ",E36:AI36),0)</f>
        <v>167.99999999999997</v>
      </c>
      <c r="AL35" s="202">
        <f>IFERROR(SUMIF(E35:AI35,"=НУ",E36:AI36),0)</f>
        <v>0</v>
      </c>
      <c r="AM35" s="202">
        <f>IFERROR(SUMIF(E35:AI35,"=РН",E36:AI36)+SUMIF(E35:AI35,"=РН/РВ",E36:AI36)+SUMIFS(E36:AI36,E35:AI35,"=Р2",E36:AI36,"=8"),0)</f>
        <v>0</v>
      </c>
      <c r="AN35" s="211">
        <f>IFERROR(SUMIF(E35:AI35,"=ВЧ",E36:AI36)+SUMIF(E35:AI35,"=ВЧ/РВ",E36:AI36)+CEILING(COUNTIFS(E35:AI35,"=Р2",E36:AI36,"=7")*4,1)+CEILING(COUNTIFS(E35:AI35,"=Р2/РВ",E36:AI36,"=7")*4,1)+SUMIFS(E36:AI36,E35:AI35,"=Р1/РВ",E36:AI36,"=12")/6+SUMIFS(E36:AI36,E35:AI35,"=ВЧ2/РВ",E36:AI36,"=4")/2+SUMIFS(E36:AI36,E35:AI35,"=Р1",E36:AI36,"=12")/6+SUMIFS(E36:AI36,E35:AI35,"=Р1",E36:AI36,"=8")/4+SUMIF(E35:AI35,"=ВЧ1",E36:AI36)/2,0)</f>
        <v>0</v>
      </c>
      <c r="AO35" s="202">
        <f>IFERROR(SUMIF(E35:AI35,"=РВ",E36:AI36)+SUMIF(E35:AI35,"=ВЧ/РВ",E36:AI36)+SUMIF(E35:AI35,"=РН/РВ",E36:AI36)+SUMIF(E35:AI35,"=Р1/РВ",E36:AI36)+SUMIF(E35:AI35,"=ВЧ2/РВ",E36:AI36)+SUMIF(E35:AI35,"=Р2/РВ",E36:AI36),0)</f>
        <v>0</v>
      </c>
      <c r="AP35" s="202">
        <f>IFERROR(COUNTIF(E35:AI35,"=ВВ")+COUNTIF(E35:AI35,"=Р1/ВВ")+COUNTIF(E35:AI35,"=РН/ВВ")+COUNTIF(E35:AI35,"=ВЧ/ВВ"),0)</f>
        <v>10</v>
      </c>
      <c r="AQ35" s="202">
        <f>SUM(AR35:AZ35)</f>
        <v>0</v>
      </c>
      <c r="AR35" s="202">
        <f>IFERROR(SUMIF(E35:AI35,"=В",E36:AI36)+SUMIF(E35:AI35,"=Ч",E36:AI36)+SUMIF(E35:AI35,"=ВБ",E36:AI36),0)</f>
        <v>0</v>
      </c>
      <c r="AS35" s="202">
        <f>IFERROR(SUMIF(E35:AI35,"=Н",E36:AI36),0)</f>
        <v>0</v>
      </c>
      <c r="AT35" s="202">
        <f>IFERROR(SUMIF(E35:AI35,"=НА",E36:AI36),0)</f>
        <v>0</v>
      </c>
      <c r="AU35" s="202">
        <f>IFERROR(SUMIF(E35:AI35,"=ВП",E36:AI36),0)</f>
        <v>0</v>
      </c>
      <c r="AV35" s="202">
        <f>IFERROR(SUMIF(E35:AI35,"=ДД",E36:AI36),0)</f>
        <v>0</v>
      </c>
      <c r="AW35" s="202">
        <f>IFERROR(SUMIF(E35:AI35,"=ДО",E36:AI36),0)</f>
        <v>0</v>
      </c>
      <c r="AX35" s="202">
        <f>IFERROR(SUMIF(E35:AI35,"=ТН",E36:AI36),0)</f>
        <v>0</v>
      </c>
      <c r="AY35" s="202">
        <f>IFERROR(SUMIF(E35:AI35,"=ВД",E36:AI36),0)</f>
        <v>0</v>
      </c>
      <c r="AZ35" s="200">
        <f>IFERROR(SUMIF(E35:AI35,"=ІН",E36:AI36),0)+SUMIF(E35:AI35,"=НЗ",E36:AI36)</f>
        <v>0</v>
      </c>
    </row>
    <row r="36" spans="1:52" s="159" customFormat="1" ht="20.100000000000001" customHeight="1" thickBot="1" x14ac:dyDescent="0.25">
      <c r="A36" s="290"/>
      <c r="B36" s="229"/>
      <c r="C36" s="229"/>
      <c r="D36" s="229"/>
      <c r="E36" s="192"/>
      <c r="F36" s="192"/>
      <c r="G36" s="192">
        <v>8.1999999999999993</v>
      </c>
      <c r="H36" s="192">
        <v>8.1999999999999993</v>
      </c>
      <c r="I36" s="192">
        <v>8.1999999999999993</v>
      </c>
      <c r="J36" s="192">
        <v>8.1999999999999993</v>
      </c>
      <c r="K36" s="192">
        <v>7</v>
      </c>
      <c r="L36" s="192"/>
      <c r="M36" s="192"/>
      <c r="N36" s="192">
        <v>8.1999999999999993</v>
      </c>
      <c r="O36" s="192">
        <v>8.1999999999999993</v>
      </c>
      <c r="P36" s="192">
        <v>8.1999999999999993</v>
      </c>
      <c r="Q36" s="192">
        <v>8.1999999999999993</v>
      </c>
      <c r="R36" s="192">
        <v>7.2</v>
      </c>
      <c r="S36" s="192"/>
      <c r="T36" s="192"/>
      <c r="U36" s="192">
        <v>8.1999999999999993</v>
      </c>
      <c r="V36" s="192">
        <v>8.1999999999999993</v>
      </c>
      <c r="W36" s="192">
        <v>8.1999999999999993</v>
      </c>
      <c r="X36" s="192">
        <v>8.1999999999999993</v>
      </c>
      <c r="Y36" s="192">
        <v>7.2</v>
      </c>
      <c r="Z36" s="192"/>
      <c r="AA36" s="192"/>
      <c r="AB36" s="192">
        <v>8.1999999999999993</v>
      </c>
      <c r="AC36" s="192">
        <v>8.1999999999999993</v>
      </c>
      <c r="AD36" s="192">
        <v>8.1999999999999993</v>
      </c>
      <c r="AE36" s="192">
        <v>8.1999999999999993</v>
      </c>
      <c r="AF36" s="192">
        <v>7.2</v>
      </c>
      <c r="AG36" s="192"/>
      <c r="AH36" s="192"/>
      <c r="AI36" s="192">
        <v>8.1999999999999993</v>
      </c>
      <c r="AJ36" s="214"/>
      <c r="AK36" s="203"/>
      <c r="AL36" s="203"/>
      <c r="AM36" s="203"/>
      <c r="AN36" s="212"/>
      <c r="AO36" s="203"/>
      <c r="AP36" s="203"/>
      <c r="AQ36" s="203"/>
      <c r="AR36" s="203"/>
      <c r="AS36" s="203"/>
      <c r="AT36" s="203"/>
      <c r="AU36" s="203"/>
      <c r="AV36" s="203"/>
      <c r="AW36" s="203"/>
      <c r="AX36" s="203"/>
      <c r="AY36" s="203"/>
      <c r="AZ36" s="201"/>
    </row>
    <row r="37" spans="1:52" ht="18" customHeight="1" x14ac:dyDescent="0.2">
      <c r="A37" s="289">
        <f t="shared" ref="A37" si="8">A35+1</f>
        <v>11</v>
      </c>
      <c r="B37" s="228" t="s">
        <v>173</v>
      </c>
      <c r="C37" s="228">
        <v>942</v>
      </c>
      <c r="D37" s="228" t="s">
        <v>72</v>
      </c>
      <c r="E37" s="191" t="s">
        <v>52</v>
      </c>
      <c r="F37" s="191" t="s">
        <v>52</v>
      </c>
      <c r="G37" s="191" t="s">
        <v>52</v>
      </c>
      <c r="H37" s="191" t="s">
        <v>52</v>
      </c>
      <c r="I37" s="191" t="s">
        <v>52</v>
      </c>
      <c r="J37" s="191" t="s">
        <v>52</v>
      </c>
      <c r="K37" s="191" t="s">
        <v>52</v>
      </c>
      <c r="L37" s="191" t="s">
        <v>52</v>
      </c>
      <c r="M37" s="191" t="s">
        <v>52</v>
      </c>
      <c r="N37" s="191" t="s">
        <v>52</v>
      </c>
      <c r="O37" s="191" t="s">
        <v>52</v>
      </c>
      <c r="P37" s="191" t="s">
        <v>52</v>
      </c>
      <c r="Q37" s="191" t="s">
        <v>52</v>
      </c>
      <c r="R37" s="191" t="s">
        <v>52</v>
      </c>
      <c r="S37" s="191" t="s">
        <v>52</v>
      </c>
      <c r="T37" s="191" t="s">
        <v>52</v>
      </c>
      <c r="U37" s="191" t="s">
        <v>52</v>
      </c>
      <c r="V37" s="191" t="s">
        <v>52</v>
      </c>
      <c r="W37" s="191" t="s">
        <v>52</v>
      </c>
      <c r="X37" s="191" t="s">
        <v>52</v>
      </c>
      <c r="Y37" s="191" t="s">
        <v>52</v>
      </c>
      <c r="Z37" s="191" t="s">
        <v>52</v>
      </c>
      <c r="AA37" s="191" t="s">
        <v>52</v>
      </c>
      <c r="AB37" s="191" t="s">
        <v>52</v>
      </c>
      <c r="AC37" s="191" t="s">
        <v>52</v>
      </c>
      <c r="AD37" s="191" t="s">
        <v>52</v>
      </c>
      <c r="AE37" s="191" t="s">
        <v>4</v>
      </c>
      <c r="AF37" s="191" t="s">
        <v>4</v>
      </c>
      <c r="AG37" s="191" t="s">
        <v>142</v>
      </c>
      <c r="AH37" s="191" t="s">
        <v>142</v>
      </c>
      <c r="AI37" s="191" t="s">
        <v>4</v>
      </c>
      <c r="AJ37" s="213">
        <f>IFERROR(COUNTIF(E37:AI37,"=Р")+COUNTIF(E37:AI37,"=Р1")+COUNTIF(E37:AI37,"=ВЧ")+COUNTIF(E37:AI37,"=РН")+COUNTIF(E37:AI37,"=Р2")+COUNTIF(E37:AI37,"=Р1/РВ")+COUNTIF(E37:AI37,"=Р2/РВ")+COUNTIF(E37:AI37,"=ВЧ/РВ")+COUNTIF(E37:AI37,"=РН/РВ"),0)</f>
        <v>3</v>
      </c>
      <c r="AK37" s="202">
        <f>IFERROR(SUMIF(E37:AI37,"=Р2",E38:AI38)+SUMIF(E37:AI37,"=ВЧ/РВ",E38:AI38)+SUMIF(E37:AI37,"=РН/РВ",E38:AI38)+SUMIF(E37:AI37,"=Р1/РВ",E38:AI38)+SUMIF(E37:AI37,"=ВЧ2/РВ",E38:AI38)+SUMIF(E37:AI37,"=Р2/РВ",E38:AI38)+SUMIF(E37:AI37,"=Р",E38:AI38)+SUMIF(E37:AI37,"=Р1",E38:AI38)+SUMIF(E37:AI37,"=ВЧ1",E38:AI38)+SUMIF(E37:AI37,"=РН",E38:AI38)+SUMIF(E37:AI37,"=ВЧ",E38:AI38)+SUMIF(E37:AI37,"=НУ",E38:AI38),0)</f>
        <v>23.599999999999998</v>
      </c>
      <c r="AL37" s="202">
        <f>IFERROR(SUMIF(E37:AI37,"=НУ",E38:AI38),0)</f>
        <v>0</v>
      </c>
      <c r="AM37" s="202">
        <f>IFERROR(SUMIF(E37:AI37,"=РН",E38:AI38)+SUMIF(E37:AI37,"=РН/РВ",E38:AI38)+SUMIFS(E38:AI38,E37:AI37,"=Р2",E38:AI38,"=8"),0)</f>
        <v>0</v>
      </c>
      <c r="AN37" s="211">
        <f>IFERROR(SUMIF(E37:AI37,"=ВЧ",E38:AI38)+SUMIF(E37:AI37,"=ВЧ/РВ",E38:AI38)+CEILING(COUNTIFS(E37:AI37,"=Р2",E38:AI38,"=7")*4,1)+CEILING(COUNTIFS(E37:AI37,"=Р2/РВ",E38:AI38,"=7")*4,1)+SUMIFS(E38:AI38,E37:AI37,"=Р1/РВ",E38:AI38,"=12")/6+SUMIFS(E38:AI38,E37:AI37,"=ВЧ2/РВ",E38:AI38,"=4")/2+SUMIFS(E38:AI38,E37:AI37,"=Р1",E38:AI38,"=12")/6+SUMIFS(E38:AI38,E37:AI37,"=Р1",E38:AI38,"=8")/4+SUMIF(E37:AI37,"=ВЧ1",E38:AI38)/2,0)</f>
        <v>0</v>
      </c>
      <c r="AO37" s="202">
        <f>IFERROR(SUMIF(E37:AI37,"=РВ",E38:AI38)+SUMIF(E37:AI37,"=ВЧ/РВ",E38:AI38)+SUMIF(E37:AI37,"=РН/РВ",E38:AI38)+SUMIF(E37:AI37,"=Р1/РВ",E38:AI38)+SUMIF(E37:AI37,"=ВЧ2/РВ",E38:AI38)+SUMIF(E37:AI37,"=Р2/РВ",E38:AI38),0)</f>
        <v>0</v>
      </c>
      <c r="AP37" s="202">
        <f>IFERROR(COUNTIF(E37:AI37,"=ВВ")+COUNTIF(E37:AI37,"=Р1/ВВ")+COUNTIF(E37:AI37,"=РН/ВВ")+COUNTIF(E37:AI37,"=ВЧ/ВВ"),0)</f>
        <v>2</v>
      </c>
      <c r="AQ37" s="202">
        <f>SUM(AR37:AZ37)</f>
        <v>144.4</v>
      </c>
      <c r="AR37" s="202">
        <f>IFERROR(SUMIF(E37:AI37,"=В",E38:AI38)+SUMIF(E37:AI37,"=Ч",E38:AI38)+SUMIF(E37:AI37,"=ВБ",E38:AI38),0)</f>
        <v>0</v>
      </c>
      <c r="AS37" s="202">
        <f>IFERROR(SUMIF(E37:AI37,"=Н",E38:AI38),0)</f>
        <v>0</v>
      </c>
      <c r="AT37" s="202">
        <f>IFERROR(SUMIF(E37:AI37,"=НА",E38:AI38),0)</f>
        <v>0</v>
      </c>
      <c r="AU37" s="202">
        <f>IFERROR(SUMIF(E37:AI37,"=ВП",E38:AI38),0)</f>
        <v>0</v>
      </c>
      <c r="AV37" s="202">
        <f>IFERROR(SUMIF(E37:AI37,"=ДД",E38:AI38),0)</f>
        <v>0</v>
      </c>
      <c r="AW37" s="202">
        <f>IFERROR(SUMIF(E37:AI37,"=ДО",E38:AI38),0)</f>
        <v>0</v>
      </c>
      <c r="AX37" s="202">
        <f>IFERROR(SUMIF(E37:AI37,"=ТН",E38:AI38),0)</f>
        <v>144.4</v>
      </c>
      <c r="AY37" s="202">
        <f>IFERROR(SUMIF(E37:AI37,"=ВД",E38:AI38),0)</f>
        <v>0</v>
      </c>
      <c r="AZ37" s="200">
        <f>IFERROR(SUMIF(E37:AI37,"=ІН",E38:AI38),0)+SUMIF(E37:AI37,"=НЗ",E38:AI38)</f>
        <v>0</v>
      </c>
    </row>
    <row r="38" spans="1:52" ht="20.100000000000001" customHeight="1" thickBot="1" x14ac:dyDescent="0.25">
      <c r="A38" s="290"/>
      <c r="B38" s="229"/>
      <c r="C38" s="229"/>
      <c r="D38" s="229"/>
      <c r="E38" s="192"/>
      <c r="F38" s="192"/>
      <c r="G38" s="192">
        <v>8.1999999999999993</v>
      </c>
      <c r="H38" s="192">
        <v>8.1999999999999993</v>
      </c>
      <c r="I38" s="192">
        <v>8.1999999999999993</v>
      </c>
      <c r="J38" s="192">
        <v>8.1999999999999993</v>
      </c>
      <c r="K38" s="192">
        <v>7</v>
      </c>
      <c r="L38" s="192"/>
      <c r="M38" s="192"/>
      <c r="N38" s="192">
        <v>8.1999999999999993</v>
      </c>
      <c r="O38" s="192">
        <v>8.1999999999999993</v>
      </c>
      <c r="P38" s="192">
        <v>8.1999999999999993</v>
      </c>
      <c r="Q38" s="192">
        <v>8.1999999999999993</v>
      </c>
      <c r="R38" s="192">
        <v>7.2</v>
      </c>
      <c r="S38" s="192"/>
      <c r="T38" s="192"/>
      <c r="U38" s="192">
        <v>8.1999999999999993</v>
      </c>
      <c r="V38" s="192">
        <v>8.1999999999999993</v>
      </c>
      <c r="W38" s="192">
        <v>8.1999999999999993</v>
      </c>
      <c r="X38" s="192">
        <v>8.1999999999999993</v>
      </c>
      <c r="Y38" s="192">
        <v>7.2</v>
      </c>
      <c r="Z38" s="192"/>
      <c r="AA38" s="192"/>
      <c r="AB38" s="192">
        <v>8.1999999999999993</v>
      </c>
      <c r="AC38" s="192">
        <v>8.1999999999999993</v>
      </c>
      <c r="AD38" s="192">
        <v>8.1999999999999993</v>
      </c>
      <c r="AE38" s="192">
        <v>8.1999999999999993</v>
      </c>
      <c r="AF38" s="192">
        <v>7.2</v>
      </c>
      <c r="AG38" s="192"/>
      <c r="AH38" s="192"/>
      <c r="AI38" s="192">
        <v>8.1999999999999993</v>
      </c>
      <c r="AJ38" s="214"/>
      <c r="AK38" s="203"/>
      <c r="AL38" s="203"/>
      <c r="AM38" s="203"/>
      <c r="AN38" s="212"/>
      <c r="AO38" s="203"/>
      <c r="AP38" s="203"/>
      <c r="AQ38" s="203"/>
      <c r="AR38" s="203"/>
      <c r="AS38" s="203"/>
      <c r="AT38" s="203"/>
      <c r="AU38" s="203"/>
      <c r="AV38" s="203"/>
      <c r="AW38" s="203"/>
      <c r="AX38" s="203"/>
      <c r="AY38" s="203"/>
      <c r="AZ38" s="201"/>
    </row>
    <row r="39" spans="1:52" s="121" customFormat="1" ht="18.75" customHeight="1" x14ac:dyDescent="0.2">
      <c r="A39" s="289">
        <f t="shared" ref="A39" si="9">A37+1</f>
        <v>12</v>
      </c>
      <c r="B39" s="228" t="s">
        <v>335</v>
      </c>
      <c r="C39" s="228">
        <v>2168</v>
      </c>
      <c r="D39" s="228" t="s">
        <v>72</v>
      </c>
      <c r="E39" s="191" t="s">
        <v>142</v>
      </c>
      <c r="F39" s="191" t="s">
        <v>142</v>
      </c>
      <c r="G39" s="191" t="s">
        <v>4</v>
      </c>
      <c r="H39" s="191" t="s">
        <v>4</v>
      </c>
      <c r="I39" s="191" t="s">
        <v>4</v>
      </c>
      <c r="J39" s="191" t="s">
        <v>4</v>
      </c>
      <c r="K39" s="191" t="s">
        <v>4</v>
      </c>
      <c r="L39" s="191" t="s">
        <v>142</v>
      </c>
      <c r="M39" s="191" t="s">
        <v>142</v>
      </c>
      <c r="N39" s="191" t="s">
        <v>4</v>
      </c>
      <c r="O39" s="191" t="s">
        <v>4</v>
      </c>
      <c r="P39" s="191" t="s">
        <v>4</v>
      </c>
      <c r="Q39" s="191" t="s">
        <v>4</v>
      </c>
      <c r="R39" s="191" t="s">
        <v>4</v>
      </c>
      <c r="S39" s="191" t="s">
        <v>142</v>
      </c>
      <c r="T39" s="191" t="s">
        <v>142</v>
      </c>
      <c r="U39" s="191" t="s">
        <v>52</v>
      </c>
      <c r="V39" s="191" t="s">
        <v>52</v>
      </c>
      <c r="W39" s="191" t="s">
        <v>52</v>
      </c>
      <c r="X39" s="191" t="s">
        <v>52</v>
      </c>
      <c r="Y39" s="191" t="s">
        <v>52</v>
      </c>
      <c r="Z39" s="191" t="s">
        <v>142</v>
      </c>
      <c r="AA39" s="191" t="s">
        <v>142</v>
      </c>
      <c r="AB39" s="191" t="s">
        <v>4</v>
      </c>
      <c r="AC39" s="191" t="s">
        <v>4</v>
      </c>
      <c r="AD39" s="191" t="s">
        <v>4</v>
      </c>
      <c r="AE39" s="191" t="s">
        <v>4</v>
      </c>
      <c r="AF39" s="191" t="s">
        <v>4</v>
      </c>
      <c r="AG39" s="191" t="s">
        <v>142</v>
      </c>
      <c r="AH39" s="191" t="s">
        <v>142</v>
      </c>
      <c r="AI39" s="191" t="s">
        <v>4</v>
      </c>
      <c r="AJ39" s="213">
        <f>IFERROR(COUNTIF(E39:AI39,"=Р")+COUNTIF(E39:AI39,"=Р1")+COUNTIF(E39:AI39,"=ВЧ")+COUNTIF(E39:AI39,"=РН")+COUNTIF(E39:AI39,"=Р2")+COUNTIF(E39:AI39,"=Р1/РВ")+COUNTIF(E39:AI39,"=Р2/РВ")+COUNTIF(E39:AI39,"=ВЧ/РВ")+COUNTIF(E39:AI39,"=РН/РВ"),0)</f>
        <v>16</v>
      </c>
      <c r="AK39" s="202">
        <f>IFERROR(SUMIF(E39:AI39,"=Р2",E40:AI40)+SUMIF(E39:AI39,"=ВЧ/РВ",E40:AI40)+SUMIF(E39:AI39,"=РН/РВ",E40:AI40)+SUMIF(E39:AI39,"=Р1/РВ",E40:AI40)+SUMIF(E39:AI39,"=ВЧ2/РВ",E40:AI40)+SUMIF(E39:AI39,"=Р2/РВ",E40:AI40)+SUMIF(E39:AI39,"=Р",E40:AI40)+SUMIF(E39:AI39,"=Р1",E40:AI40)+SUMIF(E39:AI39,"=ВЧ1",E40:AI40)+SUMIF(E39:AI39,"=РН",E40:AI40)+SUMIF(E39:AI39,"=ВЧ",E40:AI40)+SUMIF(E39:AI39,"=НУ",E40:AI40),0)</f>
        <v>128.00000000000003</v>
      </c>
      <c r="AL39" s="202">
        <f>IFERROR(SUMIF(E39:AI39,"=НУ",E40:AI40),0)</f>
        <v>0</v>
      </c>
      <c r="AM39" s="202">
        <f>IFERROR(SUMIF(E39:AI39,"=РН",E40:AI40)+SUMIF(E39:AI39,"=РН/РВ",E40:AI40)+SUMIFS(E40:AI40,E39:AI39,"=Р2",E40:AI40,"=8"),0)</f>
        <v>0</v>
      </c>
      <c r="AN39" s="211">
        <f>IFERROR(SUMIF(E39:AI39,"=ВЧ",E40:AI40)+SUMIF(E39:AI39,"=ВЧ/РВ",E40:AI40)+CEILING(COUNTIFS(E39:AI39,"=Р2",E40:AI40,"=7")*4,1)+CEILING(COUNTIFS(E39:AI39,"=Р2/РВ",E40:AI40,"=7")*4,1)+SUMIFS(E40:AI40,E39:AI39,"=Р1/РВ",E40:AI40,"=12")/6+SUMIFS(E40:AI40,E39:AI39,"=ВЧ2/РВ",E40:AI40,"=4")/2+SUMIFS(E40:AI40,E39:AI39,"=Р1",E40:AI40,"=12")/6+SUMIFS(E40:AI40,E39:AI39,"=Р1",E40:AI40,"=8")/4+SUMIF(E39:AI39,"=ВЧ1",E40:AI40)/2,0)</f>
        <v>0</v>
      </c>
      <c r="AO39" s="202">
        <f>IFERROR(SUMIF(E39:AI39,"=РВ",E40:AI40)+SUMIF(E39:AI39,"=ВЧ/РВ",E40:AI40)+SUMIF(E39:AI39,"=РН/РВ",E40:AI40)+SUMIF(E39:AI39,"=Р1/РВ",E40:AI40)+SUMIF(E39:AI39,"=ВЧ2/РВ",E40:AI40)+SUMIF(E39:AI39,"=Р2/РВ",E40:AI40),0)</f>
        <v>0</v>
      </c>
      <c r="AP39" s="202">
        <f>IFERROR(COUNTIF(E39:AI39,"=ВВ")+COUNTIF(E39:AI39,"=Р1/ВВ")+COUNTIF(E39:AI39,"=РН/ВВ")+COUNTIF(E39:AI39,"=ВЧ/ВВ"),0)</f>
        <v>10</v>
      </c>
      <c r="AQ39" s="202">
        <f>SUM(AR39:AZ39)</f>
        <v>40</v>
      </c>
      <c r="AR39" s="202">
        <f>IFERROR(SUMIF(E39:AI39,"=В",E40:AI40)+SUMIF(E39:AI39,"=Ч",E40:AI40)+SUMIF(E39:AI39,"=ВБ",E40:AI40),0)</f>
        <v>0</v>
      </c>
      <c r="AS39" s="202">
        <f>IFERROR(SUMIF(E39:AI39,"=Н",E40:AI40),0)</f>
        <v>0</v>
      </c>
      <c r="AT39" s="202">
        <f>IFERROR(SUMIF(E39:AI39,"=НА",E40:AI40),0)</f>
        <v>0</v>
      </c>
      <c r="AU39" s="202">
        <f>IFERROR(SUMIF(E39:AI39,"=ВП",E40:AI40),0)</f>
        <v>0</v>
      </c>
      <c r="AV39" s="202">
        <f>IFERROR(SUMIF(E39:AI39,"=ДД",E40:AI40),0)</f>
        <v>0</v>
      </c>
      <c r="AW39" s="202">
        <f>IFERROR(SUMIF(E39:AI39,"=ДО",E40:AI40),0)</f>
        <v>0</v>
      </c>
      <c r="AX39" s="202">
        <f>IFERROR(SUMIF(E39:AI39,"=ТН",E40:AI40),0)</f>
        <v>40</v>
      </c>
      <c r="AY39" s="202">
        <f>IFERROR(SUMIF(E39:AI39,"=ВД",E40:AI40),0)</f>
        <v>0</v>
      </c>
      <c r="AZ39" s="200">
        <f>IFERROR(SUMIF(E39:AI39,"=ІН",E40:AI40),0)+SUMIF(E39:AI39,"=НЗ",E40:AI40)</f>
        <v>0</v>
      </c>
    </row>
    <row r="40" spans="1:52" s="121" customFormat="1" ht="20.100000000000001" customHeight="1" thickBot="1" x14ac:dyDescent="0.25">
      <c r="A40" s="290"/>
      <c r="B40" s="229"/>
      <c r="C40" s="229"/>
      <c r="D40" s="229"/>
      <c r="E40" s="192"/>
      <c r="F40" s="192"/>
      <c r="G40" s="192">
        <v>8.1999999999999993</v>
      </c>
      <c r="H40" s="192">
        <v>8.1999999999999993</v>
      </c>
      <c r="I40" s="192">
        <v>8.1999999999999993</v>
      </c>
      <c r="J40" s="192">
        <v>8.1999999999999993</v>
      </c>
      <c r="K40" s="192">
        <v>7</v>
      </c>
      <c r="L40" s="192"/>
      <c r="M40" s="192"/>
      <c r="N40" s="192">
        <v>8.1999999999999993</v>
      </c>
      <c r="O40" s="192">
        <v>8.1999999999999993</v>
      </c>
      <c r="P40" s="192">
        <v>8.1999999999999993</v>
      </c>
      <c r="Q40" s="192">
        <v>8.1999999999999993</v>
      </c>
      <c r="R40" s="192">
        <v>7.2</v>
      </c>
      <c r="S40" s="192"/>
      <c r="T40" s="192"/>
      <c r="U40" s="192">
        <v>8.1999999999999993</v>
      </c>
      <c r="V40" s="192">
        <v>8.1999999999999993</v>
      </c>
      <c r="W40" s="192">
        <v>8.1999999999999993</v>
      </c>
      <c r="X40" s="192">
        <v>8.1999999999999993</v>
      </c>
      <c r="Y40" s="192">
        <v>7.2</v>
      </c>
      <c r="Z40" s="192"/>
      <c r="AA40" s="192"/>
      <c r="AB40" s="192">
        <v>8.1999999999999993</v>
      </c>
      <c r="AC40" s="192">
        <v>8.1999999999999993</v>
      </c>
      <c r="AD40" s="192">
        <v>8.1999999999999993</v>
      </c>
      <c r="AE40" s="192">
        <v>8.1999999999999993</v>
      </c>
      <c r="AF40" s="192">
        <v>7.2</v>
      </c>
      <c r="AG40" s="192"/>
      <c r="AH40" s="192"/>
      <c r="AI40" s="192">
        <v>8.1999999999999993</v>
      </c>
      <c r="AJ40" s="214"/>
      <c r="AK40" s="203"/>
      <c r="AL40" s="203"/>
      <c r="AM40" s="203"/>
      <c r="AN40" s="212"/>
      <c r="AO40" s="203"/>
      <c r="AP40" s="203"/>
      <c r="AQ40" s="203"/>
      <c r="AR40" s="203"/>
      <c r="AS40" s="203"/>
      <c r="AT40" s="203"/>
      <c r="AU40" s="203"/>
      <c r="AV40" s="203"/>
      <c r="AW40" s="203"/>
      <c r="AX40" s="203"/>
      <c r="AY40" s="203"/>
      <c r="AZ40" s="201"/>
    </row>
    <row r="41" spans="1:52" ht="16.5" customHeight="1" x14ac:dyDescent="0.2">
      <c r="A41" s="289">
        <f t="shared" ref="A41" si="10">A39+1</f>
        <v>13</v>
      </c>
      <c r="B41" s="228" t="s">
        <v>174</v>
      </c>
      <c r="C41" s="228">
        <v>587</v>
      </c>
      <c r="D41" s="228" t="s">
        <v>65</v>
      </c>
      <c r="E41" s="191" t="s">
        <v>142</v>
      </c>
      <c r="F41" s="191" t="s">
        <v>142</v>
      </c>
      <c r="G41" s="191" t="s">
        <v>4</v>
      </c>
      <c r="H41" s="191" t="s">
        <v>4</v>
      </c>
      <c r="I41" s="191" t="s">
        <v>4</v>
      </c>
      <c r="J41" s="191" t="s">
        <v>4</v>
      </c>
      <c r="K41" s="191" t="s">
        <v>4</v>
      </c>
      <c r="L41" s="191" t="s">
        <v>142</v>
      </c>
      <c r="M41" s="191" t="s">
        <v>142</v>
      </c>
      <c r="N41" s="191" t="s">
        <v>4</v>
      </c>
      <c r="O41" s="191" t="s">
        <v>4</v>
      </c>
      <c r="P41" s="191" t="s">
        <v>4</v>
      </c>
      <c r="Q41" s="191" t="s">
        <v>4</v>
      </c>
      <c r="R41" s="191" t="s">
        <v>4</v>
      </c>
      <c r="S41" s="191" t="s">
        <v>142</v>
      </c>
      <c r="T41" s="191" t="s">
        <v>142</v>
      </c>
      <c r="U41" s="191" t="s">
        <v>4</v>
      </c>
      <c r="V41" s="191" t="s">
        <v>4</v>
      </c>
      <c r="W41" s="191" t="s">
        <v>4</v>
      </c>
      <c r="X41" s="191" t="s">
        <v>4</v>
      </c>
      <c r="Y41" s="191" t="s">
        <v>4</v>
      </c>
      <c r="Z41" s="191" t="s">
        <v>142</v>
      </c>
      <c r="AA41" s="191" t="s">
        <v>142</v>
      </c>
      <c r="AB41" s="191" t="s">
        <v>4</v>
      </c>
      <c r="AC41" s="191" t="s">
        <v>4</v>
      </c>
      <c r="AD41" s="191" t="s">
        <v>4</v>
      </c>
      <c r="AE41" s="191" t="s">
        <v>4</v>
      </c>
      <c r="AF41" s="191" t="s">
        <v>4</v>
      </c>
      <c r="AG41" s="191" t="s">
        <v>142</v>
      </c>
      <c r="AH41" s="191" t="s">
        <v>142</v>
      </c>
      <c r="AI41" s="191" t="s">
        <v>4</v>
      </c>
      <c r="AJ41" s="213">
        <f>IFERROR(COUNTIF(E41:AI41,"=Р")+COUNTIF(E41:AI41,"=Р1")+COUNTIF(E41:AI41,"=ВЧ")+COUNTIF(E41:AI41,"=РН")+COUNTIF(E41:AI41,"=Р2")+COUNTIF(E41:AI41,"=Р1/РВ")+COUNTIF(E41:AI41,"=Р2/РВ")+COUNTIF(E41:AI41,"=ВЧ/РВ")+COUNTIF(E41:AI41,"=РН/РВ"),0)</f>
        <v>21</v>
      </c>
      <c r="AK41" s="202">
        <f>IFERROR(SUMIF(E41:AI41,"=Р2",E42:AI42)+SUMIF(E41:AI41,"=ВЧ/РВ",E42:AI42)+SUMIF(E41:AI41,"=РН/РВ",E42:AI42)+SUMIF(E41:AI41,"=Р1/РВ",E42:AI42)+SUMIF(E41:AI41,"=ВЧ2/РВ",E42:AI42)+SUMIF(E41:AI41,"=Р2/РВ",E42:AI42)+SUMIF(E41:AI41,"=Р",E42:AI42)+SUMIF(E41:AI41,"=Р1",E42:AI42)+SUMIF(E41:AI41,"=ВЧ1",E42:AI42)+SUMIF(E41:AI41,"=РН",E42:AI42)+SUMIF(E41:AI41,"=ВЧ",E42:AI42)+SUMIF(E41:AI41,"=НУ",E42:AI42),0)</f>
        <v>167.99999999999997</v>
      </c>
      <c r="AL41" s="202">
        <f>IFERROR(SUMIF(E41:AI41,"=НУ",E42:AI42),0)</f>
        <v>0</v>
      </c>
      <c r="AM41" s="202">
        <f>IFERROR(SUMIF(E41:AI41,"=РН",E42:AI42)+SUMIF(E41:AI41,"=РН/РВ",E42:AI42)+SUMIFS(E42:AI42,E41:AI41,"=Р2",E42:AI42,"=8"),0)</f>
        <v>0</v>
      </c>
      <c r="AN41" s="211">
        <f>IFERROR(SUMIF(E41:AI41,"=ВЧ",E42:AI42)+SUMIF(E41:AI41,"=ВЧ/РВ",E42:AI42)+CEILING(COUNTIFS(E41:AI41,"=Р2",E42:AI42,"=7")*4,1)+CEILING(COUNTIFS(E41:AI41,"=Р2/РВ",E42:AI42,"=7")*4,1)+SUMIFS(E42:AI42,E41:AI41,"=Р1/РВ",E42:AI42,"=12")/6+SUMIFS(E42:AI42,E41:AI41,"=ВЧ2/РВ",E42:AI42,"=4")/2+SUMIFS(E42:AI42,E41:AI41,"=Р1",E42:AI42,"=12")/6+SUMIFS(E42:AI42,E41:AI41,"=Р1",E42:AI42,"=8")/4+SUMIF(E41:AI41,"=ВЧ1",E42:AI42)/2,0)</f>
        <v>0</v>
      </c>
      <c r="AO41" s="202">
        <f>IFERROR(SUMIF(E41:AI41,"=РВ",E42:AI42)+SUMIF(E41:AI41,"=ВЧ/РВ",E42:AI42)+SUMIF(E41:AI41,"=РН/РВ",E42:AI42)+SUMIF(E41:AI41,"=Р1/РВ",E42:AI42)+SUMIF(E41:AI41,"=ВЧ2/РВ",E42:AI42)+SUMIF(E41:AI41,"=Р2/РВ",E42:AI42),0)</f>
        <v>0</v>
      </c>
      <c r="AP41" s="202">
        <f>IFERROR(COUNTIF(E41:AI41,"=ВВ")+COUNTIF(E41:AI41,"=Р1/ВВ")+COUNTIF(E41:AI41,"=РН/ВВ")+COUNTIF(E41:AI41,"=ВЧ/ВВ"),0)</f>
        <v>10</v>
      </c>
      <c r="AQ41" s="202">
        <f>SUM(AR41:AZ41)</f>
        <v>0</v>
      </c>
      <c r="AR41" s="202">
        <f>IFERROR(SUMIF(E41:AI41,"=В",E42:AI42)+SUMIF(E41:AI41,"=Ч",E42:AI42)+SUMIF(E41:AI41,"=ВБ",E42:AI42),0)</f>
        <v>0</v>
      </c>
      <c r="AS41" s="202">
        <f>IFERROR(SUMIF(E41:AI41,"=Н",E42:AI42),0)</f>
        <v>0</v>
      </c>
      <c r="AT41" s="202">
        <f>IFERROR(SUMIF(E41:AI41,"=НА",E42:AI42),0)</f>
        <v>0</v>
      </c>
      <c r="AU41" s="202">
        <f>IFERROR(SUMIF(E41:AI41,"=ВП",E42:AI42),0)</f>
        <v>0</v>
      </c>
      <c r="AV41" s="202">
        <f>IFERROR(SUMIF(E41:AI41,"=ДД",E42:AI42),0)</f>
        <v>0</v>
      </c>
      <c r="AW41" s="202">
        <f>IFERROR(SUMIF(E41:AI41,"=ДО",E42:AI42),0)</f>
        <v>0</v>
      </c>
      <c r="AX41" s="202">
        <f>IFERROR(SUMIF(E41:AI41,"=ТН",E42:AI42),0)</f>
        <v>0</v>
      </c>
      <c r="AY41" s="202">
        <f>IFERROR(SUMIF(E41:AI41,"=ВД",E42:AI42),0)</f>
        <v>0</v>
      </c>
      <c r="AZ41" s="200">
        <f>IFERROR(SUMIF(E41:AI41,"=ІН",E42:AI42),0)+SUMIF(E41:AI41,"=НЗ",E42:AI42)</f>
        <v>0</v>
      </c>
    </row>
    <row r="42" spans="1:52" ht="20.100000000000001" customHeight="1" thickBot="1" x14ac:dyDescent="0.25">
      <c r="A42" s="290"/>
      <c r="B42" s="229"/>
      <c r="C42" s="229"/>
      <c r="D42" s="229"/>
      <c r="E42" s="192"/>
      <c r="F42" s="192"/>
      <c r="G42" s="192">
        <v>8.1999999999999993</v>
      </c>
      <c r="H42" s="192">
        <v>8.1999999999999993</v>
      </c>
      <c r="I42" s="192">
        <v>8.1999999999999993</v>
      </c>
      <c r="J42" s="192">
        <v>8.1999999999999993</v>
      </c>
      <c r="K42" s="192">
        <v>7</v>
      </c>
      <c r="L42" s="192"/>
      <c r="M42" s="192"/>
      <c r="N42" s="192">
        <v>8.1999999999999993</v>
      </c>
      <c r="O42" s="192">
        <v>8.1999999999999993</v>
      </c>
      <c r="P42" s="192">
        <v>8.1999999999999993</v>
      </c>
      <c r="Q42" s="192">
        <v>8.1999999999999993</v>
      </c>
      <c r="R42" s="192">
        <v>7.2</v>
      </c>
      <c r="S42" s="192"/>
      <c r="T42" s="192"/>
      <c r="U42" s="192">
        <v>8.1999999999999993</v>
      </c>
      <c r="V42" s="192">
        <v>8.1999999999999993</v>
      </c>
      <c r="W42" s="192">
        <v>8.1999999999999993</v>
      </c>
      <c r="X42" s="192">
        <v>8.1999999999999993</v>
      </c>
      <c r="Y42" s="192">
        <v>7.2</v>
      </c>
      <c r="Z42" s="192"/>
      <c r="AA42" s="192"/>
      <c r="AB42" s="192">
        <v>8.1999999999999993</v>
      </c>
      <c r="AC42" s="192">
        <v>8.1999999999999993</v>
      </c>
      <c r="AD42" s="192">
        <v>8.1999999999999993</v>
      </c>
      <c r="AE42" s="192">
        <v>8.1999999999999993</v>
      </c>
      <c r="AF42" s="192">
        <v>7.2</v>
      </c>
      <c r="AG42" s="192"/>
      <c r="AH42" s="192"/>
      <c r="AI42" s="192">
        <v>8.1999999999999993</v>
      </c>
      <c r="AJ42" s="214"/>
      <c r="AK42" s="203"/>
      <c r="AL42" s="203"/>
      <c r="AM42" s="203"/>
      <c r="AN42" s="212"/>
      <c r="AO42" s="203"/>
      <c r="AP42" s="203"/>
      <c r="AQ42" s="203"/>
      <c r="AR42" s="203"/>
      <c r="AS42" s="203"/>
      <c r="AT42" s="203"/>
      <c r="AU42" s="203"/>
      <c r="AV42" s="203"/>
      <c r="AW42" s="203"/>
      <c r="AX42" s="203"/>
      <c r="AY42" s="203"/>
      <c r="AZ42" s="201"/>
    </row>
    <row r="43" spans="1:52" s="103" customFormat="1" ht="18.75" customHeight="1" x14ac:dyDescent="0.2">
      <c r="A43" s="289">
        <f t="shared" ref="A43" si="11">A41+1</f>
        <v>14</v>
      </c>
      <c r="B43" s="228" t="s">
        <v>267</v>
      </c>
      <c r="C43" s="228">
        <v>2139</v>
      </c>
      <c r="D43" s="228" t="s">
        <v>65</v>
      </c>
      <c r="E43" s="191" t="s">
        <v>68</v>
      </c>
      <c r="F43" s="191" t="s">
        <v>68</v>
      </c>
      <c r="G43" s="191" t="s">
        <v>68</v>
      </c>
      <c r="H43" s="191" t="s">
        <v>68</v>
      </c>
      <c r="I43" s="191" t="s">
        <v>68</v>
      </c>
      <c r="J43" s="191" t="s">
        <v>68</v>
      </c>
      <c r="K43" s="191" t="s">
        <v>68</v>
      </c>
      <c r="L43" s="191" t="s">
        <v>68</v>
      </c>
      <c r="M43" s="191" t="s">
        <v>68</v>
      </c>
      <c r="N43" s="191" t="s">
        <v>68</v>
      </c>
      <c r="O43" s="191" t="s">
        <v>68</v>
      </c>
      <c r="P43" s="191" t="s">
        <v>68</v>
      </c>
      <c r="Q43" s="191" t="s">
        <v>68</v>
      </c>
      <c r="R43" s="191" t="s">
        <v>68</v>
      </c>
      <c r="S43" s="191" t="s">
        <v>68</v>
      </c>
      <c r="T43" s="191" t="s">
        <v>68</v>
      </c>
      <c r="U43" s="191" t="s">
        <v>68</v>
      </c>
      <c r="V43" s="191" t="s">
        <v>68</v>
      </c>
      <c r="W43" s="191" t="s">
        <v>68</v>
      </c>
      <c r="X43" s="191" t="s">
        <v>68</v>
      </c>
      <c r="Y43" s="191" t="s">
        <v>68</v>
      </c>
      <c r="Z43" s="191" t="s">
        <v>68</v>
      </c>
      <c r="AA43" s="191" t="s">
        <v>68</v>
      </c>
      <c r="AB43" s="191" t="s">
        <v>68</v>
      </c>
      <c r="AC43" s="191" t="s">
        <v>68</v>
      </c>
      <c r="AD43" s="191" t="s">
        <v>68</v>
      </c>
      <c r="AE43" s="191" t="s">
        <v>68</v>
      </c>
      <c r="AF43" s="191" t="s">
        <v>68</v>
      </c>
      <c r="AG43" s="191" t="s">
        <v>68</v>
      </c>
      <c r="AH43" s="191" t="s">
        <v>68</v>
      </c>
      <c r="AI43" s="191" t="s">
        <v>68</v>
      </c>
      <c r="AJ43" s="213">
        <f>IFERROR(COUNTIF(E43:AI43,"=Р")+COUNTIF(E43:AI43,"=Р1")+COUNTIF(E43:AI43,"=ВЧ")+COUNTIF(E43:AI43,"=РН")+COUNTIF(E43:AI43,"=Р2")+COUNTIF(E43:AI43,"=Р1/РВ")+COUNTIF(E43:AI43,"=Р2/РВ")+COUNTIF(E43:AI43,"=ВЧ/РВ")+COUNTIF(E43:AI43,"=РН/РВ"),0)</f>
        <v>0</v>
      </c>
      <c r="AK43" s="202">
        <f>IFERROR(SUMIF(E43:AI43,"=Р2",E44:AI44)+SUMIF(E43:AI43,"=ВЧ/РВ",E44:AI44)+SUMIF(E43:AI43,"=РН/РВ",E44:AI44)+SUMIF(E43:AI43,"=Р1/РВ",E44:AI44)+SUMIF(E43:AI43,"=ВЧ2/РВ",E44:AI44)+SUMIF(E43:AI43,"=Р2/РВ",E44:AI44)+SUMIF(E43:AI43,"=Р",E44:AI44)+SUMIF(E43:AI43,"=Р1",E44:AI44)+SUMIF(E43:AI43,"=ВЧ1",E44:AI44)+SUMIF(E43:AI43,"=РН",E44:AI44)+SUMIF(E43:AI43,"=ВЧ",E44:AI44)+SUMIF(E43:AI43,"=НУ",E44:AI44),0)</f>
        <v>0</v>
      </c>
      <c r="AL43" s="202">
        <f>IFERROR(SUMIF(E43:AI43,"=НУ",E44:AI44),0)</f>
        <v>0</v>
      </c>
      <c r="AM43" s="202">
        <f>IFERROR(SUMIF(E43:AI43,"=РН",E44:AI44)+SUMIF(E43:AI43,"=РН/РВ",E44:AI44)+SUMIFS(E44:AI44,E43:AI43,"=Р2",E44:AI44,"=8"),0)</f>
        <v>0</v>
      </c>
      <c r="AN43" s="211">
        <f>IFERROR(SUMIF(E43:AI43,"=ВЧ",E44:AI44)+SUMIF(E43:AI43,"=ВЧ/РВ",E44:AI44)+CEILING(COUNTIFS(E43:AI43,"=Р2",E44:AI44,"=7")*4,1)+CEILING(COUNTIFS(E43:AI43,"=Р2/РВ",E44:AI44,"=7")*4,1)+SUMIFS(E44:AI44,E43:AI43,"=Р1/РВ",E44:AI44,"=12")/6+SUMIFS(E44:AI44,E43:AI43,"=ВЧ2/РВ",E44:AI44,"=4")/2+SUMIFS(E44:AI44,E43:AI43,"=Р1",E44:AI44,"=12")/6+SUMIFS(E44:AI44,E43:AI43,"=Р1",E44:AI44,"=8")/4+SUMIF(E43:AI43,"=ВЧ1",E44:AI44)/2,0)</f>
        <v>0</v>
      </c>
      <c r="AO43" s="202">
        <f>IFERROR(SUMIF(E43:AI43,"=РВ",E44:AI44)+SUMIF(E43:AI43,"=ВЧ/РВ",E44:AI44)+SUMIF(E43:AI43,"=РН/РВ",E44:AI44)+SUMIF(E43:AI43,"=Р1/РВ",E44:AI44)+SUMIF(E43:AI43,"=ВЧ2/РВ",E44:AI44)+SUMIF(E43:AI43,"=Р2/РВ",E44:AI44),0)</f>
        <v>0</v>
      </c>
      <c r="AP43" s="202">
        <f>IFERROR(COUNTIF(E43:AI43,"=ВВ")+COUNTIF(E43:AI43,"=Р1/ВВ")+COUNTIF(E43:AI43,"=РН/ВВ")+COUNTIF(E43:AI43,"=ВЧ/ВВ"),0)</f>
        <v>0</v>
      </c>
      <c r="AQ43" s="202">
        <f>SUM(AR43:AZ43)</f>
        <v>167.99999999999997</v>
      </c>
      <c r="AR43" s="202">
        <f>IFERROR(SUMIF(E43:AI43,"=В",E44:AI44)+SUMIF(E43:AI43,"=Ч",E44:AI44)+SUMIF(E43:AI43,"=ВБ",E44:AI44),0)</f>
        <v>0</v>
      </c>
      <c r="AS43" s="202">
        <f>IFERROR(SUMIF(E43:AI43,"=Н",E44:AI44),0)</f>
        <v>0</v>
      </c>
      <c r="AT43" s="202">
        <f>IFERROR(SUMIF(E43:AI43,"=НА",E44:AI44),0)</f>
        <v>0</v>
      </c>
      <c r="AU43" s="202">
        <f>IFERROR(SUMIF(E43:AI43,"=ВП",E44:AI44),0)</f>
        <v>0</v>
      </c>
      <c r="AV43" s="202">
        <f>IFERROR(SUMIF(E43:AI43,"=ДД",E44:AI44),0)</f>
        <v>0</v>
      </c>
      <c r="AW43" s="202">
        <f>IFERROR(SUMIF(E43:AI43,"=ДО",E44:AI44),0)</f>
        <v>0</v>
      </c>
      <c r="AX43" s="202">
        <f>IFERROR(SUMIF(E43:AI43,"=ТН",E44:AI44),0)</f>
        <v>0</v>
      </c>
      <c r="AY43" s="202">
        <f>IFERROR(SUMIF(E43:AI43,"=ВД",E44:AI44),0)</f>
        <v>0</v>
      </c>
      <c r="AZ43" s="200">
        <f>IFERROR(SUMIF(E43:AI43,"=ІН",E44:AI44),0)+SUMIF(E43:AI43,"=НЗ",E44:AI44)</f>
        <v>167.99999999999997</v>
      </c>
    </row>
    <row r="44" spans="1:52" s="103" customFormat="1" ht="20.100000000000001" customHeight="1" thickBot="1" x14ac:dyDescent="0.25">
      <c r="A44" s="290"/>
      <c r="B44" s="229"/>
      <c r="C44" s="229"/>
      <c r="D44" s="229"/>
      <c r="E44" s="192"/>
      <c r="F44" s="192"/>
      <c r="G44" s="192">
        <v>8.1999999999999993</v>
      </c>
      <c r="H44" s="192">
        <v>8.1999999999999993</v>
      </c>
      <c r="I44" s="192">
        <v>8.1999999999999993</v>
      </c>
      <c r="J44" s="192">
        <v>8.1999999999999993</v>
      </c>
      <c r="K44" s="192">
        <v>7</v>
      </c>
      <c r="L44" s="192"/>
      <c r="M44" s="192"/>
      <c r="N44" s="192">
        <v>8.1999999999999993</v>
      </c>
      <c r="O44" s="192">
        <v>8.1999999999999993</v>
      </c>
      <c r="P44" s="192">
        <v>8.1999999999999993</v>
      </c>
      <c r="Q44" s="192">
        <v>8.1999999999999993</v>
      </c>
      <c r="R44" s="192">
        <v>7.2</v>
      </c>
      <c r="S44" s="192"/>
      <c r="T44" s="192"/>
      <c r="U44" s="192">
        <v>8.1999999999999993</v>
      </c>
      <c r="V44" s="192">
        <v>8.1999999999999993</v>
      </c>
      <c r="W44" s="192">
        <v>8.1999999999999993</v>
      </c>
      <c r="X44" s="192">
        <v>8.1999999999999993</v>
      </c>
      <c r="Y44" s="192">
        <v>7.2</v>
      </c>
      <c r="Z44" s="192"/>
      <c r="AA44" s="192"/>
      <c r="AB44" s="192">
        <v>8.1999999999999993</v>
      </c>
      <c r="AC44" s="192">
        <v>8.1999999999999993</v>
      </c>
      <c r="AD44" s="192">
        <v>8.1999999999999993</v>
      </c>
      <c r="AE44" s="192">
        <v>8.1999999999999993</v>
      </c>
      <c r="AF44" s="192">
        <v>7.2</v>
      </c>
      <c r="AG44" s="192"/>
      <c r="AH44" s="192"/>
      <c r="AI44" s="192">
        <v>8.1999999999999993</v>
      </c>
      <c r="AJ44" s="214"/>
      <c r="AK44" s="203"/>
      <c r="AL44" s="203"/>
      <c r="AM44" s="203"/>
      <c r="AN44" s="212"/>
      <c r="AO44" s="203"/>
      <c r="AP44" s="203"/>
      <c r="AQ44" s="203"/>
      <c r="AR44" s="203"/>
      <c r="AS44" s="203"/>
      <c r="AT44" s="203"/>
      <c r="AU44" s="203"/>
      <c r="AV44" s="203"/>
      <c r="AW44" s="203"/>
      <c r="AX44" s="203"/>
      <c r="AY44" s="203"/>
      <c r="AZ44" s="201"/>
    </row>
    <row r="45" spans="1:52" ht="20.100000000000001" customHeight="1" x14ac:dyDescent="0.2">
      <c r="A45" s="289">
        <f t="shared" ref="A45" si="12">A43+1</f>
        <v>15</v>
      </c>
      <c r="B45" s="228" t="s">
        <v>280</v>
      </c>
      <c r="C45" s="228">
        <v>2135</v>
      </c>
      <c r="D45" s="228" t="s">
        <v>72</v>
      </c>
      <c r="E45" s="191" t="s">
        <v>142</v>
      </c>
      <c r="F45" s="191" t="s">
        <v>142</v>
      </c>
      <c r="G45" s="191" t="s">
        <v>4</v>
      </c>
      <c r="H45" s="191" t="s">
        <v>4</v>
      </c>
      <c r="I45" s="191" t="s">
        <v>4</v>
      </c>
      <c r="J45" s="191" t="s">
        <v>4</v>
      </c>
      <c r="K45" s="191" t="s">
        <v>4</v>
      </c>
      <c r="L45" s="191" t="s">
        <v>142</v>
      </c>
      <c r="M45" s="191" t="s">
        <v>142</v>
      </c>
      <c r="N45" s="191" t="s">
        <v>4</v>
      </c>
      <c r="O45" s="191" t="s">
        <v>4</v>
      </c>
      <c r="P45" s="191" t="s">
        <v>4</v>
      </c>
      <c r="Q45" s="191" t="s">
        <v>4</v>
      </c>
      <c r="R45" s="191" t="s">
        <v>4</v>
      </c>
      <c r="S45" s="191" t="s">
        <v>142</v>
      </c>
      <c r="T45" s="191" t="s">
        <v>142</v>
      </c>
      <c r="U45" s="191" t="s">
        <v>4</v>
      </c>
      <c r="V45" s="191" t="s">
        <v>4</v>
      </c>
      <c r="W45" s="191" t="s">
        <v>4</v>
      </c>
      <c r="X45" s="191" t="s">
        <v>4</v>
      </c>
      <c r="Y45" s="191" t="s">
        <v>4</v>
      </c>
      <c r="Z45" s="191" t="s">
        <v>142</v>
      </c>
      <c r="AA45" s="191" t="s">
        <v>142</v>
      </c>
      <c r="AB45" s="191" t="s">
        <v>4</v>
      </c>
      <c r="AC45" s="191" t="s">
        <v>4</v>
      </c>
      <c r="AD45" s="191" t="s">
        <v>4</v>
      </c>
      <c r="AE45" s="191" t="s">
        <v>4</v>
      </c>
      <c r="AF45" s="191" t="s">
        <v>4</v>
      </c>
      <c r="AG45" s="191" t="s">
        <v>142</v>
      </c>
      <c r="AH45" s="191" t="s">
        <v>142</v>
      </c>
      <c r="AI45" s="191" t="s">
        <v>4</v>
      </c>
      <c r="AJ45" s="213">
        <f>IFERROR(COUNTIF(E45:AI45,"=Р")+COUNTIF(E45:AI45,"=Р1")+COUNTIF(E45:AI45,"=ВЧ")+COUNTIF(E45:AI45,"=РН")+COUNTIF(E45:AI45,"=Р2")+COUNTIF(E45:AI45,"=Р1/РВ")+COUNTIF(E45:AI45,"=Р2/РВ")+COUNTIF(E45:AI45,"=ВЧ/РВ")+COUNTIF(E45:AI45,"=РН/РВ"),0)</f>
        <v>21</v>
      </c>
      <c r="AK45" s="202">
        <f>IFERROR(SUMIF(E45:AI45,"=Р2",E46:AI46)+SUMIF(E45:AI45,"=ВЧ/РВ",E46:AI46)+SUMIF(E45:AI45,"=РН/РВ",E46:AI46)+SUMIF(E45:AI45,"=Р1/РВ",E46:AI46)+SUMIF(E45:AI45,"=ВЧ2/РВ",E46:AI46)+SUMIF(E45:AI45,"=Р2/РВ",E46:AI46)+SUMIF(E45:AI45,"=Р",E46:AI46)+SUMIF(E45:AI45,"=Р1",E46:AI46)+SUMIF(E45:AI45,"=ВЧ1",E46:AI46)+SUMIF(E45:AI45,"=РН",E46:AI46)+SUMIF(E45:AI45,"=ВЧ",E46:AI46)+SUMIF(E45:AI45,"=НУ",E46:AI46),0)</f>
        <v>167.99999999999997</v>
      </c>
      <c r="AL45" s="202">
        <f>IFERROR(SUMIF(E45:AI45,"=НУ",E46:AI46),0)</f>
        <v>0</v>
      </c>
      <c r="AM45" s="202">
        <f>IFERROR(SUMIF(E45:AI45,"=РН",E46:AI46)+SUMIF(E45:AI45,"=РН/РВ",E46:AI46)+SUMIFS(E46:AI46,E45:AI45,"=Р2",E46:AI46,"=8"),0)</f>
        <v>0</v>
      </c>
      <c r="AN45" s="211">
        <f>IFERROR(SUMIF(E45:AI45,"=ВЧ",E46:AI46)+SUMIF(E45:AI45,"=ВЧ/РВ",E46:AI46)+CEILING(COUNTIFS(E45:AI45,"=Р2",E46:AI46,"=7")*4,1)+CEILING(COUNTIFS(E45:AI45,"=Р2/РВ",E46:AI46,"=7")*4,1)+SUMIFS(E46:AI46,E45:AI45,"=Р1/РВ",E46:AI46,"=12")/6+SUMIFS(E46:AI46,E45:AI45,"=ВЧ2/РВ",E46:AI46,"=4")/2+SUMIFS(E46:AI46,E45:AI45,"=Р1",E46:AI46,"=12")/6+SUMIFS(E46:AI46,E45:AI45,"=Р1",E46:AI46,"=8")/4+SUMIF(E45:AI45,"=ВЧ1",E46:AI46)/2,0)</f>
        <v>0</v>
      </c>
      <c r="AO45" s="202">
        <f>IFERROR(SUMIF(E45:AI45,"=РВ",E46:AI46)+SUMIF(E45:AI45,"=ВЧ/РВ",E46:AI46)+SUMIF(E45:AI45,"=РН/РВ",E46:AI46)+SUMIF(E45:AI45,"=Р1/РВ",E46:AI46)+SUMIF(E45:AI45,"=ВЧ2/РВ",E46:AI46)+SUMIF(E45:AI45,"=Р2/РВ",E46:AI46),0)</f>
        <v>0</v>
      </c>
      <c r="AP45" s="202">
        <f>IFERROR(COUNTIF(E45:AI45,"=ВВ")+COUNTIF(E45:AI45,"=Р1/ВВ")+COUNTIF(E45:AI45,"=РН/ВВ")+COUNTIF(E45:AI45,"=ВЧ/ВВ"),0)</f>
        <v>10</v>
      </c>
      <c r="AQ45" s="202">
        <f>SUM(AR45:AZ45)</f>
        <v>0</v>
      </c>
      <c r="AR45" s="202">
        <f>IFERROR(SUMIF(E45:AI45,"=В",E46:AI46)+SUMIF(E45:AI45,"=Ч",E46:AI46)+SUMIF(E45:AI45,"=ВБ",E46:AI46),0)</f>
        <v>0</v>
      </c>
      <c r="AS45" s="202">
        <f>IFERROR(SUMIF(E45:AI45,"=Н",E46:AI46),0)</f>
        <v>0</v>
      </c>
      <c r="AT45" s="202">
        <f>IFERROR(SUMIF(E45:AI45,"=НА",E46:AI46),0)</f>
        <v>0</v>
      </c>
      <c r="AU45" s="202">
        <f>IFERROR(SUMIF(E45:AI45,"=ВП",E46:AI46),0)</f>
        <v>0</v>
      </c>
      <c r="AV45" s="202">
        <f>IFERROR(SUMIF(E45:AI45,"=ДД",E46:AI46),0)</f>
        <v>0</v>
      </c>
      <c r="AW45" s="202">
        <f>IFERROR(SUMIF(E45:AI45,"=ДО",E46:AI46),0)</f>
        <v>0</v>
      </c>
      <c r="AX45" s="202">
        <f>IFERROR(SUMIF(E45:AI45,"=ТН",E46:AI46),0)</f>
        <v>0</v>
      </c>
      <c r="AY45" s="202">
        <f>IFERROR(SUMIF(E45:AI45,"=ВД",E46:AI46),0)</f>
        <v>0</v>
      </c>
      <c r="AZ45" s="200">
        <f>IFERROR(SUMIF(E45:AI45,"=ІН",E46:AI46),0)+SUMIF(E45:AI45,"=НЗ",E46:AI46)</f>
        <v>0</v>
      </c>
    </row>
    <row r="46" spans="1:52" ht="20.100000000000001" customHeight="1" thickBot="1" x14ac:dyDescent="0.25">
      <c r="A46" s="290"/>
      <c r="B46" s="229"/>
      <c r="C46" s="229"/>
      <c r="D46" s="229"/>
      <c r="E46" s="192"/>
      <c r="F46" s="192"/>
      <c r="G46" s="192">
        <v>8.1999999999999993</v>
      </c>
      <c r="H46" s="192">
        <v>8.1999999999999993</v>
      </c>
      <c r="I46" s="192">
        <v>8.1999999999999993</v>
      </c>
      <c r="J46" s="192">
        <v>8.1999999999999993</v>
      </c>
      <c r="K46" s="192">
        <v>7</v>
      </c>
      <c r="L46" s="192"/>
      <c r="M46" s="192"/>
      <c r="N46" s="192">
        <v>8.1999999999999993</v>
      </c>
      <c r="O46" s="192">
        <v>8.1999999999999993</v>
      </c>
      <c r="P46" s="192">
        <v>8.1999999999999993</v>
      </c>
      <c r="Q46" s="192">
        <v>8.1999999999999993</v>
      </c>
      <c r="R46" s="192">
        <v>7.2</v>
      </c>
      <c r="S46" s="192"/>
      <c r="T46" s="192"/>
      <c r="U46" s="192">
        <v>8.1999999999999993</v>
      </c>
      <c r="V46" s="192">
        <v>8.1999999999999993</v>
      </c>
      <c r="W46" s="192">
        <v>8.1999999999999993</v>
      </c>
      <c r="X46" s="192">
        <v>8.1999999999999993</v>
      </c>
      <c r="Y46" s="192">
        <v>7.2</v>
      </c>
      <c r="Z46" s="192"/>
      <c r="AA46" s="192"/>
      <c r="AB46" s="192">
        <v>8.1999999999999993</v>
      </c>
      <c r="AC46" s="192">
        <v>8.1999999999999993</v>
      </c>
      <c r="AD46" s="192">
        <v>8.1999999999999993</v>
      </c>
      <c r="AE46" s="192">
        <v>8.1999999999999993</v>
      </c>
      <c r="AF46" s="192">
        <v>7.2</v>
      </c>
      <c r="AG46" s="192"/>
      <c r="AH46" s="192"/>
      <c r="AI46" s="192">
        <v>8.1999999999999993</v>
      </c>
      <c r="AJ46" s="214"/>
      <c r="AK46" s="203"/>
      <c r="AL46" s="203"/>
      <c r="AM46" s="203"/>
      <c r="AN46" s="212"/>
      <c r="AO46" s="203"/>
      <c r="AP46" s="203"/>
      <c r="AQ46" s="203"/>
      <c r="AR46" s="203"/>
      <c r="AS46" s="203"/>
      <c r="AT46" s="203"/>
      <c r="AU46" s="203"/>
      <c r="AV46" s="203"/>
      <c r="AW46" s="203"/>
      <c r="AX46" s="203"/>
      <c r="AY46" s="203"/>
      <c r="AZ46" s="201"/>
    </row>
    <row r="47" spans="1:52" ht="20.100000000000001" customHeight="1" x14ac:dyDescent="0.2">
      <c r="A47" s="289">
        <f t="shared" ref="A47" si="13">A45+1</f>
        <v>16</v>
      </c>
      <c r="B47" s="228" t="s">
        <v>175</v>
      </c>
      <c r="C47" s="228">
        <v>1935</v>
      </c>
      <c r="D47" s="228" t="s">
        <v>72</v>
      </c>
      <c r="E47" s="191" t="s">
        <v>3</v>
      </c>
      <c r="F47" s="191" t="s">
        <v>3</v>
      </c>
      <c r="G47" s="191" t="s">
        <v>3</v>
      </c>
      <c r="H47" s="191" t="s">
        <v>3</v>
      </c>
      <c r="I47" s="191" t="s">
        <v>3</v>
      </c>
      <c r="J47" s="191" t="s">
        <v>4</v>
      </c>
      <c r="K47" s="191" t="s">
        <v>4</v>
      </c>
      <c r="L47" s="191" t="s">
        <v>142</v>
      </c>
      <c r="M47" s="191" t="s">
        <v>142</v>
      </c>
      <c r="N47" s="191" t="s">
        <v>4</v>
      </c>
      <c r="O47" s="191" t="s">
        <v>4</v>
      </c>
      <c r="P47" s="191" t="s">
        <v>4</v>
      </c>
      <c r="Q47" s="191" t="s">
        <v>4</v>
      </c>
      <c r="R47" s="191" t="s">
        <v>4</v>
      </c>
      <c r="S47" s="191" t="s">
        <v>142</v>
      </c>
      <c r="T47" s="191" t="s">
        <v>142</v>
      </c>
      <c r="U47" s="191" t="s">
        <v>52</v>
      </c>
      <c r="V47" s="191" t="s">
        <v>52</v>
      </c>
      <c r="W47" s="191" t="s">
        <v>52</v>
      </c>
      <c r="X47" s="191" t="s">
        <v>52</v>
      </c>
      <c r="Y47" s="191" t="s">
        <v>52</v>
      </c>
      <c r="Z47" s="191" t="s">
        <v>142</v>
      </c>
      <c r="AA47" s="191" t="s">
        <v>142</v>
      </c>
      <c r="AB47" s="191" t="s">
        <v>4</v>
      </c>
      <c r="AC47" s="191" t="s">
        <v>4</v>
      </c>
      <c r="AD47" s="191" t="s">
        <v>4</v>
      </c>
      <c r="AE47" s="191" t="s">
        <v>4</v>
      </c>
      <c r="AF47" s="191" t="s">
        <v>4</v>
      </c>
      <c r="AG47" s="191" t="s">
        <v>142</v>
      </c>
      <c r="AH47" s="191" t="s">
        <v>142</v>
      </c>
      <c r="AI47" s="191" t="s">
        <v>4</v>
      </c>
      <c r="AJ47" s="213">
        <f>IFERROR(COUNTIF(E47:AI47,"=Р")+COUNTIF(E47:AI47,"=Р1")+COUNTIF(E47:AI47,"=ВЧ")+COUNTIF(E47:AI47,"=РН")+COUNTIF(E47:AI47,"=Р2")+COUNTIF(E47:AI47,"=Р1/РВ")+COUNTIF(E47:AI47,"=Р2/РВ")+COUNTIF(E47:AI47,"=ВЧ/РВ")+COUNTIF(E47:AI47,"=РН/РВ"),0)</f>
        <v>13</v>
      </c>
      <c r="AK47" s="202">
        <f>IFERROR(SUMIF(E47:AI47,"=Р2",E48:AI48)+SUMIF(E47:AI47,"=ВЧ/РВ",E48:AI48)+SUMIF(E47:AI47,"=РН/РВ",E48:AI48)+SUMIF(E47:AI47,"=Р1/РВ",E48:AI48)+SUMIF(E47:AI47,"=ВЧ2/РВ",E48:AI48)+SUMIF(E47:AI47,"=Р2/РВ",E48:AI48)+SUMIF(E47:AI47,"=Р",E48:AI48)+SUMIF(E47:AI47,"=Р1",E48:AI48)+SUMIF(E47:AI47,"=ВЧ1",E48:AI48)+SUMIF(E47:AI47,"=РН",E48:AI48)+SUMIF(E47:AI47,"=ВЧ",E48:AI48)+SUMIF(E47:AI47,"=НУ",E48:AI48),0)</f>
        <v>103.40000000000002</v>
      </c>
      <c r="AL47" s="202">
        <f>IFERROR(SUMIF(E47:AI47,"=НУ",E48:AI48),0)</f>
        <v>0</v>
      </c>
      <c r="AM47" s="202">
        <f>IFERROR(SUMIF(E47:AI47,"=РН",E48:AI48)+SUMIF(E47:AI47,"=РН/РВ",E48:AI48)+SUMIFS(E48:AI48,E47:AI47,"=Р2",E48:AI48,"=8"),0)</f>
        <v>0</v>
      </c>
      <c r="AN47" s="211">
        <f>IFERROR(SUMIF(E47:AI47,"=ВЧ",E48:AI48)+SUMIF(E47:AI47,"=ВЧ/РВ",E48:AI48)+CEILING(COUNTIFS(E47:AI47,"=Р2",E48:AI48,"=7")*4,1)+CEILING(COUNTIFS(E47:AI47,"=Р2/РВ",E48:AI48,"=7")*4,1)+SUMIFS(E48:AI48,E47:AI47,"=Р1/РВ",E48:AI48,"=12")/6+SUMIFS(E48:AI48,E47:AI47,"=ВЧ2/РВ",E48:AI48,"=4")/2+SUMIFS(E48:AI48,E47:AI47,"=Р1",E48:AI48,"=12")/6+SUMIFS(E48:AI48,E47:AI47,"=Р1",E48:AI48,"=8")/4+SUMIF(E47:AI47,"=ВЧ1",E48:AI48)/2,0)</f>
        <v>0</v>
      </c>
      <c r="AO47" s="202">
        <f>IFERROR(SUMIF(E47:AI47,"=РВ",E48:AI48)+SUMIF(E47:AI47,"=ВЧ/РВ",E48:AI48)+SUMIF(E47:AI47,"=РН/РВ",E48:AI48)+SUMIF(E47:AI47,"=Р1/РВ",E48:AI48)+SUMIF(E47:AI47,"=ВЧ2/РВ",E48:AI48)+SUMIF(E47:AI47,"=Р2/РВ",E48:AI48),0)</f>
        <v>0</v>
      </c>
      <c r="AP47" s="202">
        <f>IFERROR(COUNTIF(E47:AI47,"=ВВ")+COUNTIF(E47:AI47,"=Р1/ВВ")+COUNTIF(E47:AI47,"=РН/ВВ")+COUNTIF(E47:AI47,"=ВЧ/ВВ"),0)</f>
        <v>8</v>
      </c>
      <c r="AQ47" s="202">
        <f>SUM(AR47:AZ47)</f>
        <v>64.599999999999994</v>
      </c>
      <c r="AR47" s="202">
        <f>IFERROR(SUMIF(E47:AI47,"=В",E48:AI48)+SUMIF(E47:AI47,"=Ч",E48:AI48)+SUMIF(E47:AI47,"=ВБ",E48:AI48),0)</f>
        <v>24.599999999999998</v>
      </c>
      <c r="AS47" s="202">
        <f>IFERROR(SUMIF(E47:AI47,"=Н",E48:AI48),0)</f>
        <v>0</v>
      </c>
      <c r="AT47" s="202">
        <f>IFERROR(SUMIF(E47:AI47,"=НА",E48:AI48),0)</f>
        <v>0</v>
      </c>
      <c r="AU47" s="202">
        <f>IFERROR(SUMIF(E47:AI47,"=ВП",E48:AI48),0)</f>
        <v>0</v>
      </c>
      <c r="AV47" s="202">
        <f>IFERROR(SUMIF(E47:AI47,"=ДД",E48:AI48),0)</f>
        <v>0</v>
      </c>
      <c r="AW47" s="202">
        <f>IFERROR(SUMIF(E47:AI47,"=ДО",E48:AI48),0)</f>
        <v>0</v>
      </c>
      <c r="AX47" s="202">
        <f>IFERROR(SUMIF(E47:AI47,"=ТН",E48:AI48),0)</f>
        <v>40</v>
      </c>
      <c r="AY47" s="202">
        <f>IFERROR(SUMIF(E47:AI47,"=ВД",E48:AI48),0)</f>
        <v>0</v>
      </c>
      <c r="AZ47" s="200">
        <f>IFERROR(SUMIF(E47:AI47,"=ІН",E48:AI48),0)+SUMIF(E47:AI47,"=НЗ",E48:AI48)</f>
        <v>0</v>
      </c>
    </row>
    <row r="48" spans="1:52" ht="20.100000000000001" customHeight="1" thickBot="1" x14ac:dyDescent="0.25">
      <c r="A48" s="290"/>
      <c r="B48" s="229"/>
      <c r="C48" s="229"/>
      <c r="D48" s="229"/>
      <c r="E48" s="192"/>
      <c r="F48" s="192"/>
      <c r="G48" s="192">
        <v>8.1999999999999993</v>
      </c>
      <c r="H48" s="192">
        <v>8.1999999999999993</v>
      </c>
      <c r="I48" s="192">
        <v>8.1999999999999993</v>
      </c>
      <c r="J48" s="192">
        <v>8.1999999999999993</v>
      </c>
      <c r="K48" s="192">
        <v>7</v>
      </c>
      <c r="L48" s="192"/>
      <c r="M48" s="192"/>
      <c r="N48" s="192">
        <v>8.1999999999999993</v>
      </c>
      <c r="O48" s="192">
        <v>8.1999999999999993</v>
      </c>
      <c r="P48" s="192">
        <v>8.1999999999999993</v>
      </c>
      <c r="Q48" s="192">
        <v>8.1999999999999993</v>
      </c>
      <c r="R48" s="192">
        <v>7.2</v>
      </c>
      <c r="S48" s="192"/>
      <c r="T48" s="192"/>
      <c r="U48" s="192">
        <v>8.1999999999999993</v>
      </c>
      <c r="V48" s="192">
        <v>8.1999999999999993</v>
      </c>
      <c r="W48" s="192">
        <v>8.1999999999999993</v>
      </c>
      <c r="X48" s="192">
        <v>8.1999999999999993</v>
      </c>
      <c r="Y48" s="192">
        <v>7.2</v>
      </c>
      <c r="Z48" s="192"/>
      <c r="AA48" s="192"/>
      <c r="AB48" s="192">
        <v>8.1999999999999993</v>
      </c>
      <c r="AC48" s="192">
        <v>8.1999999999999993</v>
      </c>
      <c r="AD48" s="192">
        <v>8.1999999999999993</v>
      </c>
      <c r="AE48" s="192">
        <v>8.1999999999999993</v>
      </c>
      <c r="AF48" s="192">
        <v>7.2</v>
      </c>
      <c r="AG48" s="192"/>
      <c r="AH48" s="192"/>
      <c r="AI48" s="192">
        <v>8.1999999999999993</v>
      </c>
      <c r="AJ48" s="214"/>
      <c r="AK48" s="203"/>
      <c r="AL48" s="203"/>
      <c r="AM48" s="203"/>
      <c r="AN48" s="212"/>
      <c r="AO48" s="203"/>
      <c r="AP48" s="203"/>
      <c r="AQ48" s="203"/>
      <c r="AR48" s="203"/>
      <c r="AS48" s="203"/>
      <c r="AT48" s="203"/>
      <c r="AU48" s="203"/>
      <c r="AV48" s="203"/>
      <c r="AW48" s="203"/>
      <c r="AX48" s="203"/>
      <c r="AY48" s="203"/>
      <c r="AZ48" s="201"/>
    </row>
    <row r="49" spans="1:52" ht="21" customHeight="1" x14ac:dyDescent="0.2">
      <c r="A49" s="289">
        <f t="shared" ref="A49" si="14">A47+1</f>
        <v>17</v>
      </c>
      <c r="B49" s="228" t="s">
        <v>176</v>
      </c>
      <c r="C49" s="228">
        <v>2005</v>
      </c>
      <c r="D49" s="228" t="s">
        <v>72</v>
      </c>
      <c r="E49" s="191" t="s">
        <v>2</v>
      </c>
      <c r="F49" s="191" t="s">
        <v>2</v>
      </c>
      <c r="G49" s="191" t="s">
        <v>2</v>
      </c>
      <c r="H49" s="191" t="s">
        <v>2</v>
      </c>
      <c r="I49" s="191" t="s">
        <v>2</v>
      </c>
      <c r="J49" s="191" t="s">
        <v>2</v>
      </c>
      <c r="K49" s="191" t="s">
        <v>2</v>
      </c>
      <c r="L49" s="191" t="s">
        <v>2</v>
      </c>
      <c r="M49" s="191" t="s">
        <v>2</v>
      </c>
      <c r="N49" s="191" t="s">
        <v>2</v>
      </c>
      <c r="O49" s="191" t="s">
        <v>2</v>
      </c>
      <c r="P49" s="191" t="s">
        <v>2</v>
      </c>
      <c r="Q49" s="191" t="s">
        <v>2</v>
      </c>
      <c r="R49" s="191" t="s">
        <v>2</v>
      </c>
      <c r="S49" s="191" t="s">
        <v>2</v>
      </c>
      <c r="T49" s="191" t="s">
        <v>2</v>
      </c>
      <c r="U49" s="191" t="s">
        <v>2</v>
      </c>
      <c r="V49" s="191" t="s">
        <v>2</v>
      </c>
      <c r="W49" s="191" t="s">
        <v>2</v>
      </c>
      <c r="X49" s="191" t="s">
        <v>2</v>
      </c>
      <c r="Y49" s="191" t="s">
        <v>2</v>
      </c>
      <c r="Z49" s="191" t="s">
        <v>2</v>
      </c>
      <c r="AA49" s="191" t="s">
        <v>2</v>
      </c>
      <c r="AB49" s="191" t="s">
        <v>2</v>
      </c>
      <c r="AC49" s="191" t="s">
        <v>2</v>
      </c>
      <c r="AD49" s="191" t="s">
        <v>2</v>
      </c>
      <c r="AE49" s="191" t="s">
        <v>2</v>
      </c>
      <c r="AF49" s="191" t="s">
        <v>2</v>
      </c>
      <c r="AG49" s="191" t="s">
        <v>2</v>
      </c>
      <c r="AH49" s="191" t="s">
        <v>2</v>
      </c>
      <c r="AI49" s="191" t="s">
        <v>2</v>
      </c>
      <c r="AJ49" s="213">
        <f>IFERROR(COUNTIF(E49:AI49,"=Р")+COUNTIF(E49:AI49,"=Р1")+COUNTIF(E49:AI49,"=ВЧ")+COUNTIF(E49:AI49,"=РН")+COUNTIF(E49:AI49,"=Р2")+COUNTIF(E49:AI49,"=Р1/РВ")+COUNTIF(E49:AI49,"=Р2/РВ")+COUNTIF(E49:AI49,"=ВЧ/РВ")+COUNTIF(E49:AI49,"=РН/РВ"),0)</f>
        <v>0</v>
      </c>
      <c r="AK49" s="202">
        <f>IFERROR(SUMIF(E49:AI49,"=Р2",E50:AI50)+SUMIF(E49:AI49,"=ВЧ/РВ",E50:AI50)+SUMIF(E49:AI49,"=РН/РВ",E50:AI50)+SUMIF(E49:AI49,"=Р1/РВ",E50:AI50)+SUMIF(E49:AI49,"=ВЧ2/РВ",E50:AI50)+SUMIF(E49:AI49,"=Р2/РВ",E50:AI50)+SUMIF(E49:AI49,"=Р",E50:AI50)+SUMIF(E49:AI49,"=Р1",E50:AI50)+SUMIF(E49:AI49,"=ВЧ1",E50:AI50)+SUMIF(E49:AI49,"=РН",E50:AI50)+SUMIF(E49:AI49,"=ВЧ",E50:AI50)+SUMIF(E49:AI49,"=НУ",E50:AI50),0)</f>
        <v>0</v>
      </c>
      <c r="AL49" s="202">
        <f>IFERROR(SUMIF(E49:AI49,"=НУ",E50:AI50),0)</f>
        <v>0</v>
      </c>
      <c r="AM49" s="202">
        <f>IFERROR(SUMIF(E49:AI49,"=РН",E50:AI50)+SUMIF(E49:AI49,"=РН/РВ",E50:AI50)+SUMIFS(E50:AI50,E49:AI49,"=Р2",E50:AI50,"=8"),0)</f>
        <v>0</v>
      </c>
      <c r="AN49" s="211">
        <f>IFERROR(SUMIF(E49:AI49,"=ВЧ",E50:AI50)+SUMIF(E49:AI49,"=ВЧ/РВ",E50:AI50)+CEILING(COUNTIFS(E49:AI49,"=Р2",E50:AI50,"=7")*4,1)+CEILING(COUNTIFS(E49:AI49,"=Р2/РВ",E50:AI50,"=7")*4,1)+SUMIFS(E50:AI50,E49:AI49,"=Р1/РВ",E50:AI50,"=12")/6+SUMIFS(E50:AI50,E49:AI49,"=ВЧ2/РВ",E50:AI50,"=4")/2+SUMIFS(E50:AI50,E49:AI49,"=Р1",E50:AI50,"=12")/6+SUMIFS(E50:AI50,E49:AI49,"=Р1",E50:AI50,"=8")/4+SUMIF(E49:AI49,"=ВЧ1",E50:AI50)/2,0)</f>
        <v>0</v>
      </c>
      <c r="AO49" s="202">
        <f>IFERROR(SUMIF(E49:AI49,"=РВ",E50:AI50)+SUMIF(E49:AI49,"=ВЧ/РВ",E50:AI50)+SUMIF(E49:AI49,"=РН/РВ",E50:AI50)+SUMIF(E49:AI49,"=Р1/РВ",E50:AI50)+SUMIF(E49:AI49,"=ВЧ2/РВ",E50:AI50)+SUMIF(E49:AI49,"=Р2/РВ",E50:AI50),0)</f>
        <v>0</v>
      </c>
      <c r="AP49" s="202">
        <f>IFERROR(COUNTIF(E49:AI49,"=ВВ")+COUNTIF(E49:AI49,"=Р1/ВВ")+COUNTIF(E49:AI49,"=РН/ВВ")+COUNTIF(E49:AI49,"=ВЧ/ВВ"),0)</f>
        <v>0</v>
      </c>
      <c r="AQ49" s="202">
        <f>SUM(AR49:AZ49)</f>
        <v>167.99999999999997</v>
      </c>
      <c r="AR49" s="202">
        <f>IFERROR(SUMIF(E49:AI49,"=В",E50:AI50)+SUMIF(E49:AI49,"=Ч",E50:AI50)+SUMIF(E49:AI49,"=ВБ",E50:AI50),0)</f>
        <v>0</v>
      </c>
      <c r="AS49" s="202">
        <f>IFERROR(SUMIF(E49:AI49,"=Н",E50:AI50),0)</f>
        <v>0</v>
      </c>
      <c r="AT49" s="202">
        <f>IFERROR(SUMIF(E49:AI49,"=НА",E50:AI50),0)</f>
        <v>0</v>
      </c>
      <c r="AU49" s="202">
        <f>IFERROR(SUMIF(E49:AI49,"=ВП",E50:AI50),0)</f>
        <v>167.99999999999997</v>
      </c>
      <c r="AV49" s="202">
        <f>IFERROR(SUMIF(E49:AI49,"=ДД",E50:AI50),0)</f>
        <v>0</v>
      </c>
      <c r="AW49" s="202">
        <f>IFERROR(SUMIF(E49:AI49,"=ДО",E50:AI50),0)</f>
        <v>0</v>
      </c>
      <c r="AX49" s="202">
        <f>IFERROR(SUMIF(E49:AI49,"=ТН",E50:AI50),0)</f>
        <v>0</v>
      </c>
      <c r="AY49" s="202">
        <f>IFERROR(SUMIF(E49:AI49,"=ВД",E50:AI50),0)</f>
        <v>0</v>
      </c>
      <c r="AZ49" s="200">
        <f>IFERROR(SUMIF(E49:AI49,"=ІН",E50:AI50),0)+SUMIF(E49:AI49,"=НЗ",E50:AI50)</f>
        <v>0</v>
      </c>
    </row>
    <row r="50" spans="1:52" ht="15.75" customHeight="1" thickBot="1" x14ac:dyDescent="0.25">
      <c r="A50" s="290"/>
      <c r="B50" s="229"/>
      <c r="C50" s="229"/>
      <c r="D50" s="229"/>
      <c r="E50" s="192"/>
      <c r="F50" s="192"/>
      <c r="G50" s="192">
        <v>8.1999999999999993</v>
      </c>
      <c r="H50" s="192">
        <v>8.1999999999999993</v>
      </c>
      <c r="I50" s="192">
        <v>8.1999999999999993</v>
      </c>
      <c r="J50" s="192">
        <v>8.1999999999999993</v>
      </c>
      <c r="K50" s="192">
        <v>7</v>
      </c>
      <c r="L50" s="192"/>
      <c r="M50" s="192"/>
      <c r="N50" s="192">
        <v>8.1999999999999993</v>
      </c>
      <c r="O50" s="192">
        <v>8.1999999999999993</v>
      </c>
      <c r="P50" s="192">
        <v>8.1999999999999993</v>
      </c>
      <c r="Q50" s="192">
        <v>8.1999999999999993</v>
      </c>
      <c r="R50" s="192">
        <v>7.2</v>
      </c>
      <c r="S50" s="192"/>
      <c r="T50" s="192"/>
      <c r="U50" s="192">
        <v>8.1999999999999993</v>
      </c>
      <c r="V50" s="192">
        <v>8.1999999999999993</v>
      </c>
      <c r="W50" s="192">
        <v>8.1999999999999993</v>
      </c>
      <c r="X50" s="192">
        <v>8.1999999999999993</v>
      </c>
      <c r="Y50" s="192">
        <v>7.2</v>
      </c>
      <c r="Z50" s="192"/>
      <c r="AA50" s="192"/>
      <c r="AB50" s="192">
        <v>8.1999999999999993</v>
      </c>
      <c r="AC50" s="192">
        <v>8.1999999999999993</v>
      </c>
      <c r="AD50" s="192">
        <v>8.1999999999999993</v>
      </c>
      <c r="AE50" s="192">
        <v>8.1999999999999993</v>
      </c>
      <c r="AF50" s="192">
        <v>7.2</v>
      </c>
      <c r="AG50" s="192"/>
      <c r="AH50" s="192"/>
      <c r="AI50" s="192">
        <v>8.1999999999999993</v>
      </c>
      <c r="AJ50" s="214"/>
      <c r="AK50" s="203"/>
      <c r="AL50" s="203"/>
      <c r="AM50" s="203"/>
      <c r="AN50" s="212"/>
      <c r="AO50" s="203"/>
      <c r="AP50" s="203"/>
      <c r="AQ50" s="203"/>
      <c r="AR50" s="203"/>
      <c r="AS50" s="203"/>
      <c r="AT50" s="203"/>
      <c r="AU50" s="203"/>
      <c r="AV50" s="203"/>
      <c r="AW50" s="203"/>
      <c r="AX50" s="203"/>
      <c r="AY50" s="203"/>
      <c r="AZ50" s="201"/>
    </row>
    <row r="51" spans="1:52" ht="20.100000000000001" customHeight="1" x14ac:dyDescent="0.2">
      <c r="A51" s="289">
        <f t="shared" ref="A51" si="15">A49+1</f>
        <v>18</v>
      </c>
      <c r="B51" s="228" t="s">
        <v>177</v>
      </c>
      <c r="C51" s="228">
        <v>6926</v>
      </c>
      <c r="D51" s="228" t="s">
        <v>72</v>
      </c>
      <c r="E51" s="191" t="s">
        <v>142</v>
      </c>
      <c r="F51" s="191" t="s">
        <v>142</v>
      </c>
      <c r="G51" s="191" t="s">
        <v>4</v>
      </c>
      <c r="H51" s="191" t="s">
        <v>4</v>
      </c>
      <c r="I51" s="191" t="s">
        <v>4</v>
      </c>
      <c r="J51" s="191" t="s">
        <v>4</v>
      </c>
      <c r="K51" s="191" t="s">
        <v>4</v>
      </c>
      <c r="L51" s="191" t="s">
        <v>142</v>
      </c>
      <c r="M51" s="191" t="s">
        <v>142</v>
      </c>
      <c r="N51" s="191" t="s">
        <v>4</v>
      </c>
      <c r="O51" s="191" t="s">
        <v>4</v>
      </c>
      <c r="P51" s="191" t="s">
        <v>4</v>
      </c>
      <c r="Q51" s="191" t="s">
        <v>4</v>
      </c>
      <c r="R51" s="191" t="s">
        <v>4</v>
      </c>
      <c r="S51" s="191" t="s">
        <v>142</v>
      </c>
      <c r="T51" s="191" t="s">
        <v>142</v>
      </c>
      <c r="U51" s="191" t="s">
        <v>4</v>
      </c>
      <c r="V51" s="191" t="s">
        <v>4</v>
      </c>
      <c r="W51" s="191" t="s">
        <v>4</v>
      </c>
      <c r="X51" s="191" t="s">
        <v>4</v>
      </c>
      <c r="Y51" s="191" t="s">
        <v>4</v>
      </c>
      <c r="Z51" s="191" t="s">
        <v>142</v>
      </c>
      <c r="AA51" s="191" t="s">
        <v>142</v>
      </c>
      <c r="AB51" s="191" t="s">
        <v>4</v>
      </c>
      <c r="AC51" s="191" t="s">
        <v>4</v>
      </c>
      <c r="AD51" s="191" t="s">
        <v>4</v>
      </c>
      <c r="AE51" s="191" t="s">
        <v>4</v>
      </c>
      <c r="AF51" s="191" t="s">
        <v>4</v>
      </c>
      <c r="AG51" s="191" t="s">
        <v>142</v>
      </c>
      <c r="AH51" s="191" t="s">
        <v>142</v>
      </c>
      <c r="AI51" s="191" t="s">
        <v>4</v>
      </c>
      <c r="AJ51" s="213">
        <f>IFERROR(COUNTIF(E51:AI51,"=Р")+COUNTIF(E51:AI51,"=Р1")+COUNTIF(E51:AI51,"=ВЧ")+COUNTIF(E51:AI51,"=РН")+COUNTIF(E51:AI51,"=Р2")+COUNTIF(E51:AI51,"=Р1/РВ")+COUNTIF(E51:AI51,"=Р2/РВ")+COUNTIF(E51:AI51,"=ВЧ/РВ")+COUNTIF(E51:AI51,"=РН/РВ"),0)</f>
        <v>21</v>
      </c>
      <c r="AK51" s="202">
        <f>IFERROR(SUMIF(E51:AI51,"=Р2",E52:AI52)+SUMIF(E51:AI51,"=ВЧ/РВ",E52:AI52)+SUMIF(E51:AI51,"=РН/РВ",E52:AI52)+SUMIF(E51:AI51,"=Р1/РВ",E52:AI52)+SUMIF(E51:AI51,"=ВЧ2/РВ",E52:AI52)+SUMIF(E51:AI51,"=Р2/РВ",E52:AI52)+SUMIF(E51:AI51,"=Р",E52:AI52)+SUMIF(E51:AI51,"=Р1",E52:AI52)+SUMIF(E51:AI51,"=ВЧ1",E52:AI52)+SUMIF(E51:AI51,"=РН",E52:AI52)+SUMIF(E51:AI51,"=ВЧ",E52:AI52)+SUMIF(E51:AI51,"=НУ",E52:AI52),0)</f>
        <v>167.99999999999997</v>
      </c>
      <c r="AL51" s="202">
        <f>IFERROR(SUMIF(E51:AI51,"=НУ",E52:AI52),0)</f>
        <v>0</v>
      </c>
      <c r="AM51" s="202">
        <f>IFERROR(SUMIF(E51:AI51,"=РН",E52:AI52)+SUMIF(E51:AI51,"=РН/РВ",E52:AI52)+SUMIFS(E52:AI52,E51:AI51,"=Р2",E52:AI52,"=8"),0)</f>
        <v>0</v>
      </c>
      <c r="AN51" s="211">
        <f>IFERROR(SUMIF(E51:AI51,"=ВЧ",E52:AI52)+SUMIF(E51:AI51,"=ВЧ/РВ",E52:AI52)+CEILING(COUNTIFS(E51:AI51,"=Р2",E52:AI52,"=7")*4,1)+CEILING(COUNTIFS(E51:AI51,"=Р2/РВ",E52:AI52,"=7")*4,1)+SUMIFS(E52:AI52,E51:AI51,"=Р1/РВ",E52:AI52,"=12")/6+SUMIFS(E52:AI52,E51:AI51,"=ВЧ2/РВ",E52:AI52,"=4")/2+SUMIFS(E52:AI52,E51:AI51,"=Р1",E52:AI52,"=12")/6+SUMIFS(E52:AI52,E51:AI51,"=Р1",E52:AI52,"=8")/4+SUMIF(E51:AI51,"=ВЧ1",E52:AI52)/2,0)</f>
        <v>0</v>
      </c>
      <c r="AO51" s="202">
        <f>IFERROR(SUMIF(E51:AI51,"=РВ",E52:AI52)+SUMIF(E51:AI51,"=ВЧ/РВ",E52:AI52)+SUMIF(E51:AI51,"=РН/РВ",E52:AI52)+SUMIF(E51:AI51,"=Р1/РВ",E52:AI52)+SUMIF(E51:AI51,"=ВЧ2/РВ",E52:AI52)+SUMIF(E51:AI51,"=Р2/РВ",E52:AI52),0)</f>
        <v>0</v>
      </c>
      <c r="AP51" s="202">
        <f>IFERROR(COUNTIF(E51:AI51,"=ВВ")+COUNTIF(E51:AI51,"=Р1/ВВ")+COUNTIF(E51:AI51,"=РН/ВВ")+COUNTIF(E51:AI51,"=ВЧ/ВВ"),0)</f>
        <v>10</v>
      </c>
      <c r="AQ51" s="202">
        <f>SUM(AR51:AZ51)</f>
        <v>0</v>
      </c>
      <c r="AR51" s="202">
        <f>IFERROR(SUMIF(E51:AI51,"=В",E52:AI52)+SUMIF(E51:AI51,"=Ч",E52:AI52)+SUMIF(E51:AI51,"=ВБ",E52:AI52),0)</f>
        <v>0</v>
      </c>
      <c r="AS51" s="202">
        <f>IFERROR(SUMIF(E51:AI51,"=Н",E52:AI52),0)</f>
        <v>0</v>
      </c>
      <c r="AT51" s="202">
        <f>IFERROR(SUMIF(E51:AI51,"=НА",E52:AI52),0)</f>
        <v>0</v>
      </c>
      <c r="AU51" s="202">
        <f>IFERROR(SUMIF(E51:AI51,"=ВП",E52:AI52),0)</f>
        <v>0</v>
      </c>
      <c r="AV51" s="202">
        <f>IFERROR(SUMIF(E51:AI51,"=ДД",E52:AI52),0)</f>
        <v>0</v>
      </c>
      <c r="AW51" s="202">
        <f>IFERROR(SUMIF(E51:AI51,"=ДО",E52:AI52),0)</f>
        <v>0</v>
      </c>
      <c r="AX51" s="202">
        <f>IFERROR(SUMIF(E51:AI51,"=ТН",E52:AI52),0)</f>
        <v>0</v>
      </c>
      <c r="AY51" s="202">
        <f>IFERROR(SUMIF(E51:AI51,"=ВД",E52:AI52),0)</f>
        <v>0</v>
      </c>
      <c r="AZ51" s="200">
        <f>IFERROR(SUMIF(E51:AI51,"=ІН",E52:AI52),0)+SUMIF(E51:AI51,"=НЗ",E52:AI52)</f>
        <v>0</v>
      </c>
    </row>
    <row r="52" spans="1:52" ht="20.100000000000001" customHeight="1" thickBot="1" x14ac:dyDescent="0.25">
      <c r="A52" s="290"/>
      <c r="B52" s="229"/>
      <c r="C52" s="229"/>
      <c r="D52" s="229"/>
      <c r="E52" s="192"/>
      <c r="F52" s="192"/>
      <c r="G52" s="192">
        <v>8.1999999999999993</v>
      </c>
      <c r="H52" s="192">
        <v>8.1999999999999993</v>
      </c>
      <c r="I52" s="192">
        <v>8.1999999999999993</v>
      </c>
      <c r="J52" s="192">
        <v>8.1999999999999993</v>
      </c>
      <c r="K52" s="192">
        <v>7</v>
      </c>
      <c r="L52" s="192"/>
      <c r="M52" s="192"/>
      <c r="N52" s="192">
        <v>8.1999999999999993</v>
      </c>
      <c r="O52" s="192">
        <v>8.1999999999999993</v>
      </c>
      <c r="P52" s="192">
        <v>8.1999999999999993</v>
      </c>
      <c r="Q52" s="192">
        <v>8.1999999999999993</v>
      </c>
      <c r="R52" s="192">
        <v>7.2</v>
      </c>
      <c r="S52" s="192"/>
      <c r="T52" s="192"/>
      <c r="U52" s="192">
        <v>8.1999999999999993</v>
      </c>
      <c r="V52" s="192">
        <v>8.1999999999999993</v>
      </c>
      <c r="W52" s="192">
        <v>8.1999999999999993</v>
      </c>
      <c r="X52" s="192">
        <v>8.1999999999999993</v>
      </c>
      <c r="Y52" s="192">
        <v>7.2</v>
      </c>
      <c r="Z52" s="192"/>
      <c r="AA52" s="192"/>
      <c r="AB52" s="192">
        <v>8.1999999999999993</v>
      </c>
      <c r="AC52" s="192">
        <v>8.1999999999999993</v>
      </c>
      <c r="AD52" s="192">
        <v>8.1999999999999993</v>
      </c>
      <c r="AE52" s="192">
        <v>8.1999999999999993</v>
      </c>
      <c r="AF52" s="192">
        <v>7.2</v>
      </c>
      <c r="AG52" s="192"/>
      <c r="AH52" s="192"/>
      <c r="AI52" s="192">
        <v>8.1999999999999993</v>
      </c>
      <c r="AJ52" s="214"/>
      <c r="AK52" s="203"/>
      <c r="AL52" s="203"/>
      <c r="AM52" s="203"/>
      <c r="AN52" s="212"/>
      <c r="AO52" s="203"/>
      <c r="AP52" s="203"/>
      <c r="AQ52" s="203"/>
      <c r="AR52" s="203"/>
      <c r="AS52" s="203"/>
      <c r="AT52" s="203"/>
      <c r="AU52" s="203"/>
      <c r="AV52" s="203"/>
      <c r="AW52" s="203"/>
      <c r="AX52" s="203"/>
      <c r="AY52" s="203"/>
      <c r="AZ52" s="201"/>
    </row>
    <row r="53" spans="1:52" ht="20.100000000000001" customHeight="1" x14ac:dyDescent="0.2">
      <c r="A53" s="289">
        <f t="shared" ref="A53" si="16">A51+1</f>
        <v>19</v>
      </c>
      <c r="B53" s="228" t="s">
        <v>178</v>
      </c>
      <c r="C53" s="228">
        <v>5</v>
      </c>
      <c r="D53" s="228" t="s">
        <v>65</v>
      </c>
      <c r="E53" s="191" t="s">
        <v>142</v>
      </c>
      <c r="F53" s="191" t="s">
        <v>142</v>
      </c>
      <c r="G53" s="191" t="s">
        <v>4</v>
      </c>
      <c r="H53" s="191" t="s">
        <v>4</v>
      </c>
      <c r="I53" s="191" t="s">
        <v>4</v>
      </c>
      <c r="J53" s="191" t="s">
        <v>4</v>
      </c>
      <c r="K53" s="191" t="s">
        <v>4</v>
      </c>
      <c r="L53" s="191" t="s">
        <v>142</v>
      </c>
      <c r="M53" s="191" t="s">
        <v>142</v>
      </c>
      <c r="N53" s="191" t="s">
        <v>4</v>
      </c>
      <c r="O53" s="191" t="s">
        <v>4</v>
      </c>
      <c r="P53" s="191" t="s">
        <v>4</v>
      </c>
      <c r="Q53" s="191" t="s">
        <v>4</v>
      </c>
      <c r="R53" s="191" t="s">
        <v>4</v>
      </c>
      <c r="S53" s="191" t="s">
        <v>142</v>
      </c>
      <c r="T53" s="191" t="s">
        <v>142</v>
      </c>
      <c r="U53" s="191" t="s">
        <v>4</v>
      </c>
      <c r="V53" s="191" t="s">
        <v>4</v>
      </c>
      <c r="W53" s="191" t="s">
        <v>4</v>
      </c>
      <c r="X53" s="191" t="s">
        <v>4</v>
      </c>
      <c r="Y53" s="191" t="s">
        <v>4</v>
      </c>
      <c r="Z53" s="191" t="s">
        <v>142</v>
      </c>
      <c r="AA53" s="191" t="s">
        <v>142</v>
      </c>
      <c r="AB53" s="191" t="s">
        <v>4</v>
      </c>
      <c r="AC53" s="191" t="s">
        <v>4</v>
      </c>
      <c r="AD53" s="191" t="s">
        <v>4</v>
      </c>
      <c r="AE53" s="191" t="s">
        <v>52</v>
      </c>
      <c r="AF53" s="191" t="s">
        <v>52</v>
      </c>
      <c r="AG53" s="191" t="s">
        <v>52</v>
      </c>
      <c r="AH53" s="191" t="s">
        <v>52</v>
      </c>
      <c r="AI53" s="191" t="s">
        <v>52</v>
      </c>
      <c r="AJ53" s="213">
        <f>IFERROR(COUNTIF(E53:AI53,"=Р")+COUNTIF(E53:AI53,"=Р1")+COUNTIF(E53:AI53,"=ВЧ")+COUNTIF(E53:AI53,"=РН")+COUNTIF(E53:AI53,"=Р2")+COUNTIF(E53:AI53,"=Р1/РВ")+COUNTIF(E53:AI53,"=Р2/РВ")+COUNTIF(E53:AI53,"=ВЧ/РВ")+COUNTIF(E53:AI53,"=РН/РВ"),0)</f>
        <v>18</v>
      </c>
      <c r="AK53" s="202">
        <f>IFERROR(SUMIF(E53:AI53,"=Р2",E54:AI54)+SUMIF(E53:AI53,"=ВЧ/РВ",E54:AI54)+SUMIF(E53:AI53,"=РН/РВ",E54:AI54)+SUMIF(E53:AI53,"=Р1/РВ",E54:AI54)+SUMIF(E53:AI53,"=ВЧ2/РВ",E54:AI54)+SUMIF(E53:AI53,"=Р2/РВ",E54:AI54)+SUMIF(E53:AI53,"=Р",E54:AI54)+SUMIF(E53:AI53,"=Р1",E54:AI54)+SUMIF(E53:AI53,"=ВЧ1",E54:AI54)+SUMIF(E53:AI53,"=РН",E54:AI54)+SUMIF(E53:AI53,"=ВЧ",E54:AI54)+SUMIF(E53:AI53,"=НУ",E54:AI54),0)</f>
        <v>144.4</v>
      </c>
      <c r="AL53" s="202">
        <f>IFERROR(SUMIF(E53:AI53,"=НУ",E54:AI54),0)</f>
        <v>0</v>
      </c>
      <c r="AM53" s="202">
        <f>IFERROR(SUMIF(E53:AI53,"=РН",E54:AI54)+SUMIF(E53:AI53,"=РН/РВ",E54:AI54)+SUMIFS(E54:AI54,E53:AI53,"=Р2",E54:AI54,"=8"),0)</f>
        <v>0</v>
      </c>
      <c r="AN53" s="211">
        <f>IFERROR(SUMIF(E53:AI53,"=ВЧ",E54:AI54)+SUMIF(E53:AI53,"=ВЧ/РВ",E54:AI54)+CEILING(COUNTIFS(E53:AI53,"=Р2",E54:AI54,"=7")*4,1)+CEILING(COUNTIFS(E53:AI53,"=Р2/РВ",E54:AI54,"=7")*4,1)+SUMIFS(E54:AI54,E53:AI53,"=Р1/РВ",E54:AI54,"=12")/6+SUMIFS(E54:AI54,E53:AI53,"=ВЧ2/РВ",E54:AI54,"=4")/2+SUMIFS(E54:AI54,E53:AI53,"=Р1",E54:AI54,"=12")/6+SUMIFS(E54:AI54,E53:AI53,"=Р1",E54:AI54,"=8")/4+SUMIF(E53:AI53,"=ВЧ1",E54:AI54)/2,0)</f>
        <v>0</v>
      </c>
      <c r="AO53" s="202">
        <f>IFERROR(SUMIF(E53:AI53,"=РВ",E54:AI54)+SUMIF(E53:AI53,"=ВЧ/РВ",E54:AI54)+SUMIF(E53:AI53,"=РН/РВ",E54:AI54)+SUMIF(E53:AI53,"=Р1/РВ",E54:AI54)+SUMIF(E53:AI53,"=ВЧ2/РВ",E54:AI54)+SUMIF(E53:AI53,"=Р2/РВ",E54:AI54),0)</f>
        <v>0</v>
      </c>
      <c r="AP53" s="202">
        <f>IFERROR(COUNTIF(E53:AI53,"=ВВ")+COUNTIF(E53:AI53,"=Р1/ВВ")+COUNTIF(E53:AI53,"=РН/ВВ")+COUNTIF(E53:AI53,"=ВЧ/ВВ"),0)</f>
        <v>8</v>
      </c>
      <c r="AQ53" s="202">
        <f>SUM(AR53:AZ53)</f>
        <v>23.599999999999998</v>
      </c>
      <c r="AR53" s="202">
        <f>IFERROR(SUMIF(E53:AI53,"=В",E54:AI54)+SUMIF(E53:AI53,"=Ч",E54:AI54)+SUMIF(E53:AI53,"=ВБ",E54:AI54),0)</f>
        <v>0</v>
      </c>
      <c r="AS53" s="202">
        <f>IFERROR(SUMIF(E53:AI53,"=Н",E54:AI54),0)</f>
        <v>0</v>
      </c>
      <c r="AT53" s="202">
        <f>IFERROR(SUMIF(E53:AI53,"=НА",E54:AI54),0)</f>
        <v>0</v>
      </c>
      <c r="AU53" s="202">
        <f>IFERROR(SUMIF(E53:AI53,"=ВП",E54:AI54),0)</f>
        <v>0</v>
      </c>
      <c r="AV53" s="202">
        <f>IFERROR(SUMIF(E53:AI53,"=ДД",E54:AI54),0)</f>
        <v>0</v>
      </c>
      <c r="AW53" s="202">
        <f>IFERROR(SUMIF(E53:AI53,"=ДО",E54:AI54),0)</f>
        <v>0</v>
      </c>
      <c r="AX53" s="202">
        <f>IFERROR(SUMIF(E53:AI53,"=ТН",E54:AI54),0)</f>
        <v>23.599999999999998</v>
      </c>
      <c r="AY53" s="202">
        <f>IFERROR(SUMIF(E53:AI53,"=ВД",E54:AI54),0)</f>
        <v>0</v>
      </c>
      <c r="AZ53" s="200">
        <f>IFERROR(SUMIF(E53:AI53,"=ІН",E54:AI54),0)+SUMIF(E53:AI53,"=НЗ",E54:AI54)</f>
        <v>0</v>
      </c>
    </row>
    <row r="54" spans="1:52" ht="20.100000000000001" customHeight="1" thickBot="1" x14ac:dyDescent="0.25">
      <c r="A54" s="290"/>
      <c r="B54" s="229"/>
      <c r="C54" s="229"/>
      <c r="D54" s="229"/>
      <c r="E54" s="192"/>
      <c r="F54" s="192"/>
      <c r="G54" s="192">
        <v>8.1999999999999993</v>
      </c>
      <c r="H54" s="192">
        <v>8.1999999999999993</v>
      </c>
      <c r="I54" s="192">
        <v>8.1999999999999993</v>
      </c>
      <c r="J54" s="192">
        <v>8.1999999999999993</v>
      </c>
      <c r="K54" s="192">
        <v>7</v>
      </c>
      <c r="L54" s="192"/>
      <c r="M54" s="192"/>
      <c r="N54" s="192">
        <v>8.1999999999999993</v>
      </c>
      <c r="O54" s="192">
        <v>8.1999999999999993</v>
      </c>
      <c r="P54" s="192">
        <v>8.1999999999999993</v>
      </c>
      <c r="Q54" s="192">
        <v>8.1999999999999993</v>
      </c>
      <c r="R54" s="192">
        <v>7.2</v>
      </c>
      <c r="S54" s="192"/>
      <c r="T54" s="192"/>
      <c r="U54" s="192">
        <v>8.1999999999999993</v>
      </c>
      <c r="V54" s="192">
        <v>8.1999999999999993</v>
      </c>
      <c r="W54" s="192">
        <v>8.1999999999999993</v>
      </c>
      <c r="X54" s="192">
        <v>8.1999999999999993</v>
      </c>
      <c r="Y54" s="192">
        <v>7.2</v>
      </c>
      <c r="Z54" s="192"/>
      <c r="AA54" s="192"/>
      <c r="AB54" s="192">
        <v>8.1999999999999993</v>
      </c>
      <c r="AC54" s="192">
        <v>8.1999999999999993</v>
      </c>
      <c r="AD54" s="192">
        <v>8.1999999999999993</v>
      </c>
      <c r="AE54" s="192">
        <v>8.1999999999999993</v>
      </c>
      <c r="AF54" s="192">
        <v>7.2</v>
      </c>
      <c r="AG54" s="192"/>
      <c r="AH54" s="192"/>
      <c r="AI54" s="192">
        <v>8.1999999999999993</v>
      </c>
      <c r="AJ54" s="214"/>
      <c r="AK54" s="203"/>
      <c r="AL54" s="203"/>
      <c r="AM54" s="203"/>
      <c r="AN54" s="212"/>
      <c r="AO54" s="203"/>
      <c r="AP54" s="203"/>
      <c r="AQ54" s="203"/>
      <c r="AR54" s="203"/>
      <c r="AS54" s="203"/>
      <c r="AT54" s="203"/>
      <c r="AU54" s="203"/>
      <c r="AV54" s="203"/>
      <c r="AW54" s="203"/>
      <c r="AX54" s="203"/>
      <c r="AY54" s="203"/>
      <c r="AZ54" s="201"/>
    </row>
    <row r="55" spans="1:52" customFormat="1" ht="16.5" customHeight="1" x14ac:dyDescent="0.2">
      <c r="A55" s="289">
        <f t="shared" ref="A55" si="17">A53+1</f>
        <v>20</v>
      </c>
      <c r="B55" s="228" t="s">
        <v>293</v>
      </c>
      <c r="C55" s="228">
        <v>2118</v>
      </c>
      <c r="D55" s="228" t="s">
        <v>65</v>
      </c>
      <c r="E55" s="191" t="s">
        <v>142</v>
      </c>
      <c r="F55" s="191" t="s">
        <v>142</v>
      </c>
      <c r="G55" s="191" t="s">
        <v>4</v>
      </c>
      <c r="H55" s="191" t="s">
        <v>4</v>
      </c>
      <c r="I55" s="191" t="s">
        <v>4</v>
      </c>
      <c r="J55" s="191" t="s">
        <v>4</v>
      </c>
      <c r="K55" s="191" t="s">
        <v>4</v>
      </c>
      <c r="L55" s="191" t="s">
        <v>142</v>
      </c>
      <c r="M55" s="191" t="s">
        <v>142</v>
      </c>
      <c r="N55" s="191" t="s">
        <v>4</v>
      </c>
      <c r="O55" s="191" t="s">
        <v>4</v>
      </c>
      <c r="P55" s="191" t="s">
        <v>4</v>
      </c>
      <c r="Q55" s="191" t="s">
        <v>4</v>
      </c>
      <c r="R55" s="191" t="s">
        <v>4</v>
      </c>
      <c r="S55" s="191" t="s">
        <v>142</v>
      </c>
      <c r="T55" s="191" t="s">
        <v>142</v>
      </c>
      <c r="U55" s="191" t="s">
        <v>4</v>
      </c>
      <c r="V55" s="191" t="s">
        <v>4</v>
      </c>
      <c r="W55" s="191" t="s">
        <v>4</v>
      </c>
      <c r="X55" s="191" t="s">
        <v>4</v>
      </c>
      <c r="Y55" s="191" t="s">
        <v>4</v>
      </c>
      <c r="Z55" s="191" t="s">
        <v>142</v>
      </c>
      <c r="AA55" s="191" t="s">
        <v>142</v>
      </c>
      <c r="AB55" s="191" t="s">
        <v>52</v>
      </c>
      <c r="AC55" s="191" t="s">
        <v>52</v>
      </c>
      <c r="AD55" s="191" t="s">
        <v>52</v>
      </c>
      <c r="AE55" s="191" t="s">
        <v>52</v>
      </c>
      <c r="AF55" s="191" t="s">
        <v>52</v>
      </c>
      <c r="AG55" s="191" t="s">
        <v>142</v>
      </c>
      <c r="AH55" s="191" t="s">
        <v>142</v>
      </c>
      <c r="AI55" s="191" t="s">
        <v>4</v>
      </c>
      <c r="AJ55" s="294">
        <f>IFERROR(COUNTIF(E55:AI55,"=Р")+COUNTIF(E55:AI55,"=Р1")+COUNTIF(E55:AI55,"=ВЧ")+COUNTIF(E55:AI55,"=РН")+COUNTIF(E55:AI55,"=Р2")+COUNTIF(E55:AI55,"=Р1/РВ")+COUNTIF(E55:AI55,"=Р2/РВ")+COUNTIF(E55:AI55,"=ВЧ/РВ")+COUNTIF(E55:AI55,"=РН/РВ"),0)</f>
        <v>16</v>
      </c>
      <c r="AK55" s="211">
        <f>IFERROR(SUMIF(E55:AI55,"=Р2",E56:AI56)+SUMIF(E55:AI55,"=ВЧ/РВ",E56:AI56)+SUMIF(E55:AI55,"=РН/РВ",E56:AI56)+SUMIF(E55:AI55,"=Р1/РВ",E56:AI56)+SUMIF(E55:AI55,"=ВЧ2/РВ",E56:AI56)+SUMIF(E55:AI55,"=Р2/РВ",E56:AI56)+SUMIF(E55:AI55,"=Р",E56:AI56)+SUMIF(E55:AI55,"=Р1",E56:AI56)+SUMIF(E55:AI55,"=ВЧ1",E56:AI56)+SUMIF(E55:AI55,"=РН",E56:AI56)+SUMIF(E55:AI55,"=ВЧ",E56:AI56),0)+AL55</f>
        <v>128.00000000000003</v>
      </c>
      <c r="AL55" s="211">
        <f>IFERROR(SUMIF(E55:AI55,"=НУ",E56:AI56),0)</f>
        <v>0</v>
      </c>
      <c r="AM55" s="211">
        <f>IFERROR(SUMIF(E55:AI55,"=РН",E56:AI56)+SUMIF(E55:AI55,"=РН/РВ",E56:AI56)+SUMIFS(E56:AI56,E55:AI55,"=Р2",E56:AI56,"=8"),0)</f>
        <v>0</v>
      </c>
      <c r="AN55" s="211">
        <f>IFERROR(SUMIF(E55:AI55,"=ВЧ",E56:AI56)+SUMIF(E55:AI55,"=ВЧ/РВ",E56:AI56)+CEILING(COUNTIFS(E55:AI55,"=Р2",E56:AI56,"=7")*4,1)+CEILING(COUNTIFS(E55:AI55,"=Р2/РВ",E56:AI56,"=7")*4,1)+SUMIFS(E56:AI56,E55:AI55,"=Р1/РВ",E56:AI56,"=12")/6+SUMIFS(E56:AI56,E55:AI55,"=ВЧ2/РВ",E56:AI56,"=4")/2+SUMIFS(E56:AI56,E55:AI55,"=Р1",E56:AI56,"=12")/6+SUMIFS(E56:AI56,E55:AI55,"=Р1",E56:AI56,"=8")/4+SUMIF(E55:AI55,"=ВЧ1",E56:AI56)/2,0)</f>
        <v>0</v>
      </c>
      <c r="AO55" s="211">
        <f>IFERROR(SUMIF(E55:AI55,"=РВ",E56:AI56)+SUMIF(E55:AI55,"=ВЧ/РВ",E56:AI56)+SUMIF(E55:AI55,"=РН/РВ",E56:AI56)+SUMIF(E55:AI55,"=Р1/РВ",E56:AI56)+SUMIF(E55:AI55,"=ВЧ2/РВ",E56:AI56)+SUMIF(E55:AI55,"=Р2/РВ",E56:AI56),0)</f>
        <v>0</v>
      </c>
      <c r="AP55" s="211">
        <f>IFERROR(COUNTIF(E55:AI55,"=ВВ")+COUNTIF(E55:AI55,"=Р1/ВВ")+COUNTIF(E55:AI55,"=РН/ВВ")+COUNTIF(E55:AI55,"=ВЧ/ВВ"),0)</f>
        <v>10</v>
      </c>
      <c r="AQ55" s="211">
        <f>SUM(AR55:AZ55)</f>
        <v>40</v>
      </c>
      <c r="AR55" s="211">
        <f>IFERROR(SUMIF(E55:AI55,"=В",E56:AI56)+SUMIF(E55:AI55,"=Ч",E56:AI56)+SUMIF(E55:AI55,"=ВБ",E56:AI56),0)</f>
        <v>0</v>
      </c>
      <c r="AS55" s="202">
        <f>IFERROR(SUMIF(E55:AI55,"=Н",E56:AI56),0)</f>
        <v>0</v>
      </c>
      <c r="AT55" s="211">
        <f>IFERROR(SUMIF(E55:AI55,"=НА",E56:AI56),0)</f>
        <v>0</v>
      </c>
      <c r="AU55" s="211">
        <f>IFERROR(SUMIF(E55:AI55,"=ВП",E56:AI56),0)</f>
        <v>0</v>
      </c>
      <c r="AV55" s="211">
        <f>IFERROR(SUMIF(E55:AI55,"=ДД",E56:AI56),0)</f>
        <v>0</v>
      </c>
      <c r="AW55" s="202">
        <f>IFERROR(SUMIF(E55:AI55,"=ДО",E56:AI56),0)</f>
        <v>0</v>
      </c>
      <c r="AX55" s="211">
        <f>IFERROR(SUMIF(E55:AI55,"=ТН",E56:AI56),0)</f>
        <v>40</v>
      </c>
      <c r="AY55" s="211">
        <f>IFERROR(SUMIF(E55:AI55,"=ВД",E56:AI56),0)</f>
        <v>0</v>
      </c>
      <c r="AZ55" s="200">
        <f>IFERROR(SUMIF(E55:AI55,"=ІН",E56:AI56),0)+SUMIF(E55:AI55,"=НЗ",E56:AI56)</f>
        <v>0</v>
      </c>
    </row>
    <row r="56" spans="1:52" customFormat="1" ht="20.100000000000001" customHeight="1" thickBot="1" x14ac:dyDescent="0.25">
      <c r="A56" s="290"/>
      <c r="B56" s="229"/>
      <c r="C56" s="229"/>
      <c r="D56" s="229"/>
      <c r="E56" s="192"/>
      <c r="F56" s="192"/>
      <c r="G56" s="192">
        <v>8.1999999999999993</v>
      </c>
      <c r="H56" s="192">
        <v>8.1999999999999993</v>
      </c>
      <c r="I56" s="192">
        <v>8.1999999999999993</v>
      </c>
      <c r="J56" s="192">
        <v>8.1999999999999993</v>
      </c>
      <c r="K56" s="192">
        <v>7</v>
      </c>
      <c r="L56" s="192"/>
      <c r="M56" s="192"/>
      <c r="N56" s="192">
        <v>8.1999999999999993</v>
      </c>
      <c r="O56" s="192">
        <v>8.1999999999999993</v>
      </c>
      <c r="P56" s="192">
        <v>8.1999999999999993</v>
      </c>
      <c r="Q56" s="192">
        <v>8.1999999999999993</v>
      </c>
      <c r="R56" s="192">
        <v>7.2</v>
      </c>
      <c r="S56" s="192"/>
      <c r="T56" s="192"/>
      <c r="U56" s="192">
        <v>8.1999999999999993</v>
      </c>
      <c r="V56" s="192">
        <v>8.1999999999999993</v>
      </c>
      <c r="W56" s="192">
        <v>8.1999999999999993</v>
      </c>
      <c r="X56" s="192">
        <v>8.1999999999999993</v>
      </c>
      <c r="Y56" s="192">
        <v>7.2</v>
      </c>
      <c r="Z56" s="192"/>
      <c r="AA56" s="192"/>
      <c r="AB56" s="192">
        <v>8.1999999999999993</v>
      </c>
      <c r="AC56" s="192">
        <v>8.1999999999999993</v>
      </c>
      <c r="AD56" s="192">
        <v>8.1999999999999993</v>
      </c>
      <c r="AE56" s="192">
        <v>8.1999999999999993</v>
      </c>
      <c r="AF56" s="192">
        <v>7.2</v>
      </c>
      <c r="AG56" s="192"/>
      <c r="AH56" s="192"/>
      <c r="AI56" s="192">
        <v>8.1999999999999993</v>
      </c>
      <c r="AJ56" s="295"/>
      <c r="AK56" s="286"/>
      <c r="AL56" s="286"/>
      <c r="AM56" s="286"/>
      <c r="AN56" s="212"/>
      <c r="AO56" s="286"/>
      <c r="AP56" s="212"/>
      <c r="AQ56" s="286"/>
      <c r="AR56" s="286"/>
      <c r="AS56" s="203"/>
      <c r="AT56" s="286"/>
      <c r="AU56" s="286"/>
      <c r="AV56" s="286"/>
      <c r="AW56" s="203"/>
      <c r="AX56" s="286"/>
      <c r="AY56" s="286"/>
      <c r="AZ56" s="201"/>
    </row>
    <row r="57" spans="1:52" ht="16.5" customHeight="1" x14ac:dyDescent="0.2">
      <c r="A57" s="289">
        <f t="shared" ref="A57" si="18">A55+1</f>
        <v>21</v>
      </c>
      <c r="B57" s="228" t="s">
        <v>179</v>
      </c>
      <c r="C57" s="228">
        <v>1295</v>
      </c>
      <c r="D57" s="228" t="s">
        <v>72</v>
      </c>
      <c r="E57" s="191" t="s">
        <v>142</v>
      </c>
      <c r="F57" s="191" t="s">
        <v>142</v>
      </c>
      <c r="G57" s="191" t="s">
        <v>4</v>
      </c>
      <c r="H57" s="191" t="s">
        <v>4</v>
      </c>
      <c r="I57" s="191" t="s">
        <v>4</v>
      </c>
      <c r="J57" s="191" t="s">
        <v>4</v>
      </c>
      <c r="K57" s="191" t="s">
        <v>4</v>
      </c>
      <c r="L57" s="191" t="s">
        <v>142</v>
      </c>
      <c r="M57" s="191" t="s">
        <v>142</v>
      </c>
      <c r="N57" s="191" t="s">
        <v>4</v>
      </c>
      <c r="O57" s="191" t="s">
        <v>4</v>
      </c>
      <c r="P57" s="191" t="s">
        <v>4</v>
      </c>
      <c r="Q57" s="191" t="s">
        <v>4</v>
      </c>
      <c r="R57" s="191" t="s">
        <v>4</v>
      </c>
      <c r="S57" s="191" t="s">
        <v>142</v>
      </c>
      <c r="T57" s="191" t="s">
        <v>142</v>
      </c>
      <c r="U57" s="191" t="s">
        <v>4</v>
      </c>
      <c r="V57" s="191" t="s">
        <v>4</v>
      </c>
      <c r="W57" s="191" t="s">
        <v>4</v>
      </c>
      <c r="X57" s="191" t="s">
        <v>52</v>
      </c>
      <c r="Y57" s="191" t="s">
        <v>52</v>
      </c>
      <c r="Z57" s="191" t="s">
        <v>52</v>
      </c>
      <c r="AA57" s="191" t="s">
        <v>52</v>
      </c>
      <c r="AB57" s="191" t="s">
        <v>52</v>
      </c>
      <c r="AC57" s="191" t="s">
        <v>52</v>
      </c>
      <c r="AD57" s="191" t="s">
        <v>52</v>
      </c>
      <c r="AE57" s="191" t="s">
        <v>4</v>
      </c>
      <c r="AF57" s="191" t="s">
        <v>4</v>
      </c>
      <c r="AG57" s="191" t="s">
        <v>142</v>
      </c>
      <c r="AH57" s="191" t="s">
        <v>142</v>
      </c>
      <c r="AI57" s="191" t="s">
        <v>4</v>
      </c>
      <c r="AJ57" s="213">
        <f>IFERROR(COUNTIF(E57:AI57,"=Р")+COUNTIF(E57:AI57,"=Р1")+COUNTIF(E57:AI57,"=ВЧ")+COUNTIF(E57:AI57,"=РН")+COUNTIF(E57:AI57,"=Р2")+COUNTIF(E57:AI57,"=Р1/РВ")+COUNTIF(E57:AI57,"=Р2/РВ")+COUNTIF(E57:AI57,"=ВЧ/РВ")+COUNTIF(E57:AI57,"=РН/РВ"),0)</f>
        <v>16</v>
      </c>
      <c r="AK57" s="202">
        <f>IFERROR(SUMIF(E57:AI57,"=Р2",E58:AI58)+SUMIF(E57:AI57,"=ВЧ/РВ",E58:AI58)+SUMIF(E57:AI57,"=РН/РВ",E58:AI58)+SUMIF(E57:AI57,"=Р1/РВ",E58:AI58)+SUMIF(E57:AI57,"=ВЧ2/РВ",E58:AI58)+SUMIF(E57:AI57,"=Р2/РВ",E58:AI58)+SUMIF(E57:AI57,"=Р",E58:AI58)+SUMIF(E57:AI57,"=Р1",E58:AI58)+SUMIF(E57:AI57,"=ВЧ1",E58:AI58)+SUMIF(E57:AI57,"=РН",E58:AI58)+SUMIF(E57:AI57,"=ВЧ",E58:AI58)+SUMIF(E57:AI57,"=НУ",E58:AI58),0)</f>
        <v>128.00000000000003</v>
      </c>
      <c r="AL57" s="202">
        <f>IFERROR(SUMIF(E57:AI57,"=НУ",E58:AI58),0)</f>
        <v>0</v>
      </c>
      <c r="AM57" s="202">
        <f>IFERROR(SUMIF(E57:AI57,"=РН",E58:AI58)+SUMIF(E57:AI57,"=РН/РВ",E58:AI58)+SUMIFS(E58:AI58,E57:AI57,"=Р2",E58:AI58,"=8"),0)</f>
        <v>0</v>
      </c>
      <c r="AN57" s="211">
        <f>IFERROR(SUMIF(E57:AI57,"=ВЧ",E58:AI58)+SUMIF(E57:AI57,"=ВЧ/РВ",E58:AI58)+CEILING(COUNTIFS(E57:AI57,"=Р2",E58:AI58,"=7")*4,1)+CEILING(COUNTIFS(E57:AI57,"=Р2/РВ",E58:AI58,"=7")*4,1)+SUMIFS(E58:AI58,E57:AI57,"=Р1/РВ",E58:AI58,"=12")/6+SUMIFS(E58:AI58,E57:AI57,"=ВЧ2/РВ",E58:AI58,"=4")/2+SUMIFS(E58:AI58,E57:AI57,"=Р1",E58:AI58,"=12")/6+SUMIFS(E58:AI58,E57:AI57,"=Р1",E58:AI58,"=8")/4+SUMIF(E57:AI57,"=ВЧ1",E58:AI58)/2,0)</f>
        <v>0</v>
      </c>
      <c r="AO57" s="202">
        <f>IFERROR(SUMIF(E57:AI57,"=РВ",E58:AI58)+SUMIF(E57:AI57,"=ВЧ/РВ",E58:AI58)+SUMIF(E57:AI57,"=РН/РВ",E58:AI58)+SUMIF(E57:AI57,"=Р1/РВ",E58:AI58)+SUMIF(E57:AI57,"=ВЧ2/РВ",E58:AI58)+SUMIF(E57:AI57,"=Р2/РВ",E58:AI58),0)</f>
        <v>0</v>
      </c>
      <c r="AP57" s="202">
        <f>IFERROR(COUNTIF(E57:AI57,"=ВВ")+COUNTIF(E57:AI57,"=Р1/ВВ")+COUNTIF(E57:AI57,"=РН/ВВ")+COUNTIF(E57:AI57,"=ВЧ/ВВ"),0)</f>
        <v>8</v>
      </c>
      <c r="AQ57" s="202">
        <f>SUM(AR57:AZ57)</f>
        <v>40</v>
      </c>
      <c r="AR57" s="202">
        <f>IFERROR(SUMIF(E57:AI57,"=В",E58:AI58)+SUMIF(E57:AI57,"=Ч",E58:AI58)+SUMIF(E57:AI57,"=ВБ",E58:AI58),0)</f>
        <v>0</v>
      </c>
      <c r="AS57" s="202">
        <f>IFERROR(SUMIF(E57:AI57,"=Н",E58:AI58),0)</f>
        <v>0</v>
      </c>
      <c r="AT57" s="202">
        <f>IFERROR(SUMIF(E57:AI57,"=НА",E58:AI58),0)</f>
        <v>0</v>
      </c>
      <c r="AU57" s="202">
        <f>IFERROR(SUMIF(E57:AI57,"=ВП",E58:AI58),0)</f>
        <v>0</v>
      </c>
      <c r="AV57" s="202">
        <f>IFERROR(SUMIF(E57:AI57,"=ДД",E58:AI58),0)</f>
        <v>0</v>
      </c>
      <c r="AW57" s="202">
        <f>IFERROR(SUMIF(E57:AI57,"=ДО",E58:AI58),0)</f>
        <v>0</v>
      </c>
      <c r="AX57" s="202">
        <f>IFERROR(SUMIF(E57:AI57,"=ТН",E58:AI58),0)</f>
        <v>40</v>
      </c>
      <c r="AY57" s="202">
        <f>IFERROR(SUMIF(E57:AI57,"=ВД",E58:AI58),0)</f>
        <v>0</v>
      </c>
      <c r="AZ57" s="200">
        <f>IFERROR(SUMIF(E57:AI57,"=ІН",E58:AI58),0)+SUMIF(E57:AI57,"=НЗ",E58:AI58)</f>
        <v>0</v>
      </c>
    </row>
    <row r="58" spans="1:52" ht="20.100000000000001" customHeight="1" thickBot="1" x14ac:dyDescent="0.25">
      <c r="A58" s="290"/>
      <c r="B58" s="229"/>
      <c r="C58" s="229"/>
      <c r="D58" s="229"/>
      <c r="E58" s="192"/>
      <c r="F58" s="192"/>
      <c r="G58" s="192">
        <v>8.1999999999999993</v>
      </c>
      <c r="H58" s="192">
        <v>8.1999999999999993</v>
      </c>
      <c r="I58" s="192">
        <v>8.1999999999999993</v>
      </c>
      <c r="J58" s="192">
        <v>8.1999999999999993</v>
      </c>
      <c r="K58" s="192">
        <v>7</v>
      </c>
      <c r="L58" s="192"/>
      <c r="M58" s="192"/>
      <c r="N58" s="192">
        <v>8.1999999999999993</v>
      </c>
      <c r="O58" s="192">
        <v>8.1999999999999993</v>
      </c>
      <c r="P58" s="192">
        <v>8.1999999999999993</v>
      </c>
      <c r="Q58" s="192">
        <v>8.1999999999999993</v>
      </c>
      <c r="R58" s="192">
        <v>7.2</v>
      </c>
      <c r="S58" s="192"/>
      <c r="T58" s="192"/>
      <c r="U58" s="192">
        <v>8.1999999999999993</v>
      </c>
      <c r="V58" s="192">
        <v>8.1999999999999993</v>
      </c>
      <c r="W58" s="192">
        <v>8.1999999999999993</v>
      </c>
      <c r="X58" s="192">
        <v>8.1999999999999993</v>
      </c>
      <c r="Y58" s="192">
        <v>7.2</v>
      </c>
      <c r="Z58" s="192"/>
      <c r="AA58" s="192"/>
      <c r="AB58" s="192">
        <v>8.1999999999999993</v>
      </c>
      <c r="AC58" s="192">
        <v>8.1999999999999993</v>
      </c>
      <c r="AD58" s="192">
        <v>8.1999999999999993</v>
      </c>
      <c r="AE58" s="192">
        <v>8.1999999999999993</v>
      </c>
      <c r="AF58" s="192">
        <v>7.2</v>
      </c>
      <c r="AG58" s="192"/>
      <c r="AH58" s="192"/>
      <c r="AI58" s="192">
        <v>8.1999999999999993</v>
      </c>
      <c r="AJ58" s="214"/>
      <c r="AK58" s="203"/>
      <c r="AL58" s="203"/>
      <c r="AM58" s="203"/>
      <c r="AN58" s="212"/>
      <c r="AO58" s="203"/>
      <c r="AP58" s="203"/>
      <c r="AQ58" s="203"/>
      <c r="AR58" s="203"/>
      <c r="AS58" s="203"/>
      <c r="AT58" s="203"/>
      <c r="AU58" s="203"/>
      <c r="AV58" s="203"/>
      <c r="AW58" s="203"/>
      <c r="AX58" s="203"/>
      <c r="AY58" s="203"/>
      <c r="AZ58" s="201"/>
    </row>
    <row r="59" spans="1:52" ht="20.100000000000001" customHeight="1" x14ac:dyDescent="0.2">
      <c r="A59" s="289">
        <f t="shared" ref="A59" si="19">A57+1</f>
        <v>22</v>
      </c>
      <c r="B59" s="228" t="s">
        <v>180</v>
      </c>
      <c r="C59" s="228">
        <v>2113</v>
      </c>
      <c r="D59" s="228" t="s">
        <v>72</v>
      </c>
      <c r="E59" s="191" t="s">
        <v>142</v>
      </c>
      <c r="F59" s="191" t="s">
        <v>142</v>
      </c>
      <c r="G59" s="191" t="s">
        <v>4</v>
      </c>
      <c r="H59" s="191" t="s">
        <v>4</v>
      </c>
      <c r="I59" s="191" t="s">
        <v>4</v>
      </c>
      <c r="J59" s="191" t="s">
        <v>4</v>
      </c>
      <c r="K59" s="191" t="s">
        <v>4</v>
      </c>
      <c r="L59" s="191" t="s">
        <v>142</v>
      </c>
      <c r="M59" s="191" t="s">
        <v>142</v>
      </c>
      <c r="N59" s="191" t="s">
        <v>4</v>
      </c>
      <c r="O59" s="191" t="s">
        <v>4</v>
      </c>
      <c r="P59" s="191" t="s">
        <v>4</v>
      </c>
      <c r="Q59" s="191" t="s">
        <v>4</v>
      </c>
      <c r="R59" s="191" t="s">
        <v>4</v>
      </c>
      <c r="S59" s="191" t="s">
        <v>142</v>
      </c>
      <c r="T59" s="191" t="s">
        <v>142</v>
      </c>
      <c r="U59" s="191" t="s">
        <v>4</v>
      </c>
      <c r="V59" s="191" t="s">
        <v>4</v>
      </c>
      <c r="W59" s="191" t="s">
        <v>4</v>
      </c>
      <c r="X59" s="191" t="s">
        <v>4</v>
      </c>
      <c r="Y59" s="191" t="s">
        <v>4</v>
      </c>
      <c r="Z59" s="191" t="s">
        <v>142</v>
      </c>
      <c r="AA59" s="191" t="s">
        <v>142</v>
      </c>
      <c r="AB59" s="191" t="s">
        <v>4</v>
      </c>
      <c r="AC59" s="191" t="s">
        <v>4</v>
      </c>
      <c r="AD59" s="191" t="s">
        <v>4</v>
      </c>
      <c r="AE59" s="191" t="s">
        <v>4</v>
      </c>
      <c r="AF59" s="191" t="s">
        <v>4</v>
      </c>
      <c r="AG59" s="191" t="s">
        <v>142</v>
      </c>
      <c r="AH59" s="191" t="s">
        <v>142</v>
      </c>
      <c r="AI59" s="191" t="s">
        <v>4</v>
      </c>
      <c r="AJ59" s="213">
        <f>IFERROR(COUNTIF(E59:AI59,"=Р")+COUNTIF(E59:AI59,"=Р1")+COUNTIF(E59:AI59,"=ВЧ")+COUNTIF(E59:AI59,"=РН")+COUNTIF(E59:AI59,"=Р2")+COUNTIF(E59:AI59,"=Р1/РВ")+COUNTIF(E59:AI59,"=Р2/РВ")+COUNTIF(E59:AI59,"=ВЧ/РВ")+COUNTIF(E59:AI59,"=РН/РВ"),0)</f>
        <v>21</v>
      </c>
      <c r="AK59" s="202">
        <f>IFERROR(SUMIF(E59:AI59,"=Р2",E60:AI60)+SUMIF(E59:AI59,"=ВЧ/РВ",E60:AI60)+SUMIF(E59:AI59,"=РН/РВ",E60:AI60)+SUMIF(E59:AI59,"=Р1/РВ",E60:AI60)+SUMIF(E59:AI59,"=ВЧ2/РВ",E60:AI60)+SUMIF(E59:AI59,"=Р2/РВ",E60:AI60)+SUMIF(E59:AI59,"=Р",E60:AI60)+SUMIF(E59:AI59,"=Р1",E60:AI60)+SUMIF(E59:AI59,"=ВЧ1",E60:AI60)+SUMIF(E59:AI59,"=РН",E60:AI60)+SUMIF(E59:AI59,"=ВЧ",E60:AI60)+SUMIF(E59:AI59,"=НУ",E60:AI60),0)</f>
        <v>167.99999999999997</v>
      </c>
      <c r="AL59" s="202">
        <f>IFERROR(SUMIF(E59:AI59,"=НУ",E60:AI60),0)</f>
        <v>0</v>
      </c>
      <c r="AM59" s="202">
        <f>IFERROR(SUMIF(E59:AI59,"=РН",E60:AI60)+SUMIF(E59:AI59,"=РН/РВ",E60:AI60)+SUMIFS(E60:AI60,E59:AI59,"=Р2",E60:AI60,"=8"),0)</f>
        <v>0</v>
      </c>
      <c r="AN59" s="211">
        <f>IFERROR(SUMIF(E59:AI59,"=ВЧ",E60:AI60)+SUMIF(E59:AI59,"=ВЧ/РВ",E60:AI60)+CEILING(COUNTIFS(E59:AI59,"=Р2",E60:AI60,"=7")*4,1)+CEILING(COUNTIFS(E59:AI59,"=Р2/РВ",E60:AI60,"=7")*4,1)+SUMIFS(E60:AI60,E59:AI59,"=Р1/РВ",E60:AI60,"=12")/6+SUMIFS(E60:AI60,E59:AI59,"=ВЧ2/РВ",E60:AI60,"=4")/2+SUMIFS(E60:AI60,E59:AI59,"=Р1",E60:AI60,"=12")/6+SUMIFS(E60:AI60,E59:AI59,"=Р1",E60:AI60,"=8")/4+SUMIF(E59:AI59,"=ВЧ1",E60:AI60)/2,0)</f>
        <v>0</v>
      </c>
      <c r="AO59" s="202">
        <f>IFERROR(SUMIF(E59:AI59,"=РВ",E60:AI60)+SUMIF(E59:AI59,"=ВЧ/РВ",E60:AI60)+SUMIF(E59:AI59,"=РН/РВ",E60:AI60)+SUMIF(E59:AI59,"=Р1/РВ",E60:AI60)+SUMIF(E59:AI59,"=ВЧ2/РВ",E60:AI60)+SUMIF(E59:AI59,"=Р2/РВ",E60:AI60),0)</f>
        <v>0</v>
      </c>
      <c r="AP59" s="202">
        <f>IFERROR(COUNTIF(E59:AI59,"=ВВ")+COUNTIF(E59:AI59,"=Р1/ВВ")+COUNTIF(E59:AI59,"=РН/ВВ")+COUNTIF(E59:AI59,"=ВЧ/ВВ"),0)</f>
        <v>10</v>
      </c>
      <c r="AQ59" s="202">
        <f>SUM(AR59:AZ59)</f>
        <v>0</v>
      </c>
      <c r="AR59" s="202">
        <f>IFERROR(SUMIF(E59:AI59,"=В",E60:AI60)+SUMIF(E59:AI59,"=Ч",E60:AI60)+SUMIF(E59:AI59,"=ВБ",E60:AI60),0)</f>
        <v>0</v>
      </c>
      <c r="AS59" s="202">
        <f>IFERROR(SUMIF(E59:AI59,"=Н",E60:AI60),0)</f>
        <v>0</v>
      </c>
      <c r="AT59" s="202">
        <f>IFERROR(SUMIF(E59:AI59,"=НА",E60:AI60),0)</f>
        <v>0</v>
      </c>
      <c r="AU59" s="202">
        <f>IFERROR(SUMIF(E59:AI59,"=ВП",E60:AI60),0)</f>
        <v>0</v>
      </c>
      <c r="AV59" s="202">
        <f>IFERROR(SUMIF(E59:AI59,"=ДД",E60:AI60),0)</f>
        <v>0</v>
      </c>
      <c r="AW59" s="202">
        <f>IFERROR(SUMIF(E59:AI59,"=ДО",E60:AI60),0)</f>
        <v>0</v>
      </c>
      <c r="AX59" s="202">
        <f>IFERROR(SUMIF(E59:AI59,"=ТН",E60:AI60),0)</f>
        <v>0</v>
      </c>
      <c r="AY59" s="202">
        <f>IFERROR(SUMIF(E59:AI59,"=ВД",E60:AI60),0)</f>
        <v>0</v>
      </c>
      <c r="AZ59" s="200">
        <f>IFERROR(SUMIF(E59:AI59,"=ІН",E60:AI60),0)+SUMIF(E59:AI59,"=НЗ",E60:AI60)</f>
        <v>0</v>
      </c>
    </row>
    <row r="60" spans="1:52" ht="20.100000000000001" customHeight="1" thickBot="1" x14ac:dyDescent="0.25">
      <c r="A60" s="290"/>
      <c r="B60" s="229"/>
      <c r="C60" s="229"/>
      <c r="D60" s="229"/>
      <c r="E60" s="192"/>
      <c r="F60" s="192"/>
      <c r="G60" s="192">
        <v>8.1999999999999993</v>
      </c>
      <c r="H60" s="192">
        <v>8.1999999999999993</v>
      </c>
      <c r="I60" s="192">
        <v>8.1999999999999993</v>
      </c>
      <c r="J60" s="192">
        <v>8.1999999999999993</v>
      </c>
      <c r="K60" s="192">
        <v>7</v>
      </c>
      <c r="L60" s="192"/>
      <c r="M60" s="192"/>
      <c r="N60" s="192">
        <v>8.1999999999999993</v>
      </c>
      <c r="O60" s="192">
        <v>8.1999999999999993</v>
      </c>
      <c r="P60" s="192">
        <v>8.1999999999999993</v>
      </c>
      <c r="Q60" s="192">
        <v>8.1999999999999993</v>
      </c>
      <c r="R60" s="192">
        <v>7.2</v>
      </c>
      <c r="S60" s="192"/>
      <c r="T60" s="192"/>
      <c r="U60" s="192">
        <v>8.1999999999999993</v>
      </c>
      <c r="V60" s="192">
        <v>8.1999999999999993</v>
      </c>
      <c r="W60" s="192">
        <v>8.1999999999999993</v>
      </c>
      <c r="X60" s="192">
        <v>8.1999999999999993</v>
      </c>
      <c r="Y60" s="192">
        <v>7.2</v>
      </c>
      <c r="Z60" s="192"/>
      <c r="AA60" s="192"/>
      <c r="AB60" s="192">
        <v>8.1999999999999993</v>
      </c>
      <c r="AC60" s="192">
        <v>8.1999999999999993</v>
      </c>
      <c r="AD60" s="192">
        <v>8.1999999999999993</v>
      </c>
      <c r="AE60" s="192">
        <v>8.1999999999999993</v>
      </c>
      <c r="AF60" s="192">
        <v>7.2</v>
      </c>
      <c r="AG60" s="192"/>
      <c r="AH60" s="192"/>
      <c r="AI60" s="192">
        <v>8.1999999999999993</v>
      </c>
      <c r="AJ60" s="214"/>
      <c r="AK60" s="203"/>
      <c r="AL60" s="203"/>
      <c r="AM60" s="203"/>
      <c r="AN60" s="212"/>
      <c r="AO60" s="203"/>
      <c r="AP60" s="203"/>
      <c r="AQ60" s="203"/>
      <c r="AR60" s="203"/>
      <c r="AS60" s="203"/>
      <c r="AT60" s="203"/>
      <c r="AU60" s="203"/>
      <c r="AV60" s="203"/>
      <c r="AW60" s="203"/>
      <c r="AX60" s="203"/>
      <c r="AY60" s="203"/>
      <c r="AZ60" s="201"/>
    </row>
    <row r="61" spans="1:52" ht="20.100000000000001" customHeight="1" x14ac:dyDescent="0.2">
      <c r="A61" s="289">
        <f t="shared" ref="A61" si="20">A59+1</f>
        <v>23</v>
      </c>
      <c r="B61" s="228" t="s">
        <v>336</v>
      </c>
      <c r="C61" s="228">
        <v>2115</v>
      </c>
      <c r="D61" s="228" t="s">
        <v>72</v>
      </c>
      <c r="E61" s="191" t="s">
        <v>142</v>
      </c>
      <c r="F61" s="191" t="s">
        <v>142</v>
      </c>
      <c r="G61" s="191" t="s">
        <v>4</v>
      </c>
      <c r="H61" s="191" t="s">
        <v>4</v>
      </c>
      <c r="I61" s="191" t="s">
        <v>4</v>
      </c>
      <c r="J61" s="191" t="s">
        <v>4</v>
      </c>
      <c r="K61" s="191" t="s">
        <v>4</v>
      </c>
      <c r="L61" s="191" t="s">
        <v>142</v>
      </c>
      <c r="M61" s="191" t="s">
        <v>142</v>
      </c>
      <c r="N61" s="191" t="s">
        <v>4</v>
      </c>
      <c r="O61" s="191" t="s">
        <v>4</v>
      </c>
      <c r="P61" s="191" t="s">
        <v>4</v>
      </c>
      <c r="Q61" s="191" t="s">
        <v>4</v>
      </c>
      <c r="R61" s="191" t="s">
        <v>4</v>
      </c>
      <c r="S61" s="191" t="s">
        <v>142</v>
      </c>
      <c r="T61" s="191" t="s">
        <v>142</v>
      </c>
      <c r="U61" s="191" t="s">
        <v>4</v>
      </c>
      <c r="V61" s="191" t="s">
        <v>4</v>
      </c>
      <c r="W61" s="191" t="s">
        <v>4</v>
      </c>
      <c r="X61" s="191" t="s">
        <v>4</v>
      </c>
      <c r="Y61" s="191" t="s">
        <v>4</v>
      </c>
      <c r="Z61" s="191" t="s">
        <v>142</v>
      </c>
      <c r="AA61" s="191" t="s">
        <v>142</v>
      </c>
      <c r="AB61" s="191" t="s">
        <v>4</v>
      </c>
      <c r="AC61" s="191" t="s">
        <v>4</v>
      </c>
      <c r="AD61" s="191" t="s">
        <v>4</v>
      </c>
      <c r="AE61" s="191" t="s">
        <v>4</v>
      </c>
      <c r="AF61" s="191" t="s">
        <v>4</v>
      </c>
      <c r="AG61" s="191" t="s">
        <v>142</v>
      </c>
      <c r="AH61" s="191" t="s">
        <v>142</v>
      </c>
      <c r="AI61" s="191" t="s">
        <v>4</v>
      </c>
      <c r="AJ61" s="213">
        <f>IFERROR(COUNTIF(E61:AI61,"=Р")+COUNTIF(E61:AI61,"=Р1")+COUNTIF(E61:AI61,"=ВЧ")+COUNTIF(E61:AI61,"=РН")+COUNTIF(E61:AI61,"=Р2")+COUNTIF(E61:AI61,"=Р1/РВ")+COUNTIF(E61:AI61,"=Р2/РВ")+COUNTIF(E61:AI61,"=ВЧ/РВ")+COUNTIF(E61:AI61,"=РН/РВ"),0)</f>
        <v>21</v>
      </c>
      <c r="AK61" s="202">
        <f>IFERROR(SUMIF(E61:AI61,"=Р2",E62:AI62)+SUMIF(E61:AI61,"=ВЧ/РВ",E62:AI62)+SUMIF(E61:AI61,"=РН/РВ",E62:AI62)+SUMIF(E61:AI61,"=Р1/РВ",E62:AI62)+SUMIF(E61:AI61,"=ВЧ2/РВ",E62:AI62)+SUMIF(E61:AI61,"=Р2/РВ",E62:AI62)+SUMIF(E61:AI61,"=Р",E62:AI62)+SUMIF(E61:AI61,"=Р1",E62:AI62)+SUMIF(E61:AI61,"=ВЧ1",E62:AI62)+SUMIF(E61:AI61,"=РН",E62:AI62)+SUMIF(E61:AI61,"=ВЧ",E62:AI62)+SUMIF(E61:AI61,"=НУ",E62:AI62),0)</f>
        <v>167.99999999999997</v>
      </c>
      <c r="AL61" s="202">
        <f>IFERROR(SUMIF(E61:AI61,"=НУ",E62:AI62),0)</f>
        <v>0</v>
      </c>
      <c r="AM61" s="202">
        <f>IFERROR(SUMIF(E61:AI61,"=РН",E62:AI62)+SUMIF(E61:AI61,"=РН/РВ",E62:AI62)+SUMIFS(E62:AI62,E61:AI61,"=Р2",E62:AI62,"=8"),0)</f>
        <v>0</v>
      </c>
      <c r="AN61" s="211">
        <f>IFERROR(SUMIF(E61:AI61,"=ВЧ",E62:AI62)+SUMIF(E61:AI61,"=ВЧ/РВ",E62:AI62)+CEILING(COUNTIFS(E61:AI61,"=Р2",E62:AI62,"=7")*4,1)+CEILING(COUNTIFS(E61:AI61,"=Р2/РВ",E62:AI62,"=7")*4,1)+SUMIFS(E62:AI62,E61:AI61,"=Р1/РВ",E62:AI62,"=12")/6+SUMIFS(E62:AI62,E61:AI61,"=ВЧ2/РВ",E62:AI62,"=4")/2+SUMIFS(E62:AI62,E61:AI61,"=Р1",E62:AI62,"=12")/6+SUMIFS(E62:AI62,E61:AI61,"=Р1",E62:AI62,"=8")/4+SUMIF(E61:AI61,"=ВЧ1",E62:AI62)/2,0)</f>
        <v>0</v>
      </c>
      <c r="AO61" s="202">
        <f>IFERROR(SUMIF(E61:AI61,"=РВ",E62:AI62)+SUMIF(E61:AI61,"=ВЧ/РВ",E62:AI62)+SUMIF(E61:AI61,"=РН/РВ",E62:AI62)+SUMIF(E61:AI61,"=Р1/РВ",E62:AI62)+SUMIF(E61:AI61,"=ВЧ2/РВ",E62:AI62)+SUMIF(E61:AI61,"=Р2/РВ",E62:AI62),0)</f>
        <v>0</v>
      </c>
      <c r="AP61" s="202">
        <f>IFERROR(COUNTIF(E61:AI61,"=ВВ")+COUNTIF(E61:AI61,"=Р1/ВВ")+COUNTIF(E61:AI61,"=РН/ВВ")+COUNTIF(E61:AI61,"=ВЧ/ВВ"),0)</f>
        <v>10</v>
      </c>
      <c r="AQ61" s="202">
        <f>SUM(AR61:AZ61)</f>
        <v>0</v>
      </c>
      <c r="AR61" s="202">
        <f>IFERROR(SUMIF(E61:AI61,"=В",E62:AI62)+SUMIF(E61:AI61,"=Ч",E62:AI62)+SUMIF(E61:AI61,"=ВБ",E62:AI62),0)</f>
        <v>0</v>
      </c>
      <c r="AS61" s="202">
        <f>IFERROR(SUMIF(E61:AI61,"=Н",E62:AI62),0)</f>
        <v>0</v>
      </c>
      <c r="AT61" s="202">
        <f>IFERROR(SUMIF(E61:AI61,"=НА",E62:AI62),0)</f>
        <v>0</v>
      </c>
      <c r="AU61" s="202">
        <f>IFERROR(SUMIF(E61:AI61,"=ВП",E62:AI62),0)</f>
        <v>0</v>
      </c>
      <c r="AV61" s="202">
        <f>IFERROR(SUMIF(E61:AI61,"=ДД",E62:AI62),0)</f>
        <v>0</v>
      </c>
      <c r="AW61" s="202">
        <f>IFERROR(SUMIF(E61:AI61,"=ДО",E62:AI62),0)</f>
        <v>0</v>
      </c>
      <c r="AX61" s="202">
        <f>IFERROR(SUMIF(E61:AI61,"=ТН",E62:AI62),0)</f>
        <v>0</v>
      </c>
      <c r="AY61" s="202">
        <f>IFERROR(SUMIF(E61:AI61,"=ВД",E62:AI62),0)</f>
        <v>0</v>
      </c>
      <c r="AZ61" s="200">
        <f>IFERROR(SUMIF(E61:AI61,"=ІН",E62:AI62),0)+SUMIF(E61:AI61,"=НЗ",E62:AI62)</f>
        <v>0</v>
      </c>
    </row>
    <row r="62" spans="1:52" ht="20.100000000000001" customHeight="1" thickBot="1" x14ac:dyDescent="0.25">
      <c r="A62" s="290"/>
      <c r="B62" s="229"/>
      <c r="C62" s="229"/>
      <c r="D62" s="229"/>
      <c r="E62" s="192"/>
      <c r="F62" s="192"/>
      <c r="G62" s="192">
        <v>8.1999999999999993</v>
      </c>
      <c r="H62" s="192">
        <v>8.1999999999999993</v>
      </c>
      <c r="I62" s="192">
        <v>8.1999999999999993</v>
      </c>
      <c r="J62" s="192">
        <v>8.1999999999999993</v>
      </c>
      <c r="K62" s="192">
        <v>7</v>
      </c>
      <c r="L62" s="192"/>
      <c r="M62" s="192"/>
      <c r="N62" s="192">
        <v>8.1999999999999993</v>
      </c>
      <c r="O62" s="192">
        <v>8.1999999999999993</v>
      </c>
      <c r="P62" s="192">
        <v>8.1999999999999993</v>
      </c>
      <c r="Q62" s="192">
        <v>8.1999999999999993</v>
      </c>
      <c r="R62" s="192">
        <v>7.2</v>
      </c>
      <c r="S62" s="192"/>
      <c r="T62" s="192"/>
      <c r="U62" s="192">
        <v>8.1999999999999993</v>
      </c>
      <c r="V62" s="192">
        <v>8.1999999999999993</v>
      </c>
      <c r="W62" s="192">
        <v>8.1999999999999993</v>
      </c>
      <c r="X62" s="192">
        <v>8.1999999999999993</v>
      </c>
      <c r="Y62" s="192">
        <v>7.2</v>
      </c>
      <c r="Z62" s="192"/>
      <c r="AA62" s="192"/>
      <c r="AB62" s="192">
        <v>8.1999999999999993</v>
      </c>
      <c r="AC62" s="192">
        <v>8.1999999999999993</v>
      </c>
      <c r="AD62" s="192">
        <v>8.1999999999999993</v>
      </c>
      <c r="AE62" s="192">
        <v>8.1999999999999993</v>
      </c>
      <c r="AF62" s="192">
        <v>7.2</v>
      </c>
      <c r="AG62" s="192"/>
      <c r="AH62" s="192"/>
      <c r="AI62" s="192">
        <v>8.1999999999999993</v>
      </c>
      <c r="AJ62" s="214"/>
      <c r="AK62" s="203"/>
      <c r="AL62" s="203"/>
      <c r="AM62" s="203"/>
      <c r="AN62" s="212"/>
      <c r="AO62" s="203"/>
      <c r="AP62" s="203"/>
      <c r="AQ62" s="203"/>
      <c r="AR62" s="203"/>
      <c r="AS62" s="203"/>
      <c r="AT62" s="203"/>
      <c r="AU62" s="203"/>
      <c r="AV62" s="203"/>
      <c r="AW62" s="203"/>
      <c r="AX62" s="203"/>
      <c r="AY62" s="203"/>
      <c r="AZ62" s="201"/>
    </row>
    <row r="63" spans="1:52" ht="20.100000000000001" customHeight="1" x14ac:dyDescent="0.2">
      <c r="A63" s="289">
        <f t="shared" ref="A63" si="21">A61+1</f>
        <v>24</v>
      </c>
      <c r="B63" s="228" t="s">
        <v>181</v>
      </c>
      <c r="C63" s="228">
        <v>2095</v>
      </c>
      <c r="D63" s="228" t="s">
        <v>72</v>
      </c>
      <c r="E63" s="191" t="s">
        <v>52</v>
      </c>
      <c r="F63" s="191" t="s">
        <v>52</v>
      </c>
      <c r="G63" s="191" t="s">
        <v>52</v>
      </c>
      <c r="H63" s="191" t="s">
        <v>52</v>
      </c>
      <c r="I63" s="191" t="s">
        <v>4</v>
      </c>
      <c r="J63" s="191" t="s">
        <v>4</v>
      </c>
      <c r="K63" s="191" t="s">
        <v>4</v>
      </c>
      <c r="L63" s="191" t="s">
        <v>142</v>
      </c>
      <c r="M63" s="191" t="s">
        <v>142</v>
      </c>
      <c r="N63" s="191" t="s">
        <v>4</v>
      </c>
      <c r="O63" s="191" t="s">
        <v>52</v>
      </c>
      <c r="P63" s="191" t="s">
        <v>52</v>
      </c>
      <c r="Q63" s="191" t="s">
        <v>52</v>
      </c>
      <c r="R63" s="191" t="s">
        <v>52</v>
      </c>
      <c r="S63" s="191" t="s">
        <v>52</v>
      </c>
      <c r="T63" s="191" t="s">
        <v>52</v>
      </c>
      <c r="U63" s="191" t="s">
        <v>52</v>
      </c>
      <c r="V63" s="191" t="s">
        <v>52</v>
      </c>
      <c r="W63" s="191" t="s">
        <v>52</v>
      </c>
      <c r="X63" s="191" t="s">
        <v>52</v>
      </c>
      <c r="Y63" s="191" t="s">
        <v>52</v>
      </c>
      <c r="Z63" s="191" t="s">
        <v>142</v>
      </c>
      <c r="AA63" s="191" t="s">
        <v>142</v>
      </c>
      <c r="AB63" s="191" t="s">
        <v>4</v>
      </c>
      <c r="AC63" s="191" t="s">
        <v>4</v>
      </c>
      <c r="AD63" s="191" t="s">
        <v>4</v>
      </c>
      <c r="AE63" s="191" t="s">
        <v>4</v>
      </c>
      <c r="AF63" s="191" t="s">
        <v>4</v>
      </c>
      <c r="AG63" s="191" t="s">
        <v>142</v>
      </c>
      <c r="AH63" s="191" t="s">
        <v>142</v>
      </c>
      <c r="AI63" s="191" t="s">
        <v>4</v>
      </c>
      <c r="AJ63" s="213">
        <f>IFERROR(COUNTIF(E63:AI63,"=Р")+COUNTIF(E63:AI63,"=Р1")+COUNTIF(E63:AI63,"=ВЧ")+COUNTIF(E63:AI63,"=РН")+COUNTIF(E63:AI63,"=Р2")+COUNTIF(E63:AI63,"=Р1/РВ")+COUNTIF(E63:AI63,"=Р2/РВ")+COUNTIF(E63:AI63,"=ВЧ/РВ")+COUNTIF(E63:AI63,"=РН/РВ"),0)</f>
        <v>10</v>
      </c>
      <c r="AK63" s="202">
        <f>IFERROR(SUMIF(E63:AI63,"=Р2",E64:AI64)+SUMIF(E63:AI63,"=ВЧ/РВ",E64:AI64)+SUMIF(E63:AI63,"=РН/РВ",E64:AI64)+SUMIF(E63:AI63,"=Р1/РВ",E64:AI64)+SUMIF(E63:AI63,"=ВЧ2/РВ",E64:AI64)+SUMIF(E63:AI63,"=Р2/РВ",E64:AI64)+SUMIF(E63:AI63,"=Р",E64:AI64)+SUMIF(E63:AI63,"=Р1",E64:AI64)+SUMIF(E63:AI63,"=ВЧ1",E64:AI64)+SUMIF(E63:AI63,"=РН",E64:AI64)+SUMIF(E63:AI63,"=ВЧ",E64:AI64)+SUMIF(E63:AI63,"=НУ",E64:AI64),0)</f>
        <v>79.800000000000011</v>
      </c>
      <c r="AL63" s="202">
        <f>IFERROR(SUMIF(E63:AI63,"=НУ",E64:AI64),0)</f>
        <v>0</v>
      </c>
      <c r="AM63" s="202">
        <f>IFERROR(SUMIF(E63:AI63,"=РН",E64:AI64)+SUMIF(E63:AI63,"=РН/РВ",E64:AI64)+SUMIFS(E64:AI64,E63:AI63,"=Р2",E64:AI64,"=8"),0)</f>
        <v>0</v>
      </c>
      <c r="AN63" s="211">
        <f>IFERROR(SUMIF(E63:AI63,"=ВЧ",E64:AI64)+SUMIF(E63:AI63,"=ВЧ/РВ",E64:AI64)+CEILING(COUNTIFS(E63:AI63,"=Р2",E64:AI64,"=7")*4,1)+CEILING(COUNTIFS(E63:AI63,"=Р2/РВ",E64:AI64,"=7")*4,1)+SUMIFS(E64:AI64,E63:AI63,"=Р1/РВ",E64:AI64,"=12")/6+SUMIFS(E64:AI64,E63:AI63,"=ВЧ2/РВ",E64:AI64,"=4")/2+SUMIFS(E64:AI64,E63:AI63,"=Р1",E64:AI64,"=12")/6+SUMIFS(E64:AI64,E63:AI63,"=Р1",E64:AI64,"=8")/4+SUMIF(E63:AI63,"=ВЧ1",E64:AI64)/2,0)</f>
        <v>0</v>
      </c>
      <c r="AO63" s="202">
        <f>IFERROR(SUMIF(E63:AI63,"=РВ",E64:AI64)+SUMIF(E63:AI63,"=ВЧ/РВ",E64:AI64)+SUMIF(E63:AI63,"=РН/РВ",E64:AI64)+SUMIF(E63:AI63,"=Р1/РВ",E64:AI64)+SUMIF(E63:AI63,"=ВЧ2/РВ",E64:AI64)+SUMIF(E63:AI63,"=Р2/РВ",E64:AI64),0)</f>
        <v>0</v>
      </c>
      <c r="AP63" s="202">
        <f>IFERROR(COUNTIF(E63:AI63,"=ВВ")+COUNTIF(E63:AI63,"=Р1/ВВ")+COUNTIF(E63:AI63,"=РН/ВВ")+COUNTIF(E63:AI63,"=ВЧ/ВВ"),0)</f>
        <v>6</v>
      </c>
      <c r="AQ63" s="202">
        <f>SUM(AR63:AZ63)</f>
        <v>88.200000000000017</v>
      </c>
      <c r="AR63" s="202">
        <f>IFERROR(SUMIF(E63:AI63,"=В",E64:AI64)+SUMIF(E63:AI63,"=Ч",E64:AI64)+SUMIF(E63:AI63,"=ВБ",E64:AI64),0)</f>
        <v>0</v>
      </c>
      <c r="AS63" s="202">
        <f>IFERROR(SUMIF(E63:AI63,"=Н",E64:AI64),0)</f>
        <v>0</v>
      </c>
      <c r="AT63" s="202">
        <f>IFERROR(SUMIF(E63:AI63,"=НА",E64:AI64),0)</f>
        <v>0</v>
      </c>
      <c r="AU63" s="202">
        <f>IFERROR(SUMIF(E63:AI63,"=ВП",E64:AI64),0)</f>
        <v>0</v>
      </c>
      <c r="AV63" s="202">
        <f>IFERROR(SUMIF(E63:AI63,"=ДД",E64:AI64),0)</f>
        <v>0</v>
      </c>
      <c r="AW63" s="202">
        <f>IFERROR(SUMIF(E63:AI63,"=ДО",E64:AI64),0)</f>
        <v>0</v>
      </c>
      <c r="AX63" s="202">
        <f>IFERROR(SUMIF(E63:AI63,"=ТН",E64:AI64),0)</f>
        <v>88.200000000000017</v>
      </c>
      <c r="AY63" s="202">
        <f>IFERROR(SUMIF(E63:AI63,"=ВД",E64:AI64),0)</f>
        <v>0</v>
      </c>
      <c r="AZ63" s="200">
        <f>IFERROR(SUMIF(E63:AI63,"=ІН",E64:AI64),0)+SUMIF(E63:AI63,"=НЗ",E64:AI64)</f>
        <v>0</v>
      </c>
    </row>
    <row r="64" spans="1:52" ht="20.100000000000001" customHeight="1" thickBot="1" x14ac:dyDescent="0.25">
      <c r="A64" s="290"/>
      <c r="B64" s="229"/>
      <c r="C64" s="229"/>
      <c r="D64" s="229"/>
      <c r="E64" s="192"/>
      <c r="F64" s="192"/>
      <c r="G64" s="192">
        <v>8.1999999999999993</v>
      </c>
      <c r="H64" s="192">
        <v>8.1999999999999993</v>
      </c>
      <c r="I64" s="192">
        <v>8.1999999999999993</v>
      </c>
      <c r="J64" s="192">
        <v>8.1999999999999993</v>
      </c>
      <c r="K64" s="192">
        <v>7</v>
      </c>
      <c r="L64" s="192"/>
      <c r="M64" s="192"/>
      <c r="N64" s="192">
        <v>8.1999999999999993</v>
      </c>
      <c r="O64" s="192">
        <v>8.1999999999999993</v>
      </c>
      <c r="P64" s="192">
        <v>8.1999999999999993</v>
      </c>
      <c r="Q64" s="192">
        <v>8.1999999999999993</v>
      </c>
      <c r="R64" s="192">
        <v>7.2</v>
      </c>
      <c r="S64" s="192"/>
      <c r="T64" s="192"/>
      <c r="U64" s="192">
        <v>8.1999999999999993</v>
      </c>
      <c r="V64" s="192">
        <v>8.1999999999999993</v>
      </c>
      <c r="W64" s="192">
        <v>8.1999999999999993</v>
      </c>
      <c r="X64" s="192">
        <v>8.1999999999999993</v>
      </c>
      <c r="Y64" s="192">
        <v>7.2</v>
      </c>
      <c r="Z64" s="192"/>
      <c r="AA64" s="192"/>
      <c r="AB64" s="192">
        <v>8.1999999999999993</v>
      </c>
      <c r="AC64" s="192">
        <v>8.1999999999999993</v>
      </c>
      <c r="AD64" s="192">
        <v>8.1999999999999993</v>
      </c>
      <c r="AE64" s="192">
        <v>8.1999999999999993</v>
      </c>
      <c r="AF64" s="192">
        <v>7.2</v>
      </c>
      <c r="AG64" s="192"/>
      <c r="AH64" s="192"/>
      <c r="AI64" s="192">
        <v>8.1999999999999993</v>
      </c>
      <c r="AJ64" s="214"/>
      <c r="AK64" s="203"/>
      <c r="AL64" s="203"/>
      <c r="AM64" s="203"/>
      <c r="AN64" s="212"/>
      <c r="AO64" s="203"/>
      <c r="AP64" s="203"/>
      <c r="AQ64" s="203"/>
      <c r="AR64" s="203"/>
      <c r="AS64" s="203"/>
      <c r="AT64" s="203"/>
      <c r="AU64" s="203"/>
      <c r="AV64" s="203"/>
      <c r="AW64" s="203"/>
      <c r="AX64" s="203"/>
      <c r="AY64" s="203"/>
      <c r="AZ64" s="201"/>
    </row>
    <row r="65" spans="1:52" ht="16.5" customHeight="1" x14ac:dyDescent="0.2">
      <c r="A65" s="289">
        <f t="shared" ref="A65" si="22">A63+1</f>
        <v>25</v>
      </c>
      <c r="B65" s="228" t="s">
        <v>182</v>
      </c>
      <c r="C65" s="228">
        <v>96</v>
      </c>
      <c r="D65" s="228" t="s">
        <v>72</v>
      </c>
      <c r="E65" s="191" t="s">
        <v>142</v>
      </c>
      <c r="F65" s="191" t="s">
        <v>142</v>
      </c>
      <c r="G65" s="191" t="s">
        <v>4</v>
      </c>
      <c r="H65" s="191" t="s">
        <v>4</v>
      </c>
      <c r="I65" s="191" t="s">
        <v>4</v>
      </c>
      <c r="J65" s="191" t="s">
        <v>4</v>
      </c>
      <c r="K65" s="191" t="s">
        <v>4</v>
      </c>
      <c r="L65" s="191" t="s">
        <v>142</v>
      </c>
      <c r="M65" s="191" t="s">
        <v>142</v>
      </c>
      <c r="N65" s="191" t="s">
        <v>4</v>
      </c>
      <c r="O65" s="191" t="s">
        <v>4</v>
      </c>
      <c r="P65" s="191" t="s">
        <v>4</v>
      </c>
      <c r="Q65" s="191" t="s">
        <v>4</v>
      </c>
      <c r="R65" s="191" t="s">
        <v>4</v>
      </c>
      <c r="S65" s="191" t="s">
        <v>142</v>
      </c>
      <c r="T65" s="191" t="s">
        <v>142</v>
      </c>
      <c r="U65" s="191" t="s">
        <v>4</v>
      </c>
      <c r="V65" s="191" t="s">
        <v>4</v>
      </c>
      <c r="W65" s="191" t="s">
        <v>4</v>
      </c>
      <c r="X65" s="191" t="s">
        <v>4</v>
      </c>
      <c r="Y65" s="191" t="s">
        <v>4</v>
      </c>
      <c r="Z65" s="191" t="s">
        <v>142</v>
      </c>
      <c r="AA65" s="191" t="s">
        <v>142</v>
      </c>
      <c r="AB65" s="191" t="s">
        <v>4</v>
      </c>
      <c r="AC65" s="191" t="s">
        <v>4</v>
      </c>
      <c r="AD65" s="191" t="s">
        <v>4</v>
      </c>
      <c r="AE65" s="191" t="s">
        <v>4</v>
      </c>
      <c r="AF65" s="191" t="s">
        <v>4</v>
      </c>
      <c r="AG65" s="191" t="s">
        <v>142</v>
      </c>
      <c r="AH65" s="191" t="s">
        <v>142</v>
      </c>
      <c r="AI65" s="191" t="s">
        <v>4</v>
      </c>
      <c r="AJ65" s="213">
        <f>IFERROR(COUNTIF(E65:AI65,"=Р")+COUNTIF(E65:AI65,"=Р1")+COUNTIF(E65:AI65,"=ВЧ")+COUNTIF(E65:AI65,"=РН")+COUNTIF(E65:AI65,"=Р2")+COUNTIF(E65:AI65,"=Р1/РВ")+COUNTIF(E65:AI65,"=Р2/РВ")+COUNTIF(E65:AI65,"=ВЧ/РВ")+COUNTIF(E65:AI65,"=РН/РВ"),0)</f>
        <v>21</v>
      </c>
      <c r="AK65" s="202">
        <f>IFERROR(SUMIF(E65:AI65,"=Р2",E66:AI66)+SUMIF(E65:AI65,"=ВЧ/РВ",E66:AI66)+SUMIF(E65:AI65,"=РН/РВ",E66:AI66)+SUMIF(E65:AI65,"=Р1/РВ",E66:AI66)+SUMIF(E65:AI65,"=ВЧ2/РВ",E66:AI66)+SUMIF(E65:AI65,"=Р2/РВ",E66:AI66)+SUMIF(E65:AI65,"=Р",E66:AI66)+SUMIF(E65:AI65,"=Р1",E66:AI66)+SUMIF(E65:AI65,"=ВЧ1",E66:AI66)+SUMIF(E65:AI65,"=РН",E66:AI66)+SUMIF(E65:AI65,"=ВЧ",E66:AI66)+SUMIF(E65:AI65,"=НУ",E66:AI66),0)</f>
        <v>167.99999999999997</v>
      </c>
      <c r="AL65" s="202">
        <f>IFERROR(SUMIF(E65:AI65,"=НУ",E66:AI66),0)</f>
        <v>0</v>
      </c>
      <c r="AM65" s="202">
        <f>IFERROR(SUMIF(E65:AI65,"=РН",E66:AI66)+SUMIF(E65:AI65,"=РН/РВ",E66:AI66)+SUMIFS(E66:AI66,E65:AI65,"=Р2",E66:AI66,"=8"),0)</f>
        <v>0</v>
      </c>
      <c r="AN65" s="211">
        <f>IFERROR(SUMIF(E65:AI65,"=ВЧ",E66:AI66)+SUMIF(E65:AI65,"=ВЧ/РВ",E66:AI66)+CEILING(COUNTIFS(E65:AI65,"=Р2",E66:AI66,"=7")*4,1)+CEILING(COUNTIFS(E65:AI65,"=Р2/РВ",E66:AI66,"=7")*4,1)+SUMIFS(E66:AI66,E65:AI65,"=Р1/РВ",E66:AI66,"=12")/6+SUMIFS(E66:AI66,E65:AI65,"=ВЧ2/РВ",E66:AI66,"=4")/2+SUMIFS(E66:AI66,E65:AI65,"=Р1",E66:AI66,"=12")/6+SUMIFS(E66:AI66,E65:AI65,"=Р1",E66:AI66,"=8")/4+SUMIF(E65:AI65,"=ВЧ1",E66:AI66)/2,0)</f>
        <v>0</v>
      </c>
      <c r="AO65" s="202">
        <f>IFERROR(SUMIF(E65:AI65,"=РВ",E66:AI66)+SUMIF(E65:AI65,"=ВЧ/РВ",E66:AI66)+SUMIF(E65:AI65,"=РН/РВ",E66:AI66)+SUMIF(E65:AI65,"=Р1/РВ",E66:AI66)+SUMIF(E65:AI65,"=ВЧ2/РВ",E66:AI66)+SUMIF(E65:AI65,"=Р2/РВ",E66:AI66),0)</f>
        <v>0</v>
      </c>
      <c r="AP65" s="202">
        <f>IFERROR(COUNTIF(E65:AI65,"=ВВ")+COUNTIF(E65:AI65,"=Р1/ВВ")+COUNTIF(E65:AI65,"=РН/ВВ")+COUNTIF(E65:AI65,"=ВЧ/ВВ"),0)</f>
        <v>10</v>
      </c>
      <c r="AQ65" s="202">
        <f>SUM(AR65:AZ65)</f>
        <v>0</v>
      </c>
      <c r="AR65" s="202">
        <f>IFERROR(SUMIF(E65:AI65,"=В",E66:AI66)+SUMIF(E65:AI65,"=Ч",E66:AI66)+SUMIF(E65:AI65,"=ВБ",E66:AI66),0)</f>
        <v>0</v>
      </c>
      <c r="AS65" s="202">
        <f>IFERROR(SUMIF(E65:AI65,"=Н",E66:AI66),0)</f>
        <v>0</v>
      </c>
      <c r="AT65" s="202">
        <f>IFERROR(SUMIF(E65:AI65,"=НА",E66:AI66),0)</f>
        <v>0</v>
      </c>
      <c r="AU65" s="202">
        <f>IFERROR(SUMIF(E65:AI65,"=ВП",E66:AI66),0)</f>
        <v>0</v>
      </c>
      <c r="AV65" s="202">
        <f>IFERROR(SUMIF(E65:AI65,"=ДД",E66:AI66),0)</f>
        <v>0</v>
      </c>
      <c r="AW65" s="202">
        <f>IFERROR(SUMIF(E65:AI65,"=ДО",E66:AI66),0)</f>
        <v>0</v>
      </c>
      <c r="AX65" s="202">
        <f>IFERROR(SUMIF(E65:AI65,"=ТН",E66:AI66),0)</f>
        <v>0</v>
      </c>
      <c r="AY65" s="202">
        <f>IFERROR(SUMIF(E65:AI65,"=ВД",E66:AI66),0)</f>
        <v>0</v>
      </c>
      <c r="AZ65" s="200">
        <f>IFERROR(SUMIF(E65:AI65,"=ІН",E66:AI66),0)+SUMIF(E65:AI65,"=НЗ",E66:AI66)</f>
        <v>0</v>
      </c>
    </row>
    <row r="66" spans="1:52" ht="20.100000000000001" customHeight="1" thickBot="1" x14ac:dyDescent="0.25">
      <c r="A66" s="290"/>
      <c r="B66" s="229"/>
      <c r="C66" s="229"/>
      <c r="D66" s="229"/>
      <c r="E66" s="192"/>
      <c r="F66" s="192"/>
      <c r="G66" s="192">
        <v>8.1999999999999993</v>
      </c>
      <c r="H66" s="192">
        <v>8.1999999999999993</v>
      </c>
      <c r="I66" s="192">
        <v>8.1999999999999993</v>
      </c>
      <c r="J66" s="192">
        <v>8.1999999999999993</v>
      </c>
      <c r="K66" s="192">
        <v>7</v>
      </c>
      <c r="L66" s="192"/>
      <c r="M66" s="192"/>
      <c r="N66" s="192">
        <v>8.1999999999999993</v>
      </c>
      <c r="O66" s="192">
        <v>8.1999999999999993</v>
      </c>
      <c r="P66" s="192">
        <v>8.1999999999999993</v>
      </c>
      <c r="Q66" s="192">
        <v>8.1999999999999993</v>
      </c>
      <c r="R66" s="192">
        <v>7.2</v>
      </c>
      <c r="S66" s="192"/>
      <c r="T66" s="192"/>
      <c r="U66" s="192">
        <v>8.1999999999999993</v>
      </c>
      <c r="V66" s="192">
        <v>8.1999999999999993</v>
      </c>
      <c r="W66" s="192">
        <v>8.1999999999999993</v>
      </c>
      <c r="X66" s="192">
        <v>8.1999999999999993</v>
      </c>
      <c r="Y66" s="192">
        <v>7.2</v>
      </c>
      <c r="Z66" s="192"/>
      <c r="AA66" s="192"/>
      <c r="AB66" s="192">
        <v>8.1999999999999993</v>
      </c>
      <c r="AC66" s="192">
        <v>8.1999999999999993</v>
      </c>
      <c r="AD66" s="192">
        <v>8.1999999999999993</v>
      </c>
      <c r="AE66" s="192">
        <v>8.1999999999999993</v>
      </c>
      <c r="AF66" s="192">
        <v>7.2</v>
      </c>
      <c r="AG66" s="192"/>
      <c r="AH66" s="192"/>
      <c r="AI66" s="192">
        <v>8.1999999999999993</v>
      </c>
      <c r="AJ66" s="214"/>
      <c r="AK66" s="203"/>
      <c r="AL66" s="203"/>
      <c r="AM66" s="203"/>
      <c r="AN66" s="212"/>
      <c r="AO66" s="203"/>
      <c r="AP66" s="203"/>
      <c r="AQ66" s="203"/>
      <c r="AR66" s="203"/>
      <c r="AS66" s="203"/>
      <c r="AT66" s="203"/>
      <c r="AU66" s="203"/>
      <c r="AV66" s="203"/>
      <c r="AW66" s="203"/>
      <c r="AX66" s="203"/>
      <c r="AY66" s="203"/>
      <c r="AZ66" s="201"/>
    </row>
    <row r="67" spans="1:52" ht="18" customHeight="1" x14ac:dyDescent="0.2">
      <c r="A67" s="289">
        <f t="shared" ref="A67" si="23">A65+1</f>
        <v>26</v>
      </c>
      <c r="B67" s="228" t="s">
        <v>183</v>
      </c>
      <c r="C67" s="228">
        <v>2129</v>
      </c>
      <c r="D67" s="228" t="s">
        <v>72</v>
      </c>
      <c r="E67" s="191" t="s">
        <v>142</v>
      </c>
      <c r="F67" s="191" t="s">
        <v>142</v>
      </c>
      <c r="G67" s="191" t="s">
        <v>4</v>
      </c>
      <c r="H67" s="191" t="s">
        <v>4</v>
      </c>
      <c r="I67" s="191" t="s">
        <v>4</v>
      </c>
      <c r="J67" s="191" t="s">
        <v>4</v>
      </c>
      <c r="K67" s="191" t="s">
        <v>4</v>
      </c>
      <c r="L67" s="191" t="s">
        <v>142</v>
      </c>
      <c r="M67" s="191" t="s">
        <v>142</v>
      </c>
      <c r="N67" s="191" t="s">
        <v>4</v>
      </c>
      <c r="O67" s="191" t="s">
        <v>4</v>
      </c>
      <c r="P67" s="191" t="s">
        <v>4</v>
      </c>
      <c r="Q67" s="191" t="s">
        <v>4</v>
      </c>
      <c r="R67" s="191" t="s">
        <v>4</v>
      </c>
      <c r="S67" s="191" t="s">
        <v>142</v>
      </c>
      <c r="T67" s="191" t="s">
        <v>142</v>
      </c>
      <c r="U67" s="191" t="s">
        <v>4</v>
      </c>
      <c r="V67" s="191" t="s">
        <v>4</v>
      </c>
      <c r="W67" s="191" t="s">
        <v>4</v>
      </c>
      <c r="X67" s="191" t="s">
        <v>4</v>
      </c>
      <c r="Y67" s="191" t="s">
        <v>4</v>
      </c>
      <c r="Z67" s="191" t="s">
        <v>142</v>
      </c>
      <c r="AA67" s="191" t="s">
        <v>142</v>
      </c>
      <c r="AB67" s="191" t="s">
        <v>4</v>
      </c>
      <c r="AC67" s="191" t="s">
        <v>4</v>
      </c>
      <c r="AD67" s="191" t="s">
        <v>4</v>
      </c>
      <c r="AE67" s="191" t="s">
        <v>4</v>
      </c>
      <c r="AF67" s="191" t="s">
        <v>4</v>
      </c>
      <c r="AG67" s="191" t="s">
        <v>142</v>
      </c>
      <c r="AH67" s="191" t="s">
        <v>142</v>
      </c>
      <c r="AI67" s="191" t="s">
        <v>4</v>
      </c>
      <c r="AJ67" s="213">
        <f>IFERROR(COUNTIF(E67:AI67,"=Р")+COUNTIF(E67:AI67,"=Р1")+COUNTIF(E67:AI67,"=ВЧ")+COUNTIF(E67:AI67,"=РН")+COUNTIF(E67:AI67,"=Р2")+COUNTIF(E67:AI67,"=Р1/РВ")+COUNTIF(E67:AI67,"=Р2/РВ")+COUNTIF(E67:AI67,"=ВЧ/РВ")+COUNTIF(E67:AI67,"=РН/РВ"),0)</f>
        <v>21</v>
      </c>
      <c r="AK67" s="202">
        <f>IFERROR(SUMIF(E67:AI67,"=Р2",E68:AI68)+SUMIF(E67:AI67,"=ВЧ/РВ",E68:AI68)+SUMIF(E67:AI67,"=РН/РВ",E68:AI68)+SUMIF(E67:AI67,"=Р1/РВ",E68:AI68)+SUMIF(E67:AI67,"=ВЧ2/РВ",E68:AI68)+SUMIF(E67:AI67,"=Р2/РВ",E68:AI68)+SUMIF(E67:AI67,"=Р",E68:AI68)+SUMIF(E67:AI67,"=Р1",E68:AI68)+SUMIF(E67:AI67,"=ВЧ1",E68:AI68)+SUMIF(E67:AI67,"=РН",E68:AI68)+SUMIF(E67:AI67,"=ВЧ",E68:AI68)+SUMIF(E67:AI67,"=НУ",E68:AI68),0)</f>
        <v>167.99999999999997</v>
      </c>
      <c r="AL67" s="202">
        <f>IFERROR(SUMIF(E67:AI67,"=НУ",E68:AI68),0)</f>
        <v>0</v>
      </c>
      <c r="AM67" s="202">
        <f>IFERROR(SUMIF(E67:AI67,"=РН",E68:AI68)+SUMIF(E67:AI67,"=РН/РВ",E68:AI68)+SUMIFS(E68:AI68,E67:AI67,"=Р2",E68:AI68,"=8"),0)</f>
        <v>0</v>
      </c>
      <c r="AN67" s="211">
        <f>IFERROR(SUMIF(E67:AI67,"=ВЧ",E68:AI68)+SUMIF(E67:AI67,"=ВЧ/РВ",E68:AI68)+CEILING(COUNTIFS(E67:AI67,"=Р2",E68:AI68,"=7")*4,1)+CEILING(COUNTIFS(E67:AI67,"=Р2/РВ",E68:AI68,"=7")*4,1)+SUMIFS(E68:AI68,E67:AI67,"=Р1/РВ",E68:AI68,"=12")/6+SUMIFS(E68:AI68,E67:AI67,"=ВЧ2/РВ",E68:AI68,"=4")/2+SUMIFS(E68:AI68,E67:AI67,"=Р1",E68:AI68,"=12")/6+SUMIFS(E68:AI68,E67:AI67,"=Р1",E68:AI68,"=8")/4+SUMIF(E67:AI67,"=ВЧ1",E68:AI68)/2,0)</f>
        <v>0</v>
      </c>
      <c r="AO67" s="202">
        <f>IFERROR(SUMIF(E67:AI67,"=РВ",E68:AI68)+SUMIF(E67:AI67,"=ВЧ/РВ",E68:AI68)+SUMIF(E67:AI67,"=РН/РВ",E68:AI68)+SUMIF(E67:AI67,"=Р1/РВ",E68:AI68)+SUMIF(E67:AI67,"=ВЧ2/РВ",E68:AI68)+SUMIF(E67:AI67,"=Р2/РВ",E68:AI68),0)</f>
        <v>0</v>
      </c>
      <c r="AP67" s="202">
        <f>IFERROR(COUNTIF(E67:AI67,"=ВВ")+COUNTIF(E67:AI67,"=Р1/ВВ")+COUNTIF(E67:AI67,"=РН/ВВ")+COUNTIF(E67:AI67,"=ВЧ/ВВ"),0)</f>
        <v>10</v>
      </c>
      <c r="AQ67" s="202">
        <f>SUM(AR67:AZ67)</f>
        <v>0</v>
      </c>
      <c r="AR67" s="202">
        <f>IFERROR(SUMIF(E67:AI67,"=В",E68:AI68)+SUMIF(E67:AI67,"=Ч",E68:AI68)+SUMIF(E67:AI67,"=ВБ",E68:AI68),0)</f>
        <v>0</v>
      </c>
      <c r="AS67" s="202">
        <f>IFERROR(SUMIF(E67:AI67,"=Н",E68:AI68),0)</f>
        <v>0</v>
      </c>
      <c r="AT67" s="202">
        <f>IFERROR(SUMIF(E67:AI67,"=НА",E68:AI68),0)</f>
        <v>0</v>
      </c>
      <c r="AU67" s="202">
        <f>IFERROR(SUMIF(E67:AI67,"=ВП",E68:AI68),0)</f>
        <v>0</v>
      </c>
      <c r="AV67" s="202">
        <f>IFERROR(SUMIF(E67:AI67,"=ДД",E68:AI68),0)</f>
        <v>0</v>
      </c>
      <c r="AW67" s="202">
        <f>IFERROR(SUMIF(E67:AI67,"=ДО",E68:AI68),0)</f>
        <v>0</v>
      </c>
      <c r="AX67" s="202">
        <f>IFERROR(SUMIF(E67:AI67,"=ТН",E68:AI68),0)</f>
        <v>0</v>
      </c>
      <c r="AY67" s="202">
        <f>IFERROR(SUMIF(E67:AI67,"=ВД",E68:AI68),0)</f>
        <v>0</v>
      </c>
      <c r="AZ67" s="200">
        <f>IFERROR(SUMIF(E67:AI67,"=ІН",E68:AI68),0)+SUMIF(E67:AI67,"=НЗ",E68:AI68)</f>
        <v>0</v>
      </c>
    </row>
    <row r="68" spans="1:52" ht="20.100000000000001" customHeight="1" thickBot="1" x14ac:dyDescent="0.25">
      <c r="A68" s="290"/>
      <c r="B68" s="229"/>
      <c r="C68" s="229"/>
      <c r="D68" s="229"/>
      <c r="E68" s="192"/>
      <c r="F68" s="192"/>
      <c r="G68" s="192">
        <v>8.1999999999999993</v>
      </c>
      <c r="H68" s="192">
        <v>8.1999999999999993</v>
      </c>
      <c r="I68" s="192">
        <v>8.1999999999999993</v>
      </c>
      <c r="J68" s="192">
        <v>8.1999999999999993</v>
      </c>
      <c r="K68" s="192">
        <v>7</v>
      </c>
      <c r="L68" s="192"/>
      <c r="M68" s="192"/>
      <c r="N68" s="192">
        <v>8.1999999999999993</v>
      </c>
      <c r="O68" s="192">
        <v>8.1999999999999993</v>
      </c>
      <c r="P68" s="192">
        <v>8.1999999999999993</v>
      </c>
      <c r="Q68" s="192">
        <v>8.1999999999999993</v>
      </c>
      <c r="R68" s="192">
        <v>7.2</v>
      </c>
      <c r="S68" s="192"/>
      <c r="T68" s="192"/>
      <c r="U68" s="192">
        <v>8.1999999999999993</v>
      </c>
      <c r="V68" s="192">
        <v>8.1999999999999993</v>
      </c>
      <c r="W68" s="192">
        <v>8.1999999999999993</v>
      </c>
      <c r="X68" s="192">
        <v>8.1999999999999993</v>
      </c>
      <c r="Y68" s="192">
        <v>7.2</v>
      </c>
      <c r="Z68" s="192"/>
      <c r="AA68" s="192"/>
      <c r="AB68" s="192">
        <v>8.1999999999999993</v>
      </c>
      <c r="AC68" s="192">
        <v>8.1999999999999993</v>
      </c>
      <c r="AD68" s="192">
        <v>8.1999999999999993</v>
      </c>
      <c r="AE68" s="192">
        <v>8.1999999999999993</v>
      </c>
      <c r="AF68" s="192">
        <v>7.2</v>
      </c>
      <c r="AG68" s="192"/>
      <c r="AH68" s="192"/>
      <c r="AI68" s="192">
        <v>8.1999999999999993</v>
      </c>
      <c r="AJ68" s="214"/>
      <c r="AK68" s="203"/>
      <c r="AL68" s="203"/>
      <c r="AM68" s="203"/>
      <c r="AN68" s="212"/>
      <c r="AO68" s="203"/>
      <c r="AP68" s="203"/>
      <c r="AQ68" s="203"/>
      <c r="AR68" s="203"/>
      <c r="AS68" s="203"/>
      <c r="AT68" s="203"/>
      <c r="AU68" s="203"/>
      <c r="AV68" s="203"/>
      <c r="AW68" s="203"/>
      <c r="AX68" s="203"/>
      <c r="AY68" s="203"/>
      <c r="AZ68" s="201"/>
    </row>
    <row r="69" spans="1:52" ht="20.100000000000001" customHeight="1" x14ac:dyDescent="0.2">
      <c r="A69" s="289">
        <f t="shared" ref="A69" si="24">A67+1</f>
        <v>27</v>
      </c>
      <c r="B69" s="228" t="s">
        <v>184</v>
      </c>
      <c r="C69" s="228">
        <v>2082</v>
      </c>
      <c r="D69" s="228" t="s">
        <v>65</v>
      </c>
      <c r="E69" s="191" t="s">
        <v>142</v>
      </c>
      <c r="F69" s="191" t="s">
        <v>142</v>
      </c>
      <c r="G69" s="191" t="s">
        <v>4</v>
      </c>
      <c r="H69" s="191" t="s">
        <v>4</v>
      </c>
      <c r="I69" s="191" t="s">
        <v>4</v>
      </c>
      <c r="J69" s="191" t="s">
        <v>4</v>
      </c>
      <c r="K69" s="191" t="s">
        <v>4</v>
      </c>
      <c r="L69" s="191" t="s">
        <v>142</v>
      </c>
      <c r="M69" s="191" t="s">
        <v>142</v>
      </c>
      <c r="N69" s="191" t="s">
        <v>4</v>
      </c>
      <c r="O69" s="191" t="s">
        <v>4</v>
      </c>
      <c r="P69" s="191" t="s">
        <v>4</v>
      </c>
      <c r="Q69" s="191" t="s">
        <v>4</v>
      </c>
      <c r="R69" s="191" t="s">
        <v>4</v>
      </c>
      <c r="S69" s="191" t="s">
        <v>142</v>
      </c>
      <c r="T69" s="191" t="s">
        <v>142</v>
      </c>
      <c r="U69" s="191" t="s">
        <v>52</v>
      </c>
      <c r="V69" s="191" t="s">
        <v>52</v>
      </c>
      <c r="W69" s="191" t="s">
        <v>52</v>
      </c>
      <c r="X69" s="191" t="s">
        <v>52</v>
      </c>
      <c r="Y69" s="191" t="s">
        <v>52</v>
      </c>
      <c r="Z69" s="191" t="s">
        <v>142</v>
      </c>
      <c r="AA69" s="191" t="s">
        <v>142</v>
      </c>
      <c r="AB69" s="191" t="s">
        <v>4</v>
      </c>
      <c r="AC69" s="191" t="s">
        <v>4</v>
      </c>
      <c r="AD69" s="191" t="s">
        <v>4</v>
      </c>
      <c r="AE69" s="191" t="s">
        <v>4</v>
      </c>
      <c r="AF69" s="191" t="s">
        <v>4</v>
      </c>
      <c r="AG69" s="191" t="s">
        <v>142</v>
      </c>
      <c r="AH69" s="191" t="s">
        <v>142</v>
      </c>
      <c r="AI69" s="191" t="s">
        <v>4</v>
      </c>
      <c r="AJ69" s="213">
        <f>IFERROR(COUNTIF(E69:AI69,"=Р")+COUNTIF(E69:AI69,"=Р1")+COUNTIF(E69:AI69,"=ВЧ")+COUNTIF(E69:AI69,"=РН")+COUNTIF(E69:AI69,"=Р2")+COUNTIF(E69:AI69,"=Р1/РВ")+COUNTIF(E69:AI69,"=Р2/РВ")+COUNTIF(E69:AI69,"=ВЧ/РВ")+COUNTIF(E69:AI69,"=РН/РВ"),0)</f>
        <v>16</v>
      </c>
      <c r="AK69" s="202">
        <f>IFERROR(SUMIF(E69:AI69,"=Р2",E70:AI70)+SUMIF(E69:AI69,"=ВЧ/РВ",E70:AI70)+SUMIF(E69:AI69,"=РН/РВ",E70:AI70)+SUMIF(E69:AI69,"=Р1/РВ",E70:AI70)+SUMIF(E69:AI69,"=ВЧ2/РВ",E70:AI70)+SUMIF(E69:AI69,"=Р2/РВ",E70:AI70)+SUMIF(E69:AI69,"=Р",E70:AI70)+SUMIF(E69:AI69,"=Р1",E70:AI70)+SUMIF(E69:AI69,"=ВЧ1",E70:AI70)+SUMIF(E69:AI69,"=РН",E70:AI70)+SUMIF(E69:AI69,"=ВЧ",E70:AI70)+SUMIF(E69:AI69,"=НУ",E70:AI70),0)</f>
        <v>128.00000000000003</v>
      </c>
      <c r="AL69" s="202">
        <f>IFERROR(SUMIF(E69:AI69,"=НУ",E70:AI70),0)</f>
        <v>0</v>
      </c>
      <c r="AM69" s="202">
        <f>IFERROR(SUMIF(E69:AI69,"=РН",E70:AI70)+SUMIF(E69:AI69,"=РН/РВ",E70:AI70)+SUMIFS(E70:AI70,E69:AI69,"=Р2",E70:AI70,"=8"),0)</f>
        <v>0</v>
      </c>
      <c r="AN69" s="211">
        <f>IFERROR(SUMIF(E69:AI69,"=ВЧ",E70:AI70)+SUMIF(E69:AI69,"=ВЧ/РВ",E70:AI70)+CEILING(COUNTIFS(E69:AI69,"=Р2",E70:AI70,"=7")*4,1)+CEILING(COUNTIFS(E69:AI69,"=Р2/РВ",E70:AI70,"=7")*4,1)+SUMIFS(E70:AI70,E69:AI69,"=Р1/РВ",E70:AI70,"=12")/6+SUMIFS(E70:AI70,E69:AI69,"=ВЧ2/РВ",E70:AI70,"=4")/2+SUMIFS(E70:AI70,E69:AI69,"=Р1",E70:AI70,"=12")/6+SUMIFS(E70:AI70,E69:AI69,"=Р1",E70:AI70,"=8")/4+SUMIF(E69:AI69,"=ВЧ1",E70:AI70)/2,0)</f>
        <v>0</v>
      </c>
      <c r="AO69" s="202">
        <f>IFERROR(SUMIF(E69:AI69,"=РВ",E70:AI70)+SUMIF(E69:AI69,"=ВЧ/РВ",E70:AI70)+SUMIF(E69:AI69,"=РН/РВ",E70:AI70)+SUMIF(E69:AI69,"=Р1/РВ",E70:AI70)+SUMIF(E69:AI69,"=ВЧ2/РВ",E70:AI70)+SUMIF(E69:AI69,"=Р2/РВ",E70:AI70),0)</f>
        <v>0</v>
      </c>
      <c r="AP69" s="202">
        <f>IFERROR(COUNTIF(E69:AI69,"=ВВ")+COUNTIF(E69:AI69,"=Р1/ВВ")+COUNTIF(E69:AI69,"=РН/ВВ")+COUNTIF(E69:AI69,"=ВЧ/ВВ"),0)</f>
        <v>10</v>
      </c>
      <c r="AQ69" s="202">
        <f>SUM(AR69:AZ69)</f>
        <v>40</v>
      </c>
      <c r="AR69" s="202">
        <f>IFERROR(SUMIF(E69:AI69,"=В",E70:AI70)+SUMIF(E69:AI69,"=Ч",E70:AI70)+SUMIF(E69:AI69,"=ВБ",E70:AI70),0)</f>
        <v>0</v>
      </c>
      <c r="AS69" s="202">
        <f>IFERROR(SUMIF(E69:AI69,"=Н",E70:AI70),0)</f>
        <v>0</v>
      </c>
      <c r="AT69" s="202">
        <f>IFERROR(SUMIF(E69:AI69,"=НА",E70:AI70),0)</f>
        <v>0</v>
      </c>
      <c r="AU69" s="202">
        <f>IFERROR(SUMIF(E69:AI69,"=ВП",E70:AI70),0)</f>
        <v>0</v>
      </c>
      <c r="AV69" s="202">
        <f>IFERROR(SUMIF(E69:AI69,"=ДД",E70:AI70),0)</f>
        <v>0</v>
      </c>
      <c r="AW69" s="202">
        <f>IFERROR(SUMIF(E69:AI69,"=ДО",E70:AI70),0)</f>
        <v>0</v>
      </c>
      <c r="AX69" s="202">
        <f>IFERROR(SUMIF(E69:AI69,"=ТН",E70:AI70),0)</f>
        <v>40</v>
      </c>
      <c r="AY69" s="202">
        <f>IFERROR(SUMIF(E69:AI69,"=ВД",E70:AI70),0)</f>
        <v>0</v>
      </c>
      <c r="AZ69" s="200">
        <f>IFERROR(SUMIF(E69:AI69,"=ІН",E70:AI70),0)+SUMIF(E69:AI69,"=НЗ",E70:AI70)</f>
        <v>0</v>
      </c>
    </row>
    <row r="70" spans="1:52" ht="20.100000000000001" customHeight="1" thickBot="1" x14ac:dyDescent="0.25">
      <c r="A70" s="290"/>
      <c r="B70" s="229"/>
      <c r="C70" s="229"/>
      <c r="D70" s="229"/>
      <c r="E70" s="192"/>
      <c r="F70" s="192"/>
      <c r="G70" s="192">
        <v>8.1999999999999993</v>
      </c>
      <c r="H70" s="192">
        <v>8.1999999999999993</v>
      </c>
      <c r="I70" s="192">
        <v>8.1999999999999993</v>
      </c>
      <c r="J70" s="192">
        <v>8.1999999999999993</v>
      </c>
      <c r="K70" s="192">
        <v>7</v>
      </c>
      <c r="L70" s="192"/>
      <c r="M70" s="192"/>
      <c r="N70" s="192">
        <v>8.1999999999999993</v>
      </c>
      <c r="O70" s="192">
        <v>8.1999999999999993</v>
      </c>
      <c r="P70" s="192">
        <v>8.1999999999999993</v>
      </c>
      <c r="Q70" s="192">
        <v>8.1999999999999993</v>
      </c>
      <c r="R70" s="192">
        <v>7.2</v>
      </c>
      <c r="S70" s="192"/>
      <c r="T70" s="192"/>
      <c r="U70" s="192">
        <v>8.1999999999999993</v>
      </c>
      <c r="V70" s="192">
        <v>8.1999999999999993</v>
      </c>
      <c r="W70" s="192">
        <v>8.1999999999999993</v>
      </c>
      <c r="X70" s="192">
        <v>8.1999999999999993</v>
      </c>
      <c r="Y70" s="192">
        <v>7.2</v>
      </c>
      <c r="Z70" s="192"/>
      <c r="AA70" s="192"/>
      <c r="AB70" s="192">
        <v>8.1999999999999993</v>
      </c>
      <c r="AC70" s="192">
        <v>8.1999999999999993</v>
      </c>
      <c r="AD70" s="192">
        <v>8.1999999999999993</v>
      </c>
      <c r="AE70" s="192">
        <v>8.1999999999999993</v>
      </c>
      <c r="AF70" s="192">
        <v>7.2</v>
      </c>
      <c r="AG70" s="192"/>
      <c r="AH70" s="192"/>
      <c r="AI70" s="192">
        <v>8.1999999999999993</v>
      </c>
      <c r="AJ70" s="214"/>
      <c r="AK70" s="203"/>
      <c r="AL70" s="203"/>
      <c r="AM70" s="203"/>
      <c r="AN70" s="212"/>
      <c r="AO70" s="203"/>
      <c r="AP70" s="203"/>
      <c r="AQ70" s="203"/>
      <c r="AR70" s="203"/>
      <c r="AS70" s="203"/>
      <c r="AT70" s="203"/>
      <c r="AU70" s="203"/>
      <c r="AV70" s="203"/>
      <c r="AW70" s="203"/>
      <c r="AX70" s="203"/>
      <c r="AY70" s="203"/>
      <c r="AZ70" s="201"/>
    </row>
    <row r="71" spans="1:52" ht="20.100000000000001" customHeight="1" x14ac:dyDescent="0.2">
      <c r="A71" s="289">
        <f t="shared" ref="A71" si="25">A69+1</f>
        <v>28</v>
      </c>
      <c r="B71" s="228" t="s">
        <v>185</v>
      </c>
      <c r="C71" s="228">
        <v>238</v>
      </c>
      <c r="D71" s="228" t="s">
        <v>65</v>
      </c>
      <c r="E71" s="191" t="s">
        <v>142</v>
      </c>
      <c r="F71" s="191" t="s">
        <v>142</v>
      </c>
      <c r="G71" s="191" t="s">
        <v>4</v>
      </c>
      <c r="H71" s="191" t="s">
        <v>4</v>
      </c>
      <c r="I71" s="191" t="s">
        <v>4</v>
      </c>
      <c r="J71" s="191" t="s">
        <v>4</v>
      </c>
      <c r="K71" s="191" t="s">
        <v>4</v>
      </c>
      <c r="L71" s="191" t="s">
        <v>142</v>
      </c>
      <c r="M71" s="191" t="s">
        <v>142</v>
      </c>
      <c r="N71" s="191" t="s">
        <v>4</v>
      </c>
      <c r="O71" s="191" t="s">
        <v>4</v>
      </c>
      <c r="P71" s="191" t="s">
        <v>4</v>
      </c>
      <c r="Q71" s="191" t="s">
        <v>4</v>
      </c>
      <c r="R71" s="191" t="s">
        <v>4</v>
      </c>
      <c r="S71" s="191" t="s">
        <v>142</v>
      </c>
      <c r="T71" s="191" t="s">
        <v>142</v>
      </c>
      <c r="U71" s="191" t="s">
        <v>4</v>
      </c>
      <c r="V71" s="191" t="s">
        <v>4</v>
      </c>
      <c r="W71" s="191" t="s">
        <v>4</v>
      </c>
      <c r="X71" s="191" t="s">
        <v>4</v>
      </c>
      <c r="Y71" s="191" t="s">
        <v>4</v>
      </c>
      <c r="Z71" s="191" t="s">
        <v>142</v>
      </c>
      <c r="AA71" s="191" t="s">
        <v>142</v>
      </c>
      <c r="AB71" s="191" t="s">
        <v>4</v>
      </c>
      <c r="AC71" s="191" t="s">
        <v>4</v>
      </c>
      <c r="AD71" s="191" t="s">
        <v>4</v>
      </c>
      <c r="AE71" s="191" t="s">
        <v>4</v>
      </c>
      <c r="AF71" s="191" t="s">
        <v>4</v>
      </c>
      <c r="AG71" s="191" t="s">
        <v>142</v>
      </c>
      <c r="AH71" s="191" t="s">
        <v>142</v>
      </c>
      <c r="AI71" s="191" t="s">
        <v>4</v>
      </c>
      <c r="AJ71" s="213">
        <f>IFERROR(COUNTIF(E71:AI71,"=Р")+COUNTIF(E71:AI71,"=Р1")+COUNTIF(E71:AI71,"=ВЧ")+COUNTIF(E71:AI71,"=РН")+COUNTIF(E71:AI71,"=Р2")+COUNTIF(E71:AI71,"=Р1/РВ")+COUNTIF(E71:AI71,"=Р2/РВ")+COUNTIF(E71:AI71,"=ВЧ/РВ")+COUNTIF(E71:AI71,"=РН/РВ"),0)</f>
        <v>21</v>
      </c>
      <c r="AK71" s="202">
        <f>IFERROR(SUMIF(E71:AI71,"=Р2",E72:AI72)+SUMIF(E71:AI71,"=ВЧ/РВ",E72:AI72)+SUMIF(E71:AI71,"=РН/РВ",E72:AI72)+SUMIF(E71:AI71,"=Р1/РВ",E72:AI72)+SUMIF(E71:AI71,"=ВЧ2/РВ",E72:AI72)+SUMIF(E71:AI71,"=Р2/РВ",E72:AI72)+SUMIF(E71:AI71,"=Р",E72:AI72)+SUMIF(E71:AI71,"=Р1",E72:AI72)+SUMIF(E71:AI71,"=ВЧ1",E72:AI72)+SUMIF(E71:AI71,"=РН",E72:AI72)+SUMIF(E71:AI71,"=ВЧ",E72:AI72)+SUMIF(E71:AI71,"=НУ",E72:AI72),0)</f>
        <v>167.99999999999997</v>
      </c>
      <c r="AL71" s="202">
        <f>IFERROR(SUMIF(E71:AI71,"=НУ",E72:AI72),0)</f>
        <v>0</v>
      </c>
      <c r="AM71" s="202">
        <f>IFERROR(SUMIF(E71:AI71,"=РН",E72:AI72)+SUMIF(E71:AI71,"=РН/РВ",E72:AI72)+SUMIFS(E72:AI72,E71:AI71,"=Р2",E72:AI72,"=8"),0)</f>
        <v>0</v>
      </c>
      <c r="AN71" s="211">
        <f>IFERROR(SUMIF(E71:AI71,"=ВЧ",E72:AI72)+SUMIF(E71:AI71,"=ВЧ/РВ",E72:AI72)+CEILING(COUNTIFS(E71:AI71,"=Р2",E72:AI72,"=7")*4,1)+CEILING(COUNTIFS(E71:AI71,"=Р2/РВ",E72:AI72,"=7")*4,1)+SUMIFS(E72:AI72,E71:AI71,"=Р1/РВ",E72:AI72,"=12")/6+SUMIFS(E72:AI72,E71:AI71,"=ВЧ2/РВ",E72:AI72,"=4")/2+SUMIFS(E72:AI72,E71:AI71,"=Р1",E72:AI72,"=12")/6+SUMIFS(E72:AI72,E71:AI71,"=Р1",E72:AI72,"=8")/4+SUMIF(E71:AI71,"=ВЧ1",E72:AI72)/2,0)</f>
        <v>0</v>
      </c>
      <c r="AO71" s="202">
        <f>IFERROR(SUMIF(E71:AI71,"=РВ",E72:AI72)+SUMIF(E71:AI71,"=ВЧ/РВ",E72:AI72)+SUMIF(E71:AI71,"=РН/РВ",E72:AI72)+SUMIF(E71:AI71,"=Р1/РВ",E72:AI72)+SUMIF(E71:AI71,"=ВЧ2/РВ",E72:AI72)+SUMIF(E71:AI71,"=Р2/РВ",E72:AI72),0)</f>
        <v>0</v>
      </c>
      <c r="AP71" s="202">
        <f>IFERROR(COUNTIF(E71:AI71,"=ВВ")+COUNTIF(E71:AI71,"=Р1/ВВ")+COUNTIF(E71:AI71,"=РН/ВВ")+COUNTIF(E71:AI71,"=ВЧ/ВВ"),0)</f>
        <v>10</v>
      </c>
      <c r="AQ71" s="202">
        <f>SUM(AR71:AZ71)</f>
        <v>0</v>
      </c>
      <c r="AR71" s="202">
        <f>IFERROR(SUMIF(E71:AI71,"=В",E72:AI72)+SUMIF(E71:AI71,"=Ч",E72:AI72)+SUMIF(E71:AI71,"=ВБ",E72:AI72),0)</f>
        <v>0</v>
      </c>
      <c r="AS71" s="202">
        <f>IFERROR(SUMIF(E71:AI71,"=Н",E72:AI72),0)</f>
        <v>0</v>
      </c>
      <c r="AT71" s="202">
        <f>IFERROR(SUMIF(E71:AI71,"=НА",E72:AI72),0)</f>
        <v>0</v>
      </c>
      <c r="AU71" s="202">
        <f>IFERROR(SUMIF(E71:AI71,"=ВП",E72:AI72),0)</f>
        <v>0</v>
      </c>
      <c r="AV71" s="202">
        <f>IFERROR(SUMIF(E71:AI71,"=ДД",E72:AI72),0)</f>
        <v>0</v>
      </c>
      <c r="AW71" s="202">
        <f>IFERROR(SUMIF(E71:AI71,"=ДО",E72:AI72),0)</f>
        <v>0</v>
      </c>
      <c r="AX71" s="202">
        <f>IFERROR(SUMIF(E71:AI71,"=ТН",E72:AI72),0)</f>
        <v>0</v>
      </c>
      <c r="AY71" s="202">
        <f>IFERROR(SUMIF(E71:AI71,"=ВД",E72:AI72),0)</f>
        <v>0</v>
      </c>
      <c r="AZ71" s="200">
        <f>IFERROR(SUMIF(E71:AI71,"=ІН",E72:AI72),0)+SUMIF(E71:AI71,"=НЗ",E72:AI72)</f>
        <v>0</v>
      </c>
    </row>
    <row r="72" spans="1:52" ht="23.25" customHeight="1" thickBot="1" x14ac:dyDescent="0.25">
      <c r="A72" s="290"/>
      <c r="B72" s="229"/>
      <c r="C72" s="229"/>
      <c r="D72" s="229"/>
      <c r="E72" s="192"/>
      <c r="F72" s="192"/>
      <c r="G72" s="192">
        <v>8.1999999999999993</v>
      </c>
      <c r="H72" s="192">
        <v>8.1999999999999993</v>
      </c>
      <c r="I72" s="192">
        <v>8.1999999999999993</v>
      </c>
      <c r="J72" s="192">
        <v>8.1999999999999993</v>
      </c>
      <c r="K72" s="192">
        <v>7</v>
      </c>
      <c r="L72" s="192"/>
      <c r="M72" s="192"/>
      <c r="N72" s="192">
        <v>8.1999999999999993</v>
      </c>
      <c r="O72" s="192">
        <v>8.1999999999999993</v>
      </c>
      <c r="P72" s="192">
        <v>8.1999999999999993</v>
      </c>
      <c r="Q72" s="192">
        <v>8.1999999999999993</v>
      </c>
      <c r="R72" s="192">
        <v>7.2</v>
      </c>
      <c r="S72" s="192"/>
      <c r="T72" s="192"/>
      <c r="U72" s="192">
        <v>8.1999999999999993</v>
      </c>
      <c r="V72" s="192">
        <v>8.1999999999999993</v>
      </c>
      <c r="W72" s="192">
        <v>8.1999999999999993</v>
      </c>
      <c r="X72" s="192">
        <v>8.1999999999999993</v>
      </c>
      <c r="Y72" s="192">
        <v>7.2</v>
      </c>
      <c r="Z72" s="192"/>
      <c r="AA72" s="192"/>
      <c r="AB72" s="192">
        <v>8.1999999999999993</v>
      </c>
      <c r="AC72" s="192">
        <v>8.1999999999999993</v>
      </c>
      <c r="AD72" s="192">
        <v>8.1999999999999993</v>
      </c>
      <c r="AE72" s="192">
        <v>8.1999999999999993</v>
      </c>
      <c r="AF72" s="192">
        <v>7.2</v>
      </c>
      <c r="AG72" s="192"/>
      <c r="AH72" s="192"/>
      <c r="AI72" s="192">
        <v>8.1999999999999993</v>
      </c>
      <c r="AJ72" s="214"/>
      <c r="AK72" s="203"/>
      <c r="AL72" s="203"/>
      <c r="AM72" s="203"/>
      <c r="AN72" s="212"/>
      <c r="AO72" s="203"/>
      <c r="AP72" s="203"/>
      <c r="AQ72" s="203"/>
      <c r="AR72" s="203"/>
      <c r="AS72" s="203"/>
      <c r="AT72" s="203"/>
      <c r="AU72" s="203"/>
      <c r="AV72" s="203"/>
      <c r="AW72" s="203"/>
      <c r="AX72" s="203"/>
      <c r="AY72" s="203"/>
      <c r="AZ72" s="201"/>
    </row>
    <row r="73" spans="1:52" ht="20.100000000000001" customHeight="1" x14ac:dyDescent="0.2">
      <c r="A73" s="289">
        <f t="shared" ref="A73" si="26">A71+1</f>
        <v>29</v>
      </c>
      <c r="B73" s="228" t="s">
        <v>186</v>
      </c>
      <c r="C73" s="228">
        <v>1927</v>
      </c>
      <c r="D73" s="228" t="s">
        <v>65</v>
      </c>
      <c r="E73" s="191" t="s">
        <v>142</v>
      </c>
      <c r="F73" s="191" t="s">
        <v>142</v>
      </c>
      <c r="G73" s="191" t="s">
        <v>4</v>
      </c>
      <c r="H73" s="191" t="s">
        <v>4</v>
      </c>
      <c r="I73" s="191" t="s">
        <v>4</v>
      </c>
      <c r="J73" s="191" t="s">
        <v>4</v>
      </c>
      <c r="K73" s="191" t="s">
        <v>4</v>
      </c>
      <c r="L73" s="191" t="s">
        <v>142</v>
      </c>
      <c r="M73" s="191" t="s">
        <v>142</v>
      </c>
      <c r="N73" s="191" t="s">
        <v>4</v>
      </c>
      <c r="O73" s="191" t="s">
        <v>4</v>
      </c>
      <c r="P73" s="191" t="s">
        <v>4</v>
      </c>
      <c r="Q73" s="191" t="s">
        <v>52</v>
      </c>
      <c r="R73" s="191" t="s">
        <v>52</v>
      </c>
      <c r="S73" s="191" t="s">
        <v>52</v>
      </c>
      <c r="T73" s="191" t="s">
        <v>52</v>
      </c>
      <c r="U73" s="191" t="s">
        <v>52</v>
      </c>
      <c r="V73" s="191" t="s">
        <v>4</v>
      </c>
      <c r="W73" s="191" t="s">
        <v>4</v>
      </c>
      <c r="X73" s="191" t="s">
        <v>4</v>
      </c>
      <c r="Y73" s="191" t="s">
        <v>4</v>
      </c>
      <c r="Z73" s="191" t="s">
        <v>142</v>
      </c>
      <c r="AA73" s="191" t="s">
        <v>142</v>
      </c>
      <c r="AB73" s="191" t="s">
        <v>4</v>
      </c>
      <c r="AC73" s="191" t="s">
        <v>4</v>
      </c>
      <c r="AD73" s="191" t="s">
        <v>4</v>
      </c>
      <c r="AE73" s="191" t="s">
        <v>4</v>
      </c>
      <c r="AF73" s="191" t="s">
        <v>4</v>
      </c>
      <c r="AG73" s="191" t="s">
        <v>142</v>
      </c>
      <c r="AH73" s="191" t="s">
        <v>142</v>
      </c>
      <c r="AI73" s="191" t="s">
        <v>4</v>
      </c>
      <c r="AJ73" s="213">
        <f>IFERROR(COUNTIF(E73:AI73,"=Р")+COUNTIF(E73:AI73,"=Р1")+COUNTIF(E73:AI73,"=ВЧ")+COUNTIF(E73:AI73,"=РН")+COUNTIF(E73:AI73,"=Р2")+COUNTIF(E73:AI73,"=Р1/РВ")+COUNTIF(E73:AI73,"=Р2/РВ")+COUNTIF(E73:AI73,"=ВЧ/РВ")+COUNTIF(E73:AI73,"=РН/РВ"),0)</f>
        <v>18</v>
      </c>
      <c r="AK73" s="202">
        <f>IFERROR(SUMIF(E73:AI73,"=Р2",E74:AI74)+SUMIF(E73:AI73,"=ВЧ/РВ",E74:AI74)+SUMIF(E73:AI73,"=РН/РВ",E74:AI74)+SUMIF(E73:AI73,"=Р1/РВ",E74:AI74)+SUMIF(E73:AI73,"=ВЧ2/РВ",E74:AI74)+SUMIF(E73:AI73,"=Р2/РВ",E74:AI74)+SUMIF(E73:AI73,"=Р",E74:AI74)+SUMIF(E73:AI73,"=Р1",E74:AI74)+SUMIF(E73:AI73,"=ВЧ1",E74:AI74)+SUMIF(E73:AI73,"=РН",E74:AI74)+SUMIF(E73:AI73,"=ВЧ",E74:AI74)+SUMIF(E73:AI73,"=НУ",E74:AI74),0)</f>
        <v>144.4</v>
      </c>
      <c r="AL73" s="202">
        <f>IFERROR(SUMIF(E73:AI73,"=НУ",E74:AI74),0)</f>
        <v>0</v>
      </c>
      <c r="AM73" s="202">
        <f>IFERROR(SUMIF(E73:AI73,"=РН",E74:AI74)+SUMIF(E73:AI73,"=РН/РВ",E74:AI74)+SUMIFS(E74:AI74,E73:AI73,"=Р2",E74:AI74,"=8"),0)</f>
        <v>0</v>
      </c>
      <c r="AN73" s="211">
        <f>IFERROR(SUMIF(E73:AI73,"=ВЧ",E74:AI74)+SUMIF(E73:AI73,"=ВЧ/РВ",E74:AI74)+CEILING(COUNTIFS(E73:AI73,"=Р2",E74:AI74,"=7")*4,1)+CEILING(COUNTIFS(E73:AI73,"=Р2/РВ",E74:AI74,"=7")*4,1)+SUMIFS(E74:AI74,E73:AI73,"=Р1/РВ",E74:AI74,"=12")/6+SUMIFS(E74:AI74,E73:AI73,"=ВЧ2/РВ",E74:AI74,"=4")/2+SUMIFS(E74:AI74,E73:AI73,"=Р1",E74:AI74,"=12")/6+SUMIFS(E74:AI74,E73:AI73,"=Р1",E74:AI74,"=8")/4+SUMIF(E73:AI73,"=ВЧ1",E74:AI74)/2,0)</f>
        <v>0</v>
      </c>
      <c r="AO73" s="202">
        <f>IFERROR(SUMIF(E73:AI73,"=РВ",E74:AI74)+SUMIF(E73:AI73,"=ВЧ/РВ",E74:AI74)+SUMIF(E73:AI73,"=РН/РВ",E74:AI74)+SUMIF(E73:AI73,"=Р1/РВ",E74:AI74)+SUMIF(E73:AI73,"=ВЧ2/РВ",E74:AI74)+SUMIF(E73:AI73,"=Р2/РВ",E74:AI74),0)</f>
        <v>0</v>
      </c>
      <c r="AP73" s="202">
        <f>IFERROR(COUNTIF(E73:AI73,"=ВВ")+COUNTIF(E73:AI73,"=Р1/ВВ")+COUNTIF(E73:AI73,"=РН/ВВ")+COUNTIF(E73:AI73,"=ВЧ/ВВ"),0)</f>
        <v>8</v>
      </c>
      <c r="AQ73" s="202">
        <f>SUM(AR73:AZ73)</f>
        <v>23.599999999999998</v>
      </c>
      <c r="AR73" s="202">
        <f>IFERROR(SUMIF(E73:AI73,"=В",E74:AI74)+SUMIF(E73:AI73,"=Ч",E74:AI74)+SUMIF(E73:AI73,"=ВБ",E74:AI74),0)</f>
        <v>0</v>
      </c>
      <c r="AS73" s="202">
        <f>IFERROR(SUMIF(E73:AI73,"=Н",E74:AI74),0)</f>
        <v>0</v>
      </c>
      <c r="AT73" s="202">
        <f>IFERROR(SUMIF(E73:AI73,"=НА",E74:AI74),0)</f>
        <v>0</v>
      </c>
      <c r="AU73" s="202">
        <f>IFERROR(SUMIF(E73:AI73,"=ВП",E74:AI74),0)</f>
        <v>0</v>
      </c>
      <c r="AV73" s="202">
        <f>IFERROR(SUMIF(E73:AI73,"=ДД",E74:AI74),0)</f>
        <v>0</v>
      </c>
      <c r="AW73" s="202">
        <f>IFERROR(SUMIF(E73:AI73,"=ДО",E74:AI74),0)</f>
        <v>0</v>
      </c>
      <c r="AX73" s="202">
        <f>IFERROR(SUMIF(E73:AI73,"=ТН",E74:AI74),0)</f>
        <v>23.599999999999998</v>
      </c>
      <c r="AY73" s="202">
        <f>IFERROR(SUMIF(E73:AI73,"=ВД",E74:AI74),0)</f>
        <v>0</v>
      </c>
      <c r="AZ73" s="200">
        <f>IFERROR(SUMIF(E73:AI73,"=ІН",E74:AI74),0)+SUMIF(E73:AI73,"=НЗ",E74:AI74)</f>
        <v>0</v>
      </c>
    </row>
    <row r="74" spans="1:52" ht="20.100000000000001" customHeight="1" thickBot="1" x14ac:dyDescent="0.25">
      <c r="A74" s="290"/>
      <c r="B74" s="229"/>
      <c r="C74" s="229"/>
      <c r="D74" s="229"/>
      <c r="E74" s="192"/>
      <c r="F74" s="192"/>
      <c r="G74" s="192">
        <v>8.1999999999999993</v>
      </c>
      <c r="H74" s="192">
        <v>8.1999999999999993</v>
      </c>
      <c r="I74" s="192">
        <v>8.1999999999999993</v>
      </c>
      <c r="J74" s="192">
        <v>8.1999999999999993</v>
      </c>
      <c r="K74" s="192">
        <v>7</v>
      </c>
      <c r="L74" s="192"/>
      <c r="M74" s="192"/>
      <c r="N74" s="192">
        <v>8.1999999999999993</v>
      </c>
      <c r="O74" s="192">
        <v>8.1999999999999993</v>
      </c>
      <c r="P74" s="192">
        <v>8.1999999999999993</v>
      </c>
      <c r="Q74" s="192">
        <v>8.1999999999999993</v>
      </c>
      <c r="R74" s="192">
        <v>7.2</v>
      </c>
      <c r="S74" s="192"/>
      <c r="T74" s="192"/>
      <c r="U74" s="192">
        <v>8.1999999999999993</v>
      </c>
      <c r="V74" s="192">
        <v>8.1999999999999993</v>
      </c>
      <c r="W74" s="192">
        <v>8.1999999999999993</v>
      </c>
      <c r="X74" s="192">
        <v>8.1999999999999993</v>
      </c>
      <c r="Y74" s="192">
        <v>7.2</v>
      </c>
      <c r="Z74" s="192"/>
      <c r="AA74" s="192"/>
      <c r="AB74" s="192">
        <v>8.1999999999999993</v>
      </c>
      <c r="AC74" s="192">
        <v>8.1999999999999993</v>
      </c>
      <c r="AD74" s="192">
        <v>8.1999999999999993</v>
      </c>
      <c r="AE74" s="192">
        <v>8.1999999999999993</v>
      </c>
      <c r="AF74" s="192">
        <v>7.2</v>
      </c>
      <c r="AG74" s="192"/>
      <c r="AH74" s="192"/>
      <c r="AI74" s="192">
        <v>8.1999999999999993</v>
      </c>
      <c r="AJ74" s="214"/>
      <c r="AK74" s="203"/>
      <c r="AL74" s="203"/>
      <c r="AM74" s="203"/>
      <c r="AN74" s="212"/>
      <c r="AO74" s="203"/>
      <c r="AP74" s="203"/>
      <c r="AQ74" s="203"/>
      <c r="AR74" s="203"/>
      <c r="AS74" s="203"/>
      <c r="AT74" s="203"/>
      <c r="AU74" s="203"/>
      <c r="AV74" s="203"/>
      <c r="AW74" s="203"/>
      <c r="AX74" s="203"/>
      <c r="AY74" s="203"/>
      <c r="AZ74" s="201"/>
    </row>
    <row r="75" spans="1:52" ht="20.100000000000001" customHeight="1" x14ac:dyDescent="0.2">
      <c r="A75" s="289">
        <f t="shared" ref="A75" si="27">A73+1</f>
        <v>30</v>
      </c>
      <c r="B75" s="228" t="s">
        <v>187</v>
      </c>
      <c r="C75" s="228">
        <v>2114</v>
      </c>
      <c r="D75" s="228" t="s">
        <v>65</v>
      </c>
      <c r="E75" s="191" t="s">
        <v>142</v>
      </c>
      <c r="F75" s="191" t="s">
        <v>142</v>
      </c>
      <c r="G75" s="191" t="s">
        <v>4</v>
      </c>
      <c r="H75" s="191" t="s">
        <v>4</v>
      </c>
      <c r="I75" s="191" t="s">
        <v>4</v>
      </c>
      <c r="J75" s="191" t="s">
        <v>48</v>
      </c>
      <c r="K75" s="191" t="s">
        <v>4</v>
      </c>
      <c r="L75" s="191" t="s">
        <v>142</v>
      </c>
      <c r="M75" s="191" t="s">
        <v>142</v>
      </c>
      <c r="N75" s="191" t="s">
        <v>4</v>
      </c>
      <c r="O75" s="191" t="s">
        <v>4</v>
      </c>
      <c r="P75" s="191" t="s">
        <v>4</v>
      </c>
      <c r="Q75" s="191" t="s">
        <v>4</v>
      </c>
      <c r="R75" s="191" t="s">
        <v>4</v>
      </c>
      <c r="S75" s="191" t="s">
        <v>142</v>
      </c>
      <c r="T75" s="191" t="s">
        <v>142</v>
      </c>
      <c r="U75" s="191" t="s">
        <v>4</v>
      </c>
      <c r="V75" s="191" t="s">
        <v>4</v>
      </c>
      <c r="W75" s="191" t="s">
        <v>4</v>
      </c>
      <c r="X75" s="191" t="s">
        <v>4</v>
      </c>
      <c r="Y75" s="191" t="s">
        <v>48</v>
      </c>
      <c r="Z75" s="191" t="s">
        <v>142</v>
      </c>
      <c r="AA75" s="191" t="s">
        <v>142</v>
      </c>
      <c r="AB75" s="191" t="s">
        <v>4</v>
      </c>
      <c r="AC75" s="191" t="s">
        <v>4</v>
      </c>
      <c r="AD75" s="191" t="s">
        <v>4</v>
      </c>
      <c r="AE75" s="191" t="s">
        <v>4</v>
      </c>
      <c r="AF75" s="191" t="s">
        <v>4</v>
      </c>
      <c r="AG75" s="191" t="s">
        <v>142</v>
      </c>
      <c r="AH75" s="191" t="s">
        <v>142</v>
      </c>
      <c r="AI75" s="191" t="s">
        <v>48</v>
      </c>
      <c r="AJ75" s="213">
        <f>IFERROR(COUNTIF(E75:AI75,"=Р")+COUNTIF(E75:AI75,"=Р1")+COUNTIF(E75:AI75,"=ВЧ")+COUNTIF(E75:AI75,"=РН")+COUNTIF(E75:AI75,"=Р2")+COUNTIF(E75:AI75,"=Р1/РВ")+COUNTIF(E75:AI75,"=Р2/РВ")+COUNTIF(E75:AI75,"=ВЧ/РВ")+COUNTIF(E75:AI75,"=РН/РВ"),0)</f>
        <v>18</v>
      </c>
      <c r="AK75" s="202">
        <f>IFERROR(SUMIF(E75:AI75,"=Р2",E76:AI76)+SUMIF(E75:AI75,"=ВЧ/РВ",E76:AI76)+SUMIF(E75:AI75,"=РН/РВ",E76:AI76)+SUMIF(E75:AI75,"=Р1/РВ",E76:AI76)+SUMIF(E75:AI75,"=ВЧ2/РВ",E76:AI76)+SUMIF(E75:AI75,"=Р2/РВ",E76:AI76)+SUMIF(E75:AI75,"=Р",E76:AI76)+SUMIF(E75:AI75,"=Р1",E76:AI76)+SUMIF(E75:AI75,"=ВЧ1",E76:AI76)+SUMIF(E75:AI75,"=РН",E76:AI76)+SUMIF(E75:AI75,"=ВЧ",E76:AI76)+SUMIF(E75:AI75,"=НУ",E76:AI76),0)</f>
        <v>144.4</v>
      </c>
      <c r="AL75" s="202">
        <f>IFERROR(SUMIF(E75:AI75,"=НУ",E76:AI76),0)</f>
        <v>0</v>
      </c>
      <c r="AM75" s="202">
        <f>IFERROR(SUMIF(E75:AI75,"=РН",E76:AI76)+SUMIF(E75:AI75,"=РН/РВ",E76:AI76)+SUMIFS(E76:AI76,E75:AI75,"=Р2",E76:AI76,"=8"),0)</f>
        <v>0</v>
      </c>
      <c r="AN75" s="211">
        <f>IFERROR(SUMIF(E75:AI75,"=ВЧ",E76:AI76)+SUMIF(E75:AI75,"=ВЧ/РВ",E76:AI76)+CEILING(COUNTIFS(E75:AI75,"=Р2",E76:AI76,"=7")*4,1)+CEILING(COUNTIFS(E75:AI75,"=Р2/РВ",E76:AI76,"=7")*4,1)+SUMIFS(E76:AI76,E75:AI75,"=Р1/РВ",E76:AI76,"=12")/6+SUMIFS(E76:AI76,E75:AI75,"=ВЧ2/РВ",E76:AI76,"=4")/2+SUMIFS(E76:AI76,E75:AI75,"=Р1",E76:AI76,"=12")/6+SUMIFS(E76:AI76,E75:AI75,"=Р1",E76:AI76,"=8")/4+SUMIF(E75:AI75,"=ВЧ1",E76:AI76)/2,0)</f>
        <v>0</v>
      </c>
      <c r="AO75" s="202">
        <f>IFERROR(SUMIF(E75:AI75,"=РВ",E76:AI76)+SUMIF(E75:AI75,"=ВЧ/РВ",E76:AI76)+SUMIF(E75:AI75,"=РН/РВ",E76:AI76)+SUMIF(E75:AI75,"=Р1/РВ",E76:AI76)+SUMIF(E75:AI75,"=ВЧ2/РВ",E76:AI76)+SUMIF(E75:AI75,"=Р2/РВ",E76:AI76),0)</f>
        <v>0</v>
      </c>
      <c r="AP75" s="202">
        <f>IFERROR(COUNTIF(E75:AI75,"=ВВ")+COUNTIF(E75:AI75,"=Р1/ВВ")+COUNTIF(E75:AI75,"=РН/ВВ")+COUNTIF(E75:AI75,"=ВЧ/ВВ"),0)</f>
        <v>10</v>
      </c>
      <c r="AQ75" s="202">
        <f>SUM(AR75:AZ75)</f>
        <v>23.599999999999998</v>
      </c>
      <c r="AR75" s="202">
        <f>IFERROR(SUMIF(E75:AI75,"=В",E76:AI76)+SUMIF(E75:AI75,"=Ч",E76:AI76)+SUMIF(E75:AI75,"=ВБ",E76:AI76),0)</f>
        <v>0</v>
      </c>
      <c r="AS75" s="202">
        <f>IFERROR(SUMIF(E75:AI75,"=Н",E76:AI76),0)</f>
        <v>0</v>
      </c>
      <c r="AT75" s="202">
        <f>IFERROR(SUMIF(E75:AI75,"=НА",E76:AI76),0)</f>
        <v>0</v>
      </c>
      <c r="AU75" s="202">
        <f>IFERROR(SUMIF(E75:AI75,"=ВП",E76:AI76),0)</f>
        <v>0</v>
      </c>
      <c r="AV75" s="202">
        <f>IFERROR(SUMIF(E75:AI75,"=ДД",E76:AI76),0)</f>
        <v>0</v>
      </c>
      <c r="AW75" s="202">
        <f>IFERROR(SUMIF(E75:AI75,"=ДО",E76:AI76),0)</f>
        <v>0</v>
      </c>
      <c r="AX75" s="202">
        <f>IFERROR(SUMIF(E75:AI75,"=ТН",E76:AI76),0)</f>
        <v>0</v>
      </c>
      <c r="AY75" s="202">
        <f>IFERROR(SUMIF(E75:AI75,"=ВД",E76:AI76),0)</f>
        <v>23.599999999999998</v>
      </c>
      <c r="AZ75" s="200">
        <f>IFERROR(SUMIF(E75:AI75,"=ІН",E76:AI76),0)+SUMIF(E75:AI75,"=НЗ",E76:AI76)</f>
        <v>0</v>
      </c>
    </row>
    <row r="76" spans="1:52" ht="23.25" customHeight="1" thickBot="1" x14ac:dyDescent="0.25">
      <c r="A76" s="290"/>
      <c r="B76" s="229"/>
      <c r="C76" s="229"/>
      <c r="D76" s="229"/>
      <c r="E76" s="192"/>
      <c r="F76" s="192"/>
      <c r="G76" s="192">
        <v>8.1999999999999993</v>
      </c>
      <c r="H76" s="192">
        <v>8.1999999999999993</v>
      </c>
      <c r="I76" s="192">
        <v>8.1999999999999993</v>
      </c>
      <c r="J76" s="192">
        <v>8.1999999999999993</v>
      </c>
      <c r="K76" s="192">
        <v>7</v>
      </c>
      <c r="L76" s="192"/>
      <c r="M76" s="192"/>
      <c r="N76" s="192">
        <v>8.1999999999999993</v>
      </c>
      <c r="O76" s="192">
        <v>8.1999999999999993</v>
      </c>
      <c r="P76" s="192">
        <v>8.1999999999999993</v>
      </c>
      <c r="Q76" s="192">
        <v>8.1999999999999993</v>
      </c>
      <c r="R76" s="192">
        <v>7.2</v>
      </c>
      <c r="S76" s="192"/>
      <c r="T76" s="192"/>
      <c r="U76" s="192">
        <v>8.1999999999999993</v>
      </c>
      <c r="V76" s="192">
        <v>8.1999999999999993</v>
      </c>
      <c r="W76" s="192">
        <v>8.1999999999999993</v>
      </c>
      <c r="X76" s="192">
        <v>8.1999999999999993</v>
      </c>
      <c r="Y76" s="192">
        <v>7.2</v>
      </c>
      <c r="Z76" s="192"/>
      <c r="AA76" s="192"/>
      <c r="AB76" s="192">
        <v>8.1999999999999993</v>
      </c>
      <c r="AC76" s="192">
        <v>8.1999999999999993</v>
      </c>
      <c r="AD76" s="192">
        <v>8.1999999999999993</v>
      </c>
      <c r="AE76" s="192">
        <v>8.1999999999999993</v>
      </c>
      <c r="AF76" s="192">
        <v>7.2</v>
      </c>
      <c r="AG76" s="192"/>
      <c r="AH76" s="192"/>
      <c r="AI76" s="192">
        <v>8.1999999999999993</v>
      </c>
      <c r="AJ76" s="214"/>
      <c r="AK76" s="203"/>
      <c r="AL76" s="203"/>
      <c r="AM76" s="203"/>
      <c r="AN76" s="212"/>
      <c r="AO76" s="203"/>
      <c r="AP76" s="203"/>
      <c r="AQ76" s="203"/>
      <c r="AR76" s="203"/>
      <c r="AS76" s="203"/>
      <c r="AT76" s="203"/>
      <c r="AU76" s="203"/>
      <c r="AV76" s="203"/>
      <c r="AW76" s="203"/>
      <c r="AX76" s="203"/>
      <c r="AY76" s="203"/>
      <c r="AZ76" s="201"/>
    </row>
    <row r="77" spans="1:52" s="123" customFormat="1" ht="20.100000000000001" customHeight="1" x14ac:dyDescent="0.2">
      <c r="A77" s="289">
        <f t="shared" ref="A77" si="28">A75+1</f>
        <v>31</v>
      </c>
      <c r="B77" s="228" t="s">
        <v>355</v>
      </c>
      <c r="C77" s="228">
        <v>2179</v>
      </c>
      <c r="D77" s="228" t="s">
        <v>65</v>
      </c>
      <c r="E77" s="191" t="s">
        <v>142</v>
      </c>
      <c r="F77" s="191" t="s">
        <v>142</v>
      </c>
      <c r="G77" s="191" t="s">
        <v>4</v>
      </c>
      <c r="H77" s="191" t="s">
        <v>4</v>
      </c>
      <c r="I77" s="191" t="s">
        <v>4</v>
      </c>
      <c r="J77" s="191" t="s">
        <v>4</v>
      </c>
      <c r="K77" s="191" t="s">
        <v>4</v>
      </c>
      <c r="L77" s="191" t="s">
        <v>142</v>
      </c>
      <c r="M77" s="191" t="s">
        <v>142</v>
      </c>
      <c r="N77" s="191" t="s">
        <v>4</v>
      </c>
      <c r="O77" s="191" t="s">
        <v>4</v>
      </c>
      <c r="P77" s="191" t="s">
        <v>4</v>
      </c>
      <c r="Q77" s="191" t="s">
        <v>4</v>
      </c>
      <c r="R77" s="191" t="s">
        <v>4</v>
      </c>
      <c r="S77" s="191" t="s">
        <v>142</v>
      </c>
      <c r="T77" s="191" t="s">
        <v>142</v>
      </c>
      <c r="U77" s="191" t="s">
        <v>4</v>
      </c>
      <c r="V77" s="191" t="s">
        <v>48</v>
      </c>
      <c r="W77" s="191" t="s">
        <v>4</v>
      </c>
      <c r="X77" s="191" t="s">
        <v>4</v>
      </c>
      <c r="Y77" s="191" t="s">
        <v>4</v>
      </c>
      <c r="Z77" s="191" t="s">
        <v>142</v>
      </c>
      <c r="AA77" s="191" t="s">
        <v>142</v>
      </c>
      <c r="AB77" s="191" t="s">
        <v>4</v>
      </c>
      <c r="AC77" s="191" t="s">
        <v>4</v>
      </c>
      <c r="AD77" s="191" t="s">
        <v>4</v>
      </c>
      <c r="AE77" s="191" t="s">
        <v>4</v>
      </c>
      <c r="AF77" s="191" t="s">
        <v>4</v>
      </c>
      <c r="AG77" s="191" t="s">
        <v>142</v>
      </c>
      <c r="AH77" s="191" t="s">
        <v>142</v>
      </c>
      <c r="AI77" s="191" t="s">
        <v>4</v>
      </c>
      <c r="AJ77" s="213">
        <f>IFERROR(COUNTIF(E77:AI77,"=Р")+COUNTIF(E77:AI77,"=Р1")+COUNTIF(E77:AI77,"=ВЧ")+COUNTIF(E77:AI77,"=РН")+COUNTIF(E77:AI77,"=Р2")+COUNTIF(E77:AI77,"=Р1/РВ")+COUNTIF(E77:AI77,"=Р2/РВ")+COUNTIF(E77:AI77,"=ВЧ/РВ")+COUNTIF(E77:AI77,"=РН/РВ"),0)</f>
        <v>20</v>
      </c>
      <c r="AK77" s="202">
        <f>IFERROR(SUMIF(E77:AI77,"=Р2",E78:AI78)+SUMIF(E77:AI77,"=ВЧ/РВ",E78:AI78)+SUMIF(E77:AI77,"=РН/РВ",E78:AI78)+SUMIF(E77:AI77,"=Р1/РВ",E78:AI78)+SUMIF(E77:AI77,"=ВЧ2/РВ",E78:AI78)+SUMIF(E77:AI77,"=Р2/РВ",E78:AI78)+SUMIF(E77:AI77,"=Р",E78:AI78)+SUMIF(E77:AI77,"=Р1",E78:AI78)+SUMIF(E77:AI77,"=ВЧ1",E78:AI78)+SUMIF(E77:AI77,"=РН",E78:AI78)+SUMIF(E77:AI77,"=ВЧ",E78:AI78)+SUMIF(E77:AI77,"=НУ",E78:AI78),0)</f>
        <v>159.79999999999998</v>
      </c>
      <c r="AL77" s="202">
        <f>IFERROR(SUMIF(E77:AI77,"=НУ",E78:AI78),0)</f>
        <v>0</v>
      </c>
      <c r="AM77" s="202">
        <f>IFERROR(SUMIF(E77:AI77,"=РН",E78:AI78)+SUMIF(E77:AI77,"=РН/РВ",E78:AI78)+SUMIFS(E78:AI78,E77:AI77,"=Р2",E78:AI78,"=8"),0)</f>
        <v>0</v>
      </c>
      <c r="AN77" s="211">
        <f>IFERROR(SUMIF(E77:AI77,"=ВЧ",E78:AI78)+SUMIF(E77:AI77,"=ВЧ/РВ",E78:AI78)+CEILING(COUNTIFS(E77:AI77,"=Р2",E78:AI78,"=7")*4,1)+CEILING(COUNTIFS(E77:AI77,"=Р2/РВ",E78:AI78,"=7")*4,1)+SUMIFS(E78:AI78,E77:AI77,"=Р1/РВ",E78:AI78,"=12")/6+SUMIFS(E78:AI78,E77:AI77,"=ВЧ2/РВ",E78:AI78,"=4")/2+SUMIFS(E78:AI78,E77:AI77,"=Р1",E78:AI78,"=12")/6+SUMIFS(E78:AI78,E77:AI77,"=Р1",E78:AI78,"=8")/4+SUMIF(E77:AI77,"=ВЧ1",E78:AI78)/2,0)</f>
        <v>0</v>
      </c>
      <c r="AO77" s="202">
        <f>IFERROR(SUMIF(E77:AI77,"=РВ",E78:AI78)+SUMIF(E77:AI77,"=ВЧ/РВ",E78:AI78)+SUMIF(E77:AI77,"=РН/РВ",E78:AI78)+SUMIF(E77:AI77,"=Р1/РВ",E78:AI78)+SUMIF(E77:AI77,"=ВЧ2/РВ",E78:AI78)+SUMIF(E77:AI77,"=Р2/РВ",E78:AI78),0)</f>
        <v>0</v>
      </c>
      <c r="AP77" s="202">
        <f>IFERROR(COUNTIF(E77:AI77,"=ВВ")+COUNTIF(E77:AI77,"=Р1/ВВ")+COUNTIF(E77:AI77,"=РН/ВВ")+COUNTIF(E77:AI77,"=ВЧ/ВВ"),0)</f>
        <v>10</v>
      </c>
      <c r="AQ77" s="202">
        <f>SUM(AR77:AZ77)</f>
        <v>8.1999999999999993</v>
      </c>
      <c r="AR77" s="202">
        <f>IFERROR(SUMIF(E77:AI77,"=В",E78:AI78)+SUMIF(E77:AI77,"=Ч",E78:AI78)+SUMIF(E77:AI77,"=ВБ",E78:AI78),0)</f>
        <v>0</v>
      </c>
      <c r="AS77" s="202">
        <f>IFERROR(SUMIF(E77:AI77,"=Н",E78:AI78),0)</f>
        <v>0</v>
      </c>
      <c r="AT77" s="202">
        <f>IFERROR(SUMIF(E77:AI77,"=НА",E78:AI78),0)</f>
        <v>0</v>
      </c>
      <c r="AU77" s="202">
        <f>IFERROR(SUMIF(E77:AI77,"=ВП",E78:AI78),0)</f>
        <v>0</v>
      </c>
      <c r="AV77" s="202">
        <f>IFERROR(SUMIF(E77:AI77,"=ДД",E78:AI78),0)</f>
        <v>0</v>
      </c>
      <c r="AW77" s="202">
        <f>IFERROR(SUMIF(E77:AI77,"=ДО",E78:AI78),0)</f>
        <v>0</v>
      </c>
      <c r="AX77" s="202">
        <f>IFERROR(SUMIF(E77:AI77,"=ТН",E78:AI78),0)</f>
        <v>0</v>
      </c>
      <c r="AY77" s="202">
        <f>IFERROR(SUMIF(E77:AI77,"=ВД",E78:AI78),0)</f>
        <v>8.1999999999999993</v>
      </c>
      <c r="AZ77" s="200">
        <f>IFERROR(SUMIF(E77:AI77,"=ІН",E78:AI78),0)+SUMIF(E77:AI77,"=НЗ",E78:AI78)</f>
        <v>0</v>
      </c>
    </row>
    <row r="78" spans="1:52" s="123" customFormat="1" ht="23.25" customHeight="1" thickBot="1" x14ac:dyDescent="0.25">
      <c r="A78" s="290"/>
      <c r="B78" s="229"/>
      <c r="C78" s="229"/>
      <c r="D78" s="229"/>
      <c r="E78" s="192"/>
      <c r="F78" s="192"/>
      <c r="G78" s="192">
        <v>8.1999999999999993</v>
      </c>
      <c r="H78" s="192">
        <v>8.1999999999999993</v>
      </c>
      <c r="I78" s="192">
        <v>8.1999999999999993</v>
      </c>
      <c r="J78" s="192">
        <v>8.1999999999999993</v>
      </c>
      <c r="K78" s="192">
        <v>7</v>
      </c>
      <c r="L78" s="192"/>
      <c r="M78" s="192"/>
      <c r="N78" s="192">
        <v>8.1999999999999993</v>
      </c>
      <c r="O78" s="192">
        <v>8.1999999999999993</v>
      </c>
      <c r="P78" s="192">
        <v>8.1999999999999993</v>
      </c>
      <c r="Q78" s="192">
        <v>8.1999999999999993</v>
      </c>
      <c r="R78" s="192">
        <v>7.2</v>
      </c>
      <c r="S78" s="192"/>
      <c r="T78" s="192"/>
      <c r="U78" s="192">
        <v>8.1999999999999993</v>
      </c>
      <c r="V78" s="192">
        <v>8.1999999999999993</v>
      </c>
      <c r="W78" s="192">
        <v>8.1999999999999993</v>
      </c>
      <c r="X78" s="192">
        <v>8.1999999999999993</v>
      </c>
      <c r="Y78" s="192">
        <v>7.2</v>
      </c>
      <c r="Z78" s="192"/>
      <c r="AA78" s="192"/>
      <c r="AB78" s="192">
        <v>8.1999999999999993</v>
      </c>
      <c r="AC78" s="192">
        <v>8.1999999999999993</v>
      </c>
      <c r="AD78" s="192">
        <v>8.1999999999999993</v>
      </c>
      <c r="AE78" s="192">
        <v>8.1999999999999993</v>
      </c>
      <c r="AF78" s="192">
        <v>7.2</v>
      </c>
      <c r="AG78" s="192"/>
      <c r="AH78" s="192"/>
      <c r="AI78" s="192">
        <v>8.1999999999999993</v>
      </c>
      <c r="AJ78" s="214"/>
      <c r="AK78" s="203"/>
      <c r="AL78" s="203"/>
      <c r="AM78" s="203"/>
      <c r="AN78" s="212"/>
      <c r="AO78" s="203"/>
      <c r="AP78" s="203"/>
      <c r="AQ78" s="203"/>
      <c r="AR78" s="203"/>
      <c r="AS78" s="203"/>
      <c r="AT78" s="203"/>
      <c r="AU78" s="203"/>
      <c r="AV78" s="203"/>
      <c r="AW78" s="203"/>
      <c r="AX78" s="203"/>
      <c r="AY78" s="203"/>
      <c r="AZ78" s="201"/>
    </row>
    <row r="79" spans="1:52" ht="18.75" customHeight="1" x14ac:dyDescent="0.2">
      <c r="A79" s="289">
        <f t="shared" ref="A79" si="29">A77+1</f>
        <v>32</v>
      </c>
      <c r="B79" s="230" t="s">
        <v>188</v>
      </c>
      <c r="C79" s="230">
        <v>1306</v>
      </c>
      <c r="D79" s="230" t="s">
        <v>65</v>
      </c>
      <c r="E79" s="191" t="s">
        <v>142</v>
      </c>
      <c r="F79" s="191" t="s">
        <v>142</v>
      </c>
      <c r="G79" s="191" t="s">
        <v>4</v>
      </c>
      <c r="H79" s="191" t="s">
        <v>4</v>
      </c>
      <c r="I79" s="191" t="s">
        <v>4</v>
      </c>
      <c r="J79" s="191" t="s">
        <v>4</v>
      </c>
      <c r="K79" s="191" t="s">
        <v>4</v>
      </c>
      <c r="L79" s="191" t="s">
        <v>142</v>
      </c>
      <c r="M79" s="191" t="s">
        <v>142</v>
      </c>
      <c r="N79" s="191" t="s">
        <v>4</v>
      </c>
      <c r="O79" s="191" t="s">
        <v>4</v>
      </c>
      <c r="P79" s="191" t="s">
        <v>4</v>
      </c>
      <c r="Q79" s="191" t="s">
        <v>4</v>
      </c>
      <c r="R79" s="191" t="s">
        <v>4</v>
      </c>
      <c r="S79" s="191" t="s">
        <v>142</v>
      </c>
      <c r="T79" s="191" t="s">
        <v>142</v>
      </c>
      <c r="U79" s="191" t="s">
        <v>4</v>
      </c>
      <c r="V79" s="191" t="s">
        <v>4</v>
      </c>
      <c r="W79" s="191" t="s">
        <v>4</v>
      </c>
      <c r="X79" s="191" t="s">
        <v>4</v>
      </c>
      <c r="Y79" s="191" t="s">
        <v>4</v>
      </c>
      <c r="Z79" s="191" t="s">
        <v>142</v>
      </c>
      <c r="AA79" s="191" t="s">
        <v>142</v>
      </c>
      <c r="AB79" s="191" t="s">
        <v>4</v>
      </c>
      <c r="AC79" s="191" t="s">
        <v>4</v>
      </c>
      <c r="AD79" s="191" t="s">
        <v>4</v>
      </c>
      <c r="AE79" s="191" t="s">
        <v>4</v>
      </c>
      <c r="AF79" s="191" t="s">
        <v>4</v>
      </c>
      <c r="AG79" s="191" t="s">
        <v>142</v>
      </c>
      <c r="AH79" s="191" t="s">
        <v>142</v>
      </c>
      <c r="AI79" s="191" t="s">
        <v>4</v>
      </c>
      <c r="AJ79" s="213">
        <f>IFERROR(COUNTIF(E79:AI79,"=Р")+COUNTIF(E79:AI79,"=Р1")+COUNTIF(E79:AI79,"=ВЧ")+COUNTIF(E79:AI79,"=РН")+COUNTIF(E79:AI79,"=Р2")+COUNTIF(E79:AI79,"=Р1/РВ")+COUNTIF(E79:AI79,"=Р2/РВ")+COUNTIF(E79:AI79,"=ВЧ/РВ")+COUNTIF(E79:AI79,"=РН/РВ"),0)</f>
        <v>21</v>
      </c>
      <c r="AK79" s="202">
        <f t="shared" ref="AK79:AK121" si="30">IFERROR(SUMIF(E79:AI79,"=Р2",E80:AI80)+SUMIF(E79:AI79,"=ВЧ/РВ",E80:AI80)+SUMIF(E79:AI79,"=РН/РВ",E80:AI80)+SUMIF(E79:AI79,"=Р1/РВ",E80:AI80)+SUMIF(E79:AI79,"=ВЧ2/РВ",E80:AI80)+SUMIF(E79:AI79,"=Р2/РВ",E80:AI80)+SUMIF(E79:AI79,"=Р",E80:AI80)+SUMIF(E79:AI79,"=Р1",E80:AI80)+SUMIF(E79:AI79,"=ВЧ1",E80:AI80)+SUMIF(E79:AI79,"=РН",E80:AI80)+SUMIF(E79:AI79,"=ВЧ",E80:AI80)+SUMIF(E79:AI79,"=НУ",E80:AI80),0)</f>
        <v>167.99999999999997</v>
      </c>
      <c r="AL79" s="202">
        <f>IFERROR(SUMIF(E79:AI79,"=НУ",E80:AI80),0)</f>
        <v>0</v>
      </c>
      <c r="AM79" s="202">
        <f>IFERROR(SUMIF(E79:AI79,"=РН",E80:AI80)+SUMIF(E79:AI79,"=РН/РВ",E80:AI80)+SUMIFS(E80:AI80,E79:AI79,"=Р2",E80:AI80,"=8"),0)</f>
        <v>0</v>
      </c>
      <c r="AN79" s="202">
        <f>IFERROR(SUMIF(E79:AI79,"=ВЧ",E80:AI80)+SUMIF(E79:AI79,"=ВЧ/РВ",E80:AI80)+CEILING(COUNTIFS(E79:AI79,"=Р2",E80:AI80,"=7")*4,1)+CEILING(COUNTIFS(E79:AI79,"=Р2/РВ",E80:AI80,"=7")*4,1)+SUMIFS(E80:AI80,E79:AI79,"=Р1/РВ",E80:AI80,"=12")/6+SUMIFS(E80:AI80,E79:AI79,"=ВЧ2/РВ",E80:AI80,"=4")/2+SUMIFS(E80:AI80,E79:AI79,"=Р1",E80:AI80,"=12")/6+SUMIFS(E80:AI80,E79:AI79,"=Р1",E80:AI80,"=8")/4+SUMIF(E79:AI79,"=ВЧ1",E80:AI80)/2,0)</f>
        <v>0</v>
      </c>
      <c r="AO79" s="202">
        <f>IFERROR(SUMIF(E79:AI79,"=РВ",E80:AI80)+SUMIF(E79:AI79,"=ВЧ/РВ",E80:AI80)+SUMIF(E79:AI79,"=РН/РВ",E80:AI80)+SUMIF(E79:AI79,"=Р1/РВ",E80:AI80)+SUMIF(E79:AI79,"=ВЧ2/РВ",E80:AI80)+SUMIF(E79:AI79,"=Р2/РВ",E80:AI80),0)</f>
        <v>0</v>
      </c>
      <c r="AP79" s="202">
        <f t="shared" ref="AP79:AP121" si="31">IFERROR(COUNTIF(E79:AI79,"=ВВ")+COUNTIF(E79:AI79,"=Р1/ВВ")+COUNTIF(E79:AI79,"=РН/ВВ")+COUNTIF(E79:AI79,"=ВЧ/ВВ"),0)</f>
        <v>10</v>
      </c>
      <c r="AQ79" s="202">
        <f>SUM(AR79:AZ79)</f>
        <v>0</v>
      </c>
      <c r="AR79" s="202">
        <f>IFERROR(SUMIF(E79:AI79,"=В",E80:AI80)+SUMIF(E79:AI79,"=Ч",E80:AI80)+SUMIF(E79:AI79,"=ВБ",E80:AI80),0)</f>
        <v>0</v>
      </c>
      <c r="AS79" s="202">
        <f>IFERROR(SUMIF(E79:AI79,"=Н",E80:AI80),0)</f>
        <v>0</v>
      </c>
      <c r="AT79" s="202">
        <f>IFERROR(SUMIF(E79:AI79,"=НА",E80:AI80),0)</f>
        <v>0</v>
      </c>
      <c r="AU79" s="202">
        <f>IFERROR(SUMIF(E79:AI79,"=ВП",E80:AI80),0)</f>
        <v>0</v>
      </c>
      <c r="AV79" s="202">
        <f>IFERROR(SUMIF(E79:AI79,"=ДД",E80:AI80),0)</f>
        <v>0</v>
      </c>
      <c r="AW79" s="202">
        <f>IFERROR(SUMIF(E79:AI79,"=ДО",E80:AI80),0)</f>
        <v>0</v>
      </c>
      <c r="AX79" s="202">
        <f>IFERROR(SUMIF(E79:AI79,"=ТН",E80:AI80),0)</f>
        <v>0</v>
      </c>
      <c r="AY79" s="202">
        <f>IFERROR(SUMIF(E79:AI79,"=ВД",E80:AI80),0)</f>
        <v>0</v>
      </c>
      <c r="AZ79" s="200">
        <f>IFERROR(SUMIF(E79:AI79,"=ІН",E80:AI80),0)+SUMIF(E79:AI79,"=НЗ",E80:AI80)</f>
        <v>0</v>
      </c>
    </row>
    <row r="80" spans="1:52" ht="22.5" customHeight="1" thickBot="1" x14ac:dyDescent="0.25">
      <c r="A80" s="290"/>
      <c r="B80" s="231"/>
      <c r="C80" s="231"/>
      <c r="D80" s="231"/>
      <c r="E80" s="192"/>
      <c r="F80" s="192"/>
      <c r="G80" s="192">
        <v>8.1999999999999993</v>
      </c>
      <c r="H80" s="192">
        <v>8.1999999999999993</v>
      </c>
      <c r="I80" s="192">
        <v>8.1999999999999993</v>
      </c>
      <c r="J80" s="192">
        <v>8.1999999999999993</v>
      </c>
      <c r="K80" s="192">
        <v>7</v>
      </c>
      <c r="L80" s="192"/>
      <c r="M80" s="192"/>
      <c r="N80" s="192">
        <v>8.1999999999999993</v>
      </c>
      <c r="O80" s="192">
        <v>8.1999999999999993</v>
      </c>
      <c r="P80" s="192">
        <v>8.1999999999999993</v>
      </c>
      <c r="Q80" s="192">
        <v>8.1999999999999993</v>
      </c>
      <c r="R80" s="192">
        <v>7.2</v>
      </c>
      <c r="S80" s="192"/>
      <c r="T80" s="192"/>
      <c r="U80" s="192">
        <v>8.1999999999999993</v>
      </c>
      <c r="V80" s="192">
        <v>8.1999999999999993</v>
      </c>
      <c r="W80" s="192">
        <v>8.1999999999999993</v>
      </c>
      <c r="X80" s="192">
        <v>8.1999999999999993</v>
      </c>
      <c r="Y80" s="192">
        <v>7.2</v>
      </c>
      <c r="Z80" s="192"/>
      <c r="AA80" s="192"/>
      <c r="AB80" s="192">
        <v>8.1999999999999993</v>
      </c>
      <c r="AC80" s="192">
        <v>8.1999999999999993</v>
      </c>
      <c r="AD80" s="192">
        <v>8.1999999999999993</v>
      </c>
      <c r="AE80" s="192">
        <v>8.1999999999999993</v>
      </c>
      <c r="AF80" s="192">
        <v>7.2</v>
      </c>
      <c r="AG80" s="192"/>
      <c r="AH80" s="192"/>
      <c r="AI80" s="192">
        <v>8.1999999999999993</v>
      </c>
      <c r="AJ80" s="214"/>
      <c r="AK80" s="203"/>
      <c r="AL80" s="203"/>
      <c r="AM80" s="203"/>
      <c r="AN80" s="203"/>
      <c r="AO80" s="203"/>
      <c r="AP80" s="203"/>
      <c r="AQ80" s="203"/>
      <c r="AR80" s="203"/>
      <c r="AS80" s="203"/>
      <c r="AT80" s="203"/>
      <c r="AU80" s="203"/>
      <c r="AV80" s="203"/>
      <c r="AW80" s="203"/>
      <c r="AX80" s="203"/>
      <c r="AY80" s="203"/>
      <c r="AZ80" s="201"/>
    </row>
    <row r="81" spans="1:52" ht="19.5" customHeight="1" x14ac:dyDescent="0.2">
      <c r="A81" s="289">
        <f t="shared" ref="A81" si="32">A79+1</f>
        <v>33</v>
      </c>
      <c r="B81" s="228" t="s">
        <v>306</v>
      </c>
      <c r="C81" s="228">
        <v>1671</v>
      </c>
      <c r="D81" s="228" t="s">
        <v>65</v>
      </c>
      <c r="E81" s="191" t="s">
        <v>142</v>
      </c>
      <c r="F81" s="191" t="s">
        <v>142</v>
      </c>
      <c r="G81" s="191" t="s">
        <v>4</v>
      </c>
      <c r="H81" s="191" t="s">
        <v>4</v>
      </c>
      <c r="I81" s="191" t="s">
        <v>4</v>
      </c>
      <c r="J81" s="191" t="s">
        <v>4</v>
      </c>
      <c r="K81" s="191" t="s">
        <v>4</v>
      </c>
      <c r="L81" s="191" t="s">
        <v>142</v>
      </c>
      <c r="M81" s="191" t="s">
        <v>142</v>
      </c>
      <c r="N81" s="191" t="s">
        <v>4</v>
      </c>
      <c r="O81" s="191" t="s">
        <v>4</v>
      </c>
      <c r="P81" s="191" t="s">
        <v>4</v>
      </c>
      <c r="Q81" s="191" t="s">
        <v>4</v>
      </c>
      <c r="R81" s="191" t="s">
        <v>4</v>
      </c>
      <c r="S81" s="191" t="s">
        <v>142</v>
      </c>
      <c r="T81" s="191" t="s">
        <v>142</v>
      </c>
      <c r="U81" s="191" t="s">
        <v>4</v>
      </c>
      <c r="V81" s="191" t="s">
        <v>4</v>
      </c>
      <c r="W81" s="191" t="s">
        <v>4</v>
      </c>
      <c r="X81" s="191" t="s">
        <v>4</v>
      </c>
      <c r="Y81" s="191" t="s">
        <v>4</v>
      </c>
      <c r="Z81" s="191" t="s">
        <v>142</v>
      </c>
      <c r="AA81" s="191" t="s">
        <v>142</v>
      </c>
      <c r="AB81" s="191" t="s">
        <v>4</v>
      </c>
      <c r="AC81" s="191" t="s">
        <v>4</v>
      </c>
      <c r="AD81" s="191" t="s">
        <v>4</v>
      </c>
      <c r="AE81" s="191" t="s">
        <v>4</v>
      </c>
      <c r="AF81" s="191" t="s">
        <v>4</v>
      </c>
      <c r="AG81" s="191" t="s">
        <v>142</v>
      </c>
      <c r="AH81" s="191" t="s">
        <v>142</v>
      </c>
      <c r="AI81" s="191" t="s">
        <v>4</v>
      </c>
      <c r="AJ81" s="213">
        <f>IFERROR(COUNTIF(E81:AI81,"=Р")+COUNTIF(E81:AI81,"=Р1")+COUNTIF(E81:AI81,"=ВЧ")+COUNTIF(E81:AI81,"=РН")+COUNTIF(E81:AI81,"=Р2")+COUNTIF(E81:AI81,"=Р1/РВ")+COUNTIF(E81:AI81,"=Р2/РВ")+COUNTIF(E81:AI81,"=ВЧ/РВ")+COUNTIF(E81:AI81,"=РН/РВ"),0)</f>
        <v>21</v>
      </c>
      <c r="AK81" s="202">
        <f t="shared" si="30"/>
        <v>167.99999999999997</v>
      </c>
      <c r="AL81" s="202">
        <f>IFERROR(SUMIF(E81:AI81,"=НУ",E82:AI82),0)</f>
        <v>0</v>
      </c>
      <c r="AM81" s="202">
        <f>IFERROR(SUMIF(E81:AI81,"=РН",E82:AI82)+SUMIF(E81:AI81,"=РН/РВ",E82:AI82)+SUMIFS(E82:AI82,E81:AI81,"=Р2",E82:AI82,"=8"),0)</f>
        <v>0</v>
      </c>
      <c r="AN81" s="211">
        <f>IFERROR(SUMIF(E81:AI81,"=ВЧ",E82:AI82)+SUMIF(E81:AI81,"=ВЧ/РВ",E82:AI82)+CEILING(COUNTIFS(E81:AI81,"=Р2",E82:AI82,"=7")*4,1)+CEILING(COUNTIFS(E81:AI81,"=Р2/РВ",E82:AI82,"=7")*4,1)+SUMIFS(E82:AI82,E81:AI81,"=Р1/РВ",E82:AI82,"=12")/6+SUMIFS(E82:AI82,E81:AI81,"=ВЧ2/РВ",E82:AI82,"=4")/2+SUMIFS(E82:AI82,E81:AI81,"=Р1",E82:AI82,"=12")/6+SUMIFS(E82:AI82,E81:AI81,"=Р1",E82:AI82,"=8")/4+SUMIF(E81:AI81,"=ВЧ1",E82:AI82)/2,0)</f>
        <v>0</v>
      </c>
      <c r="AO81" s="202">
        <f>IFERROR(SUMIF(E81:AI81,"=РВ",E82:AI82)+SUMIF(E81:AI81,"=ВЧ/РВ",E82:AI82)+SUMIF(E81:AI81,"=РН/РВ",E82:AI82)+SUMIF(E81:AI81,"=Р1/РВ",E82:AI82)+SUMIF(E81:AI81,"=ВЧ2/РВ",E82:AI82)+SUMIF(E81:AI81,"=Р2/РВ",E82:AI82),0)</f>
        <v>0</v>
      </c>
      <c r="AP81" s="202">
        <f t="shared" si="31"/>
        <v>10</v>
      </c>
      <c r="AQ81" s="202">
        <f>SUM(AR81:AZ81)</f>
        <v>0</v>
      </c>
      <c r="AR81" s="202">
        <f>IFERROR(SUMIF(E81:AI81,"=В",E82:AI82)+SUMIF(E81:AI81,"=Ч",E82:AI82)+SUMIF(E81:AI81,"=ВБ",E82:AI82),0)</f>
        <v>0</v>
      </c>
      <c r="AS81" s="202">
        <f>IFERROR(SUMIF(E81:AI81,"=Н",E82:AI82),0)</f>
        <v>0</v>
      </c>
      <c r="AT81" s="202">
        <f>IFERROR(SUMIF(E81:AI81,"=НА",E82:AI82),0)</f>
        <v>0</v>
      </c>
      <c r="AU81" s="202">
        <f>IFERROR(SUMIF(E81:AI81,"=ВП",E82:AI82),0)</f>
        <v>0</v>
      </c>
      <c r="AV81" s="202">
        <f>IFERROR(SUMIF(E81:AI81,"=ДД",E82:AI82),0)</f>
        <v>0</v>
      </c>
      <c r="AW81" s="202">
        <f>IFERROR(SUMIF(E81:AI81,"=ДО",E82:AI82),0)</f>
        <v>0</v>
      </c>
      <c r="AX81" s="202">
        <f>IFERROR(SUMIF(E81:AI81,"=ТН",E82:AI82),0)</f>
        <v>0</v>
      </c>
      <c r="AY81" s="202">
        <f>IFERROR(SUMIF(E81:AI81,"=ВД",E82:AI82),0)</f>
        <v>0</v>
      </c>
      <c r="AZ81" s="200">
        <f>IFERROR(SUMIF(E81:AI81,"=ІН",E82:AI82),0)+SUMIF(E81:AI81,"=НЗ",E82:AI82)</f>
        <v>0</v>
      </c>
    </row>
    <row r="82" spans="1:52" ht="19.5" customHeight="1" thickBot="1" x14ac:dyDescent="0.25">
      <c r="A82" s="290"/>
      <c r="B82" s="229"/>
      <c r="C82" s="229"/>
      <c r="D82" s="229"/>
      <c r="E82" s="192"/>
      <c r="F82" s="192"/>
      <c r="G82" s="192">
        <v>8.1999999999999993</v>
      </c>
      <c r="H82" s="192">
        <v>8.1999999999999993</v>
      </c>
      <c r="I82" s="192">
        <v>8.1999999999999993</v>
      </c>
      <c r="J82" s="192">
        <v>8.1999999999999993</v>
      </c>
      <c r="K82" s="192">
        <v>7</v>
      </c>
      <c r="L82" s="192"/>
      <c r="M82" s="192"/>
      <c r="N82" s="192">
        <v>8.1999999999999993</v>
      </c>
      <c r="O82" s="192">
        <v>8.1999999999999993</v>
      </c>
      <c r="P82" s="192">
        <v>8.1999999999999993</v>
      </c>
      <c r="Q82" s="192">
        <v>8.1999999999999993</v>
      </c>
      <c r="R82" s="192">
        <v>7.2</v>
      </c>
      <c r="S82" s="192"/>
      <c r="T82" s="192"/>
      <c r="U82" s="192">
        <v>8.1999999999999993</v>
      </c>
      <c r="V82" s="192">
        <v>8.1999999999999993</v>
      </c>
      <c r="W82" s="192">
        <v>8.1999999999999993</v>
      </c>
      <c r="X82" s="192">
        <v>8.1999999999999993</v>
      </c>
      <c r="Y82" s="192">
        <v>7.2</v>
      </c>
      <c r="Z82" s="192"/>
      <c r="AA82" s="192"/>
      <c r="AB82" s="192">
        <v>8.1999999999999993</v>
      </c>
      <c r="AC82" s="192">
        <v>8.1999999999999993</v>
      </c>
      <c r="AD82" s="192">
        <v>8.1999999999999993</v>
      </c>
      <c r="AE82" s="192">
        <v>8.1999999999999993</v>
      </c>
      <c r="AF82" s="192">
        <v>7.2</v>
      </c>
      <c r="AG82" s="192"/>
      <c r="AH82" s="192"/>
      <c r="AI82" s="192">
        <v>8.1999999999999993</v>
      </c>
      <c r="AJ82" s="214"/>
      <c r="AK82" s="203"/>
      <c r="AL82" s="203"/>
      <c r="AM82" s="203"/>
      <c r="AN82" s="212"/>
      <c r="AO82" s="203"/>
      <c r="AP82" s="203"/>
      <c r="AQ82" s="203"/>
      <c r="AR82" s="203"/>
      <c r="AS82" s="203"/>
      <c r="AT82" s="203"/>
      <c r="AU82" s="203"/>
      <c r="AV82" s="203"/>
      <c r="AW82" s="203"/>
      <c r="AX82" s="203"/>
      <c r="AY82" s="203"/>
      <c r="AZ82" s="201"/>
    </row>
    <row r="83" spans="1:52" ht="17.25" customHeight="1" x14ac:dyDescent="0.2">
      <c r="A83" s="289">
        <f t="shared" ref="A83" si="33">A81+1</f>
        <v>34</v>
      </c>
      <c r="B83" s="228" t="s">
        <v>346</v>
      </c>
      <c r="C83" s="228">
        <v>1754</v>
      </c>
      <c r="D83" s="228" t="s">
        <v>65</v>
      </c>
      <c r="E83" s="191" t="s">
        <v>142</v>
      </c>
      <c r="F83" s="191" t="s">
        <v>142</v>
      </c>
      <c r="G83" s="191" t="s">
        <v>4</v>
      </c>
      <c r="H83" s="191" t="s">
        <v>4</v>
      </c>
      <c r="I83" s="191" t="s">
        <v>4</v>
      </c>
      <c r="J83" s="191" t="s">
        <v>4</v>
      </c>
      <c r="K83" s="191" t="s">
        <v>4</v>
      </c>
      <c r="L83" s="191" t="s">
        <v>142</v>
      </c>
      <c r="M83" s="191" t="s">
        <v>142</v>
      </c>
      <c r="N83" s="191" t="s">
        <v>4</v>
      </c>
      <c r="O83" s="191" t="s">
        <v>4</v>
      </c>
      <c r="P83" s="191" t="s">
        <v>4</v>
      </c>
      <c r="Q83" s="191" t="s">
        <v>4</v>
      </c>
      <c r="R83" s="191" t="s">
        <v>4</v>
      </c>
      <c r="S83" s="191" t="s">
        <v>142</v>
      </c>
      <c r="T83" s="191" t="s">
        <v>142</v>
      </c>
      <c r="U83" s="191" t="s">
        <v>4</v>
      </c>
      <c r="V83" s="191" t="s">
        <v>4</v>
      </c>
      <c r="W83" s="191" t="s">
        <v>52</v>
      </c>
      <c r="X83" s="191" t="s">
        <v>52</v>
      </c>
      <c r="Y83" s="191" t="s">
        <v>52</v>
      </c>
      <c r="Z83" s="191" t="s">
        <v>52</v>
      </c>
      <c r="AA83" s="191" t="s">
        <v>52</v>
      </c>
      <c r="AB83" s="191" t="s">
        <v>52</v>
      </c>
      <c r="AC83" s="191" t="s">
        <v>52</v>
      </c>
      <c r="AD83" s="191" t="s">
        <v>52</v>
      </c>
      <c r="AE83" s="191" t="s">
        <v>4</v>
      </c>
      <c r="AF83" s="191" t="s">
        <v>4</v>
      </c>
      <c r="AG83" s="191" t="s">
        <v>142</v>
      </c>
      <c r="AH83" s="191" t="s">
        <v>142</v>
      </c>
      <c r="AI83" s="191" t="s">
        <v>4</v>
      </c>
      <c r="AJ83" s="213">
        <f>IFERROR(COUNTIF(E83:AI83,"=Р")+COUNTIF(E83:AI83,"=Р1")+COUNTIF(E83:AI83,"=ВЧ")+COUNTIF(E83:AI83,"=РН")+COUNTIF(E83:AI83,"=Р2")+COUNTIF(E83:AI83,"=Р1/РВ")+COUNTIF(E83:AI83,"=Р2/РВ")+COUNTIF(E83:AI83,"=ВЧ/РВ")+COUNTIF(E83:AI83,"=РН/РВ"),0)</f>
        <v>15</v>
      </c>
      <c r="AK83" s="202">
        <f t="shared" si="30"/>
        <v>119.80000000000003</v>
      </c>
      <c r="AL83" s="202">
        <f>IFERROR(SUMIF(E83:AI83,"=НУ",E84:AI84),0)</f>
        <v>0</v>
      </c>
      <c r="AM83" s="202">
        <f>IFERROR(SUMIF(E83:AI83,"=РН",E84:AI84)+SUMIF(E83:AI83,"=РН/РВ",E84:AI84)+SUMIFS(E84:AI84,E83:AI83,"=Р2",E84:AI84,"=8"),0)</f>
        <v>0</v>
      </c>
      <c r="AN83" s="211">
        <f>IFERROR(SUMIF(E83:AI83,"=ВЧ",E84:AI84)+SUMIF(E83:AI83,"=ВЧ/РВ",E84:AI84)+CEILING(COUNTIFS(E83:AI83,"=Р2",E84:AI84,"=7")*4,1)+CEILING(COUNTIFS(E83:AI83,"=Р2/РВ",E84:AI84,"=7")*4,1)+SUMIFS(E84:AI84,E83:AI83,"=Р1/РВ",E84:AI84,"=12")/6+SUMIFS(E84:AI84,E83:AI83,"=ВЧ2/РВ",E84:AI84,"=4")/2+SUMIFS(E84:AI84,E83:AI83,"=Р1",E84:AI84,"=12")/6+SUMIFS(E84:AI84,E83:AI83,"=Р1",E84:AI84,"=8")/4+SUMIF(E83:AI83,"=ВЧ1",E84:AI84)/2,0)</f>
        <v>0</v>
      </c>
      <c r="AO83" s="202">
        <f>IFERROR(SUMIF(E83:AI83,"=РВ",E84:AI84)+SUMIF(E83:AI83,"=ВЧ/РВ",E84:AI84)+SUMIF(E83:AI83,"=РН/РВ",E84:AI84)+SUMIF(E83:AI83,"=Р1/РВ",E84:AI84)+SUMIF(E83:AI83,"=ВЧ2/РВ",E84:AI84)+SUMIF(E83:AI83,"=Р2/РВ",E84:AI84),0)</f>
        <v>0</v>
      </c>
      <c r="AP83" s="202">
        <f t="shared" si="31"/>
        <v>8</v>
      </c>
      <c r="AQ83" s="202">
        <f>SUM(AR83:AZ83)</f>
        <v>48.2</v>
      </c>
      <c r="AR83" s="202">
        <f>IFERROR(SUMIF(E83:AI83,"=В",E84:AI84)+SUMIF(E83:AI83,"=Ч",E84:AI84)+SUMIF(E83:AI83,"=ВБ",E84:AI84),0)</f>
        <v>0</v>
      </c>
      <c r="AS83" s="202">
        <f>IFERROR(SUMIF(E83:AI83,"=Н",E84:AI84),0)</f>
        <v>0</v>
      </c>
      <c r="AT83" s="202">
        <f>IFERROR(SUMIF(E83:AI83,"=НА",E84:AI84),0)</f>
        <v>0</v>
      </c>
      <c r="AU83" s="202">
        <f>IFERROR(SUMIF(E83:AI83,"=ВП",E84:AI84),0)</f>
        <v>0</v>
      </c>
      <c r="AV83" s="202">
        <f>IFERROR(SUMIF(E83:AI83,"=ДД",E84:AI84),0)</f>
        <v>0</v>
      </c>
      <c r="AW83" s="202">
        <f>IFERROR(SUMIF(E83:AI83,"=ДО",E84:AI84),0)</f>
        <v>0</v>
      </c>
      <c r="AX83" s="202">
        <f>IFERROR(SUMIF(E83:AI83,"=ТН",E84:AI84),0)</f>
        <v>48.2</v>
      </c>
      <c r="AY83" s="202">
        <f>IFERROR(SUMIF(E83:AI83,"=ВД",E84:AI84),0)</f>
        <v>0</v>
      </c>
      <c r="AZ83" s="200">
        <f>IFERROR(SUMIF(E83:AI83,"=ІН",E84:AI84),0)+SUMIF(E83:AI83,"=НЗ",E84:AI84)</f>
        <v>0</v>
      </c>
    </row>
    <row r="84" spans="1:52" ht="24.75" customHeight="1" thickBot="1" x14ac:dyDescent="0.25">
      <c r="A84" s="290"/>
      <c r="B84" s="229"/>
      <c r="C84" s="229"/>
      <c r="D84" s="229"/>
      <c r="E84" s="192"/>
      <c r="F84" s="192"/>
      <c r="G84" s="192">
        <v>8.1999999999999993</v>
      </c>
      <c r="H84" s="192">
        <v>8.1999999999999993</v>
      </c>
      <c r="I84" s="192">
        <v>8.1999999999999993</v>
      </c>
      <c r="J84" s="192">
        <v>8.1999999999999993</v>
      </c>
      <c r="K84" s="192">
        <v>7</v>
      </c>
      <c r="L84" s="192"/>
      <c r="M84" s="192"/>
      <c r="N84" s="192">
        <v>8.1999999999999993</v>
      </c>
      <c r="O84" s="192">
        <v>8.1999999999999993</v>
      </c>
      <c r="P84" s="192">
        <v>8.1999999999999993</v>
      </c>
      <c r="Q84" s="192">
        <v>8.1999999999999993</v>
      </c>
      <c r="R84" s="192">
        <v>7.2</v>
      </c>
      <c r="S84" s="192"/>
      <c r="T84" s="192"/>
      <c r="U84" s="192">
        <v>8.1999999999999993</v>
      </c>
      <c r="V84" s="192">
        <v>8.1999999999999993</v>
      </c>
      <c r="W84" s="192">
        <v>8.1999999999999993</v>
      </c>
      <c r="X84" s="192">
        <v>8.1999999999999993</v>
      </c>
      <c r="Y84" s="192">
        <v>7.2</v>
      </c>
      <c r="Z84" s="192"/>
      <c r="AA84" s="192"/>
      <c r="AB84" s="192">
        <v>8.1999999999999993</v>
      </c>
      <c r="AC84" s="192">
        <v>8.1999999999999993</v>
      </c>
      <c r="AD84" s="192">
        <v>8.1999999999999993</v>
      </c>
      <c r="AE84" s="192">
        <v>8.1999999999999993</v>
      </c>
      <c r="AF84" s="192">
        <v>7.2</v>
      </c>
      <c r="AG84" s="192"/>
      <c r="AH84" s="192"/>
      <c r="AI84" s="192">
        <v>8.1999999999999993</v>
      </c>
      <c r="AJ84" s="214"/>
      <c r="AK84" s="203"/>
      <c r="AL84" s="203"/>
      <c r="AM84" s="203"/>
      <c r="AN84" s="212"/>
      <c r="AO84" s="203"/>
      <c r="AP84" s="203"/>
      <c r="AQ84" s="203"/>
      <c r="AR84" s="203"/>
      <c r="AS84" s="203"/>
      <c r="AT84" s="203"/>
      <c r="AU84" s="203"/>
      <c r="AV84" s="203"/>
      <c r="AW84" s="203"/>
      <c r="AX84" s="203"/>
      <c r="AY84" s="203"/>
      <c r="AZ84" s="201"/>
    </row>
    <row r="85" spans="1:52" ht="18" customHeight="1" x14ac:dyDescent="0.2">
      <c r="A85" s="289">
        <f t="shared" ref="A85" si="34">A83+1</f>
        <v>35</v>
      </c>
      <c r="B85" s="228" t="s">
        <v>276</v>
      </c>
      <c r="C85" s="228">
        <v>2119</v>
      </c>
      <c r="D85" s="228" t="s">
        <v>72</v>
      </c>
      <c r="E85" s="191" t="s">
        <v>142</v>
      </c>
      <c r="F85" s="191" t="s">
        <v>142</v>
      </c>
      <c r="G85" s="191" t="s">
        <v>4</v>
      </c>
      <c r="H85" s="191" t="s">
        <v>4</v>
      </c>
      <c r="I85" s="191" t="s">
        <v>4</v>
      </c>
      <c r="J85" s="191" t="s">
        <v>4</v>
      </c>
      <c r="K85" s="191" t="s">
        <v>4</v>
      </c>
      <c r="L85" s="191" t="s">
        <v>142</v>
      </c>
      <c r="M85" s="191" t="s">
        <v>142</v>
      </c>
      <c r="N85" s="191" t="s">
        <v>4</v>
      </c>
      <c r="O85" s="191" t="s">
        <v>4</v>
      </c>
      <c r="P85" s="191" t="s">
        <v>4</v>
      </c>
      <c r="Q85" s="191" t="s">
        <v>4</v>
      </c>
      <c r="R85" s="191" t="s">
        <v>4</v>
      </c>
      <c r="S85" s="191" t="s">
        <v>142</v>
      </c>
      <c r="T85" s="191" t="s">
        <v>142</v>
      </c>
      <c r="U85" s="191" t="s">
        <v>4</v>
      </c>
      <c r="V85" s="191" t="s">
        <v>4</v>
      </c>
      <c r="W85" s="191" t="s">
        <v>4</v>
      </c>
      <c r="X85" s="191" t="s">
        <v>4</v>
      </c>
      <c r="Y85" s="191" t="s">
        <v>4</v>
      </c>
      <c r="Z85" s="191" t="s">
        <v>142</v>
      </c>
      <c r="AA85" s="191" t="s">
        <v>142</v>
      </c>
      <c r="AB85" s="191" t="s">
        <v>4</v>
      </c>
      <c r="AC85" s="191" t="s">
        <v>4</v>
      </c>
      <c r="AD85" s="191" t="s">
        <v>4</v>
      </c>
      <c r="AE85" s="191" t="s">
        <v>4</v>
      </c>
      <c r="AF85" s="191" t="s">
        <v>4</v>
      </c>
      <c r="AG85" s="191" t="s">
        <v>142</v>
      </c>
      <c r="AH85" s="191" t="s">
        <v>142</v>
      </c>
      <c r="AI85" s="191" t="s">
        <v>4</v>
      </c>
      <c r="AJ85" s="213">
        <f>IFERROR(COUNTIF(E85:AI85,"=Р")+COUNTIF(E85:AI85,"=Р1")+COUNTIF(E85:AI85,"=ВЧ")+COUNTIF(E85:AI85,"=РН")+COUNTIF(E85:AI85,"=Р2")+COUNTIF(E85:AI85,"=Р1/РВ")+COUNTIF(E85:AI85,"=Р2/РВ")+COUNTIF(E85:AI85,"=ВЧ/РВ")+COUNTIF(E85:AI85,"=РН/РВ"),0)</f>
        <v>21</v>
      </c>
      <c r="AK85" s="202">
        <f t="shared" si="30"/>
        <v>167.99999999999997</v>
      </c>
      <c r="AL85" s="202">
        <f>IFERROR(SUMIF(E85:AI85,"=НУ",E86:AI86),0)</f>
        <v>0</v>
      </c>
      <c r="AM85" s="202">
        <f>IFERROR(SUMIF(E85:AI85,"=РН",E86:AI86)+SUMIF(E85:AI85,"=РН/РВ",E86:AI86)+SUMIFS(E86:AI86,E85:AI85,"=Р2",E86:AI86,"=8"),0)</f>
        <v>0</v>
      </c>
      <c r="AN85" s="211">
        <f>IFERROR(SUMIF(E85:AI85,"=ВЧ",E86:AI86)+SUMIF(E85:AI85,"=ВЧ/РВ",E86:AI86)+CEILING(COUNTIFS(E85:AI85,"=Р2",E86:AI86,"=7")*4,1)+CEILING(COUNTIFS(E85:AI85,"=Р2/РВ",E86:AI86,"=7")*4,1)+SUMIFS(E86:AI86,E85:AI85,"=Р1/РВ",E86:AI86,"=12")/6+SUMIFS(E86:AI86,E85:AI85,"=ВЧ2/РВ",E86:AI86,"=4")/2+SUMIFS(E86:AI86,E85:AI85,"=Р1",E86:AI86,"=12")/6+SUMIFS(E86:AI86,E85:AI85,"=Р1",E86:AI86,"=8")/4+SUMIF(E85:AI85,"=ВЧ1",E86:AI86)/2,0)</f>
        <v>0</v>
      </c>
      <c r="AO85" s="202">
        <f>IFERROR(SUMIF(E85:AI85,"=РВ",E86:AI86)+SUMIF(E85:AI85,"=ВЧ/РВ",E86:AI86)+SUMIF(E85:AI85,"=РН/РВ",E86:AI86)+SUMIF(E85:AI85,"=Р1/РВ",E86:AI86)+SUMIF(E85:AI85,"=ВЧ2/РВ",E86:AI86)+SUMIF(E85:AI85,"=Р2/РВ",E86:AI86),0)</f>
        <v>0</v>
      </c>
      <c r="AP85" s="202">
        <f t="shared" si="31"/>
        <v>10</v>
      </c>
      <c r="AQ85" s="202">
        <f>SUM(AR85:AZ85)</f>
        <v>0</v>
      </c>
      <c r="AR85" s="202">
        <f>IFERROR(SUMIF(E85:AI85,"=В",E86:AI86)+SUMIF(E85:AI85,"=Ч",E86:AI86)+SUMIF(E85:AI85,"=ВБ",E86:AI86),0)</f>
        <v>0</v>
      </c>
      <c r="AS85" s="202">
        <f>IFERROR(SUMIF(E85:AI85,"=Н",E86:AI86),0)</f>
        <v>0</v>
      </c>
      <c r="AT85" s="202">
        <f>IFERROR(SUMIF(E85:AI85,"=НА",E86:AI86),0)</f>
        <v>0</v>
      </c>
      <c r="AU85" s="202">
        <f>IFERROR(SUMIF(E85:AI85,"=ВП",E86:AI86),0)</f>
        <v>0</v>
      </c>
      <c r="AV85" s="202">
        <f>IFERROR(SUMIF(E85:AI85,"=ДД",E86:AI86),0)</f>
        <v>0</v>
      </c>
      <c r="AW85" s="202">
        <f>IFERROR(SUMIF(E85:AI85,"=ДО",E86:AI86),0)</f>
        <v>0</v>
      </c>
      <c r="AX85" s="202">
        <f>IFERROR(SUMIF(E85:AI85,"=ТН",E86:AI86),0)</f>
        <v>0</v>
      </c>
      <c r="AY85" s="202">
        <f>IFERROR(SUMIF(E85:AI85,"=ВД",E86:AI86),0)</f>
        <v>0</v>
      </c>
      <c r="AZ85" s="200">
        <f>IFERROR(SUMIF(E85:AI85,"=ІН",E86:AI86),0)+SUMIF(E85:AI85,"=НЗ",E86:AI86)</f>
        <v>0</v>
      </c>
    </row>
    <row r="86" spans="1:52" ht="20.100000000000001" customHeight="1" thickBot="1" x14ac:dyDescent="0.25">
      <c r="A86" s="290"/>
      <c r="B86" s="229"/>
      <c r="C86" s="229"/>
      <c r="D86" s="229"/>
      <c r="E86" s="192"/>
      <c r="F86" s="192"/>
      <c r="G86" s="192">
        <v>8.1999999999999993</v>
      </c>
      <c r="H86" s="192">
        <v>8.1999999999999993</v>
      </c>
      <c r="I86" s="192">
        <v>8.1999999999999993</v>
      </c>
      <c r="J86" s="192">
        <v>8.1999999999999993</v>
      </c>
      <c r="K86" s="192">
        <v>7</v>
      </c>
      <c r="L86" s="192"/>
      <c r="M86" s="192"/>
      <c r="N86" s="192">
        <v>8.1999999999999993</v>
      </c>
      <c r="O86" s="192">
        <v>8.1999999999999993</v>
      </c>
      <c r="P86" s="192">
        <v>8.1999999999999993</v>
      </c>
      <c r="Q86" s="192">
        <v>8.1999999999999993</v>
      </c>
      <c r="R86" s="192">
        <v>7.2</v>
      </c>
      <c r="S86" s="192"/>
      <c r="T86" s="192"/>
      <c r="U86" s="192">
        <v>8.1999999999999993</v>
      </c>
      <c r="V86" s="192">
        <v>8.1999999999999993</v>
      </c>
      <c r="W86" s="192">
        <v>8.1999999999999993</v>
      </c>
      <c r="X86" s="192">
        <v>8.1999999999999993</v>
      </c>
      <c r="Y86" s="192">
        <v>7.2</v>
      </c>
      <c r="Z86" s="192"/>
      <c r="AA86" s="192"/>
      <c r="AB86" s="192">
        <v>8.1999999999999993</v>
      </c>
      <c r="AC86" s="192">
        <v>8.1999999999999993</v>
      </c>
      <c r="AD86" s="192">
        <v>8.1999999999999993</v>
      </c>
      <c r="AE86" s="192">
        <v>8.1999999999999993</v>
      </c>
      <c r="AF86" s="192">
        <v>7.2</v>
      </c>
      <c r="AG86" s="192"/>
      <c r="AH86" s="192"/>
      <c r="AI86" s="192">
        <v>8.1999999999999993</v>
      </c>
      <c r="AJ86" s="214"/>
      <c r="AK86" s="203"/>
      <c r="AL86" s="203"/>
      <c r="AM86" s="203"/>
      <c r="AN86" s="212"/>
      <c r="AO86" s="203"/>
      <c r="AP86" s="203"/>
      <c r="AQ86" s="203"/>
      <c r="AR86" s="203"/>
      <c r="AS86" s="203"/>
      <c r="AT86" s="203"/>
      <c r="AU86" s="203"/>
      <c r="AV86" s="203"/>
      <c r="AW86" s="203"/>
      <c r="AX86" s="203"/>
      <c r="AY86" s="203"/>
      <c r="AZ86" s="201"/>
    </row>
    <row r="87" spans="1:52" ht="18.75" customHeight="1" x14ac:dyDescent="0.2">
      <c r="A87" s="289">
        <f t="shared" ref="A87" si="35">A85+1</f>
        <v>36</v>
      </c>
      <c r="B87" s="228" t="s">
        <v>189</v>
      </c>
      <c r="C87" s="228">
        <v>1984</v>
      </c>
      <c r="D87" s="228" t="s">
        <v>65</v>
      </c>
      <c r="E87" s="191" t="s">
        <v>142</v>
      </c>
      <c r="F87" s="191" t="s">
        <v>142</v>
      </c>
      <c r="G87" s="191" t="s">
        <v>4</v>
      </c>
      <c r="H87" s="191" t="s">
        <v>4</v>
      </c>
      <c r="I87" s="191" t="s">
        <v>4</v>
      </c>
      <c r="J87" s="191" t="s">
        <v>4</v>
      </c>
      <c r="K87" s="191" t="s">
        <v>4</v>
      </c>
      <c r="L87" s="191" t="s">
        <v>142</v>
      </c>
      <c r="M87" s="191" t="s">
        <v>142</v>
      </c>
      <c r="N87" s="191" t="s">
        <v>4</v>
      </c>
      <c r="O87" s="191" t="s">
        <v>4</v>
      </c>
      <c r="P87" s="191" t="s">
        <v>4</v>
      </c>
      <c r="Q87" s="191" t="s">
        <v>4</v>
      </c>
      <c r="R87" s="191" t="s">
        <v>4</v>
      </c>
      <c r="S87" s="191" t="s">
        <v>142</v>
      </c>
      <c r="T87" s="191" t="s">
        <v>142</v>
      </c>
      <c r="U87" s="191" t="s">
        <v>4</v>
      </c>
      <c r="V87" s="191" t="s">
        <v>4</v>
      </c>
      <c r="W87" s="191" t="s">
        <v>4</v>
      </c>
      <c r="X87" s="191" t="s">
        <v>4</v>
      </c>
      <c r="Y87" s="191" t="s">
        <v>4</v>
      </c>
      <c r="Z87" s="191" t="s">
        <v>142</v>
      </c>
      <c r="AA87" s="191" t="s">
        <v>142</v>
      </c>
      <c r="AB87" s="191" t="s">
        <v>4</v>
      </c>
      <c r="AC87" s="191" t="s">
        <v>4</v>
      </c>
      <c r="AD87" s="191" t="s">
        <v>4</v>
      </c>
      <c r="AE87" s="191" t="s">
        <v>4</v>
      </c>
      <c r="AF87" s="191" t="s">
        <v>4</v>
      </c>
      <c r="AG87" s="191" t="s">
        <v>142</v>
      </c>
      <c r="AH87" s="191" t="s">
        <v>142</v>
      </c>
      <c r="AI87" s="191" t="s">
        <v>4</v>
      </c>
      <c r="AJ87" s="213">
        <f>IFERROR(COUNTIF(E87:AI87,"=Р")+COUNTIF(E87:AI87,"=Р1")+COUNTIF(E87:AI87,"=ВЧ")+COUNTIF(E87:AI87,"=РН")+COUNTIF(E87:AI87,"=Р2")+COUNTIF(E87:AI87,"=Р1/РВ")+COUNTIF(E87:AI87,"=Р2/РВ")+COUNTIF(E87:AI87,"=ВЧ/РВ")+COUNTIF(E87:AI87,"=РН/РВ"),0)</f>
        <v>21</v>
      </c>
      <c r="AK87" s="202">
        <f t="shared" si="30"/>
        <v>167.99999999999997</v>
      </c>
      <c r="AL87" s="202">
        <f>IFERROR(SUMIF(E87:AI87,"=НУ",E88:AI88),0)</f>
        <v>0</v>
      </c>
      <c r="AM87" s="202">
        <f>IFERROR(SUMIF(E87:AI87,"=РН",E88:AI88)+SUMIF(E87:AI87,"=РН/РВ",E88:AI88)+SUMIFS(E88:AI88,E87:AI87,"=Р2",E88:AI88,"=8"),0)</f>
        <v>0</v>
      </c>
      <c r="AN87" s="211">
        <f>IFERROR(SUMIF(E87:AI87,"=ВЧ",E88:AI88)+SUMIF(E87:AI87,"=ВЧ/РВ",E88:AI88)+CEILING(COUNTIFS(E87:AI87,"=Р2",E88:AI88,"=7")*4,1)+CEILING(COUNTIFS(E87:AI87,"=Р2/РВ",E88:AI88,"=7")*4,1)+SUMIFS(E88:AI88,E87:AI87,"=Р1/РВ",E88:AI88,"=12")/6+SUMIFS(E88:AI88,E87:AI87,"=ВЧ2/РВ",E88:AI88,"=4")/2+SUMIFS(E88:AI88,E87:AI87,"=Р1",E88:AI88,"=12")/6+SUMIFS(E88:AI88,E87:AI87,"=Р1",E88:AI88,"=8")/4+SUMIF(E87:AI87,"=ВЧ1",E88:AI88)/2,0)</f>
        <v>0</v>
      </c>
      <c r="AO87" s="202">
        <f>IFERROR(SUMIF(E87:AI87,"=РВ",E88:AI88)+SUMIF(E87:AI87,"=ВЧ/РВ",E88:AI88)+SUMIF(E87:AI87,"=РН/РВ",E88:AI88)+SUMIF(E87:AI87,"=Р1/РВ",E88:AI88)+SUMIF(E87:AI87,"=ВЧ2/РВ",E88:AI88)+SUMIF(E87:AI87,"=Р2/РВ",E88:AI88),0)</f>
        <v>0</v>
      </c>
      <c r="AP87" s="202">
        <f t="shared" si="31"/>
        <v>10</v>
      </c>
      <c r="AQ87" s="202">
        <f>SUM(AR87:AZ87)</f>
        <v>0</v>
      </c>
      <c r="AR87" s="202">
        <f>IFERROR(SUMIF(E87:AI87,"=В",E88:AI88)+SUMIF(E87:AI87,"=Ч",E88:AI88)+SUMIF(E87:AI87,"=ВБ",E88:AI88),0)</f>
        <v>0</v>
      </c>
      <c r="AS87" s="202">
        <f>IFERROR(SUMIF(E87:AI87,"=Н",E88:AI88),0)</f>
        <v>0</v>
      </c>
      <c r="AT87" s="202">
        <f>IFERROR(SUMIF(E87:AI87,"=НА",E88:AI88),0)</f>
        <v>0</v>
      </c>
      <c r="AU87" s="202">
        <f>IFERROR(SUMIF(E87:AI87,"=ВП",E88:AI88),0)</f>
        <v>0</v>
      </c>
      <c r="AV87" s="202">
        <f>IFERROR(SUMIF(E87:AI87,"=ДД",E88:AI88),0)</f>
        <v>0</v>
      </c>
      <c r="AW87" s="202">
        <f>IFERROR(SUMIF(E87:AI87,"=ДО",E88:AI88),0)</f>
        <v>0</v>
      </c>
      <c r="AX87" s="202">
        <f>IFERROR(SUMIF(E87:AI87,"=ТН",E88:AI88),0)</f>
        <v>0</v>
      </c>
      <c r="AY87" s="202">
        <f>IFERROR(SUMIF(E87:AI87,"=ВД",E88:AI88),0)</f>
        <v>0</v>
      </c>
      <c r="AZ87" s="200">
        <f>IFERROR(SUMIF(E87:AI87,"=ІН",E88:AI88),0)+SUMIF(E87:AI87,"=НЗ",E88:AI88)</f>
        <v>0</v>
      </c>
    </row>
    <row r="88" spans="1:52" ht="20.100000000000001" customHeight="1" thickBot="1" x14ac:dyDescent="0.25">
      <c r="A88" s="290"/>
      <c r="B88" s="229"/>
      <c r="C88" s="229"/>
      <c r="D88" s="229"/>
      <c r="E88" s="192"/>
      <c r="F88" s="192"/>
      <c r="G88" s="192">
        <v>8.1999999999999993</v>
      </c>
      <c r="H88" s="192">
        <v>8.1999999999999993</v>
      </c>
      <c r="I88" s="192">
        <v>8.1999999999999993</v>
      </c>
      <c r="J88" s="192">
        <v>8.1999999999999993</v>
      </c>
      <c r="K88" s="192">
        <v>7</v>
      </c>
      <c r="L88" s="192"/>
      <c r="M88" s="192"/>
      <c r="N88" s="192">
        <v>8.1999999999999993</v>
      </c>
      <c r="O88" s="192">
        <v>8.1999999999999993</v>
      </c>
      <c r="P88" s="192">
        <v>8.1999999999999993</v>
      </c>
      <c r="Q88" s="192">
        <v>8.1999999999999993</v>
      </c>
      <c r="R88" s="192">
        <v>7.2</v>
      </c>
      <c r="S88" s="192"/>
      <c r="T88" s="192"/>
      <c r="U88" s="192">
        <v>8.1999999999999993</v>
      </c>
      <c r="V88" s="192">
        <v>8.1999999999999993</v>
      </c>
      <c r="W88" s="192">
        <v>8.1999999999999993</v>
      </c>
      <c r="X88" s="192">
        <v>8.1999999999999993</v>
      </c>
      <c r="Y88" s="192">
        <v>7.2</v>
      </c>
      <c r="Z88" s="192"/>
      <c r="AA88" s="192"/>
      <c r="AB88" s="192">
        <v>8.1999999999999993</v>
      </c>
      <c r="AC88" s="192">
        <v>8.1999999999999993</v>
      </c>
      <c r="AD88" s="192">
        <v>8.1999999999999993</v>
      </c>
      <c r="AE88" s="192">
        <v>8.1999999999999993</v>
      </c>
      <c r="AF88" s="192">
        <v>7.2</v>
      </c>
      <c r="AG88" s="192"/>
      <c r="AH88" s="192"/>
      <c r="AI88" s="192">
        <v>8.1999999999999993</v>
      </c>
      <c r="AJ88" s="214"/>
      <c r="AK88" s="203"/>
      <c r="AL88" s="203"/>
      <c r="AM88" s="203"/>
      <c r="AN88" s="212"/>
      <c r="AO88" s="203"/>
      <c r="AP88" s="203"/>
      <c r="AQ88" s="203"/>
      <c r="AR88" s="203"/>
      <c r="AS88" s="203"/>
      <c r="AT88" s="203"/>
      <c r="AU88" s="203"/>
      <c r="AV88" s="203"/>
      <c r="AW88" s="203"/>
      <c r="AX88" s="203"/>
      <c r="AY88" s="203"/>
      <c r="AZ88" s="201"/>
    </row>
    <row r="89" spans="1:52" ht="20.100000000000001" customHeight="1" x14ac:dyDescent="0.2">
      <c r="A89" s="289">
        <f t="shared" ref="A89" si="36">A87+1</f>
        <v>37</v>
      </c>
      <c r="B89" s="228" t="s">
        <v>190</v>
      </c>
      <c r="C89" s="228">
        <v>1558</v>
      </c>
      <c r="D89" s="228" t="s">
        <v>65</v>
      </c>
      <c r="E89" s="191" t="s">
        <v>142</v>
      </c>
      <c r="F89" s="191" t="s">
        <v>142</v>
      </c>
      <c r="G89" s="191" t="s">
        <v>4</v>
      </c>
      <c r="H89" s="191" t="s">
        <v>4</v>
      </c>
      <c r="I89" s="191" t="s">
        <v>4</v>
      </c>
      <c r="J89" s="191" t="s">
        <v>4</v>
      </c>
      <c r="K89" s="191" t="s">
        <v>4</v>
      </c>
      <c r="L89" s="191" t="s">
        <v>142</v>
      </c>
      <c r="M89" s="191" t="s">
        <v>142</v>
      </c>
      <c r="N89" s="191" t="s">
        <v>4</v>
      </c>
      <c r="O89" s="191" t="s">
        <v>4</v>
      </c>
      <c r="P89" s="191" t="s">
        <v>4</v>
      </c>
      <c r="Q89" s="191" t="s">
        <v>4</v>
      </c>
      <c r="R89" s="191" t="s">
        <v>4</v>
      </c>
      <c r="S89" s="191" t="s">
        <v>142</v>
      </c>
      <c r="T89" s="191" t="s">
        <v>142</v>
      </c>
      <c r="U89" s="191" t="s">
        <v>4</v>
      </c>
      <c r="V89" s="191" t="s">
        <v>4</v>
      </c>
      <c r="W89" s="191" t="s">
        <v>4</v>
      </c>
      <c r="X89" s="191" t="s">
        <v>4</v>
      </c>
      <c r="Y89" s="191" t="s">
        <v>4</v>
      </c>
      <c r="Z89" s="191" t="s">
        <v>142</v>
      </c>
      <c r="AA89" s="191" t="s">
        <v>142</v>
      </c>
      <c r="AB89" s="191" t="s">
        <v>4</v>
      </c>
      <c r="AC89" s="191" t="s">
        <v>4</v>
      </c>
      <c r="AD89" s="191" t="s">
        <v>4</v>
      </c>
      <c r="AE89" s="191" t="s">
        <v>4</v>
      </c>
      <c r="AF89" s="191" t="s">
        <v>4</v>
      </c>
      <c r="AG89" s="191" t="s">
        <v>142</v>
      </c>
      <c r="AH89" s="191" t="s">
        <v>142</v>
      </c>
      <c r="AI89" s="191" t="s">
        <v>4</v>
      </c>
      <c r="AJ89" s="213">
        <f>IFERROR(COUNTIF(E89:AI89,"=Р")+COUNTIF(E89:AI89,"=Р1")+COUNTIF(E89:AI89,"=ВЧ")+COUNTIF(E89:AI89,"=РН")+COUNTIF(E89:AI89,"=Р2")+COUNTIF(E89:AI89,"=Р1/РВ")+COUNTIF(E89:AI89,"=Р2/РВ")+COUNTIF(E89:AI89,"=ВЧ/РВ")+COUNTIF(E89:AI89,"=РН/РВ"),0)</f>
        <v>21</v>
      </c>
      <c r="AK89" s="202">
        <f t="shared" si="30"/>
        <v>167.99999999999997</v>
      </c>
      <c r="AL89" s="202">
        <f>IFERROR(SUMIF(E89:AI89,"=НУ",E90:AI90),0)</f>
        <v>0</v>
      </c>
      <c r="AM89" s="202">
        <f>IFERROR(SUMIF(E89:AI89,"=РН",E90:AI90)+SUMIF(E89:AI89,"=РН/РВ",E90:AI90)+SUMIFS(E90:AI90,E89:AI89,"=Р2",E90:AI90,"=8"),0)</f>
        <v>0</v>
      </c>
      <c r="AN89" s="211">
        <f>IFERROR(SUMIF(E89:AI89,"=ВЧ",E90:AI90)+SUMIF(E89:AI89,"=ВЧ/РВ",E90:AI90)+CEILING(COUNTIFS(E89:AI89,"=Р2",E90:AI90,"=7")*4,1)+CEILING(COUNTIFS(E89:AI89,"=Р2/РВ",E90:AI90,"=7")*4,1)+SUMIFS(E90:AI90,E89:AI89,"=Р1/РВ",E90:AI90,"=12")/6+SUMIFS(E90:AI90,E89:AI89,"=ВЧ2/РВ",E90:AI90,"=4")/2+SUMIFS(E90:AI90,E89:AI89,"=Р1",E90:AI90,"=12")/6+SUMIFS(E90:AI90,E89:AI89,"=Р1",E90:AI90,"=8")/4+SUMIF(E89:AI89,"=ВЧ1",E90:AI90)/2,0)</f>
        <v>0</v>
      </c>
      <c r="AO89" s="202">
        <f>IFERROR(SUMIF(E89:AI89,"=РВ",E90:AI90)+SUMIF(E89:AI89,"=ВЧ/РВ",E90:AI90)+SUMIF(E89:AI89,"=РН/РВ",E90:AI90)+SUMIF(E89:AI89,"=Р1/РВ",E90:AI90)+SUMIF(E89:AI89,"=ВЧ2/РВ",E90:AI90)+SUMIF(E89:AI89,"=Р2/РВ",E90:AI90),0)</f>
        <v>0</v>
      </c>
      <c r="AP89" s="202">
        <f t="shared" si="31"/>
        <v>10</v>
      </c>
      <c r="AQ89" s="202">
        <f>SUM(AR89:AZ89)</f>
        <v>0</v>
      </c>
      <c r="AR89" s="202">
        <f>IFERROR(SUMIF(E89:AI89,"=В",E90:AI90)+SUMIF(E89:AI89,"=Ч",E90:AI90)+SUMIF(E89:AI89,"=ВБ",E90:AI90),0)</f>
        <v>0</v>
      </c>
      <c r="AS89" s="202">
        <f>IFERROR(SUMIF(E89:AI89,"=Н",E90:AI90),0)</f>
        <v>0</v>
      </c>
      <c r="AT89" s="202">
        <f>IFERROR(SUMIF(E89:AI89,"=НА",E90:AI90),0)</f>
        <v>0</v>
      </c>
      <c r="AU89" s="202">
        <f>IFERROR(SUMIF(E89:AI89,"=ВП",E90:AI90),0)</f>
        <v>0</v>
      </c>
      <c r="AV89" s="202">
        <f>IFERROR(SUMIF(E89:AI89,"=ДД",E90:AI90),0)</f>
        <v>0</v>
      </c>
      <c r="AW89" s="202">
        <f>IFERROR(SUMIF(E89:AI89,"=ДО",E90:AI90),0)</f>
        <v>0</v>
      </c>
      <c r="AX89" s="202">
        <f>IFERROR(SUMIF(E89:AI89,"=ТН",E90:AI90),0)</f>
        <v>0</v>
      </c>
      <c r="AY89" s="202">
        <f>IFERROR(SUMIF(E89:AI89,"=ВД",E90:AI90),0)</f>
        <v>0</v>
      </c>
      <c r="AZ89" s="200">
        <f>IFERROR(SUMIF(E89:AI89,"=ІН",E90:AI90),0)+SUMIF(E89:AI89,"=НЗ",E90:AI90)</f>
        <v>0</v>
      </c>
    </row>
    <row r="90" spans="1:52" ht="23.25" customHeight="1" thickBot="1" x14ac:dyDescent="0.25">
      <c r="A90" s="290"/>
      <c r="B90" s="229"/>
      <c r="C90" s="229"/>
      <c r="D90" s="229"/>
      <c r="E90" s="192"/>
      <c r="F90" s="192"/>
      <c r="G90" s="192">
        <v>8.1999999999999993</v>
      </c>
      <c r="H90" s="192">
        <v>8.1999999999999993</v>
      </c>
      <c r="I90" s="192">
        <v>8.1999999999999993</v>
      </c>
      <c r="J90" s="192">
        <v>8.1999999999999993</v>
      </c>
      <c r="K90" s="192">
        <v>7</v>
      </c>
      <c r="L90" s="192"/>
      <c r="M90" s="192"/>
      <c r="N90" s="192">
        <v>8.1999999999999993</v>
      </c>
      <c r="O90" s="192">
        <v>8.1999999999999993</v>
      </c>
      <c r="P90" s="192">
        <v>8.1999999999999993</v>
      </c>
      <c r="Q90" s="192">
        <v>8.1999999999999993</v>
      </c>
      <c r="R90" s="192">
        <v>7.2</v>
      </c>
      <c r="S90" s="192"/>
      <c r="T90" s="192"/>
      <c r="U90" s="192">
        <v>8.1999999999999993</v>
      </c>
      <c r="V90" s="192">
        <v>8.1999999999999993</v>
      </c>
      <c r="W90" s="192">
        <v>8.1999999999999993</v>
      </c>
      <c r="X90" s="192">
        <v>8.1999999999999993</v>
      </c>
      <c r="Y90" s="192">
        <v>7.2</v>
      </c>
      <c r="Z90" s="192"/>
      <c r="AA90" s="192"/>
      <c r="AB90" s="192">
        <v>8.1999999999999993</v>
      </c>
      <c r="AC90" s="192">
        <v>8.1999999999999993</v>
      </c>
      <c r="AD90" s="192">
        <v>8.1999999999999993</v>
      </c>
      <c r="AE90" s="192">
        <v>8.1999999999999993</v>
      </c>
      <c r="AF90" s="192">
        <v>7.2</v>
      </c>
      <c r="AG90" s="192"/>
      <c r="AH90" s="192"/>
      <c r="AI90" s="192">
        <v>8.1999999999999993</v>
      </c>
      <c r="AJ90" s="214"/>
      <c r="AK90" s="203"/>
      <c r="AL90" s="203"/>
      <c r="AM90" s="203"/>
      <c r="AN90" s="212"/>
      <c r="AO90" s="203"/>
      <c r="AP90" s="203"/>
      <c r="AQ90" s="203"/>
      <c r="AR90" s="203"/>
      <c r="AS90" s="203"/>
      <c r="AT90" s="203"/>
      <c r="AU90" s="203"/>
      <c r="AV90" s="203"/>
      <c r="AW90" s="203"/>
      <c r="AX90" s="203"/>
      <c r="AY90" s="203"/>
      <c r="AZ90" s="201"/>
    </row>
    <row r="91" spans="1:52" ht="20.100000000000001" customHeight="1" x14ac:dyDescent="0.2">
      <c r="A91" s="289">
        <f t="shared" ref="A91" si="37">A89+1</f>
        <v>38</v>
      </c>
      <c r="B91" s="228" t="s">
        <v>191</v>
      </c>
      <c r="C91" s="228">
        <v>439</v>
      </c>
      <c r="D91" s="228" t="s">
        <v>65</v>
      </c>
      <c r="E91" s="191" t="s">
        <v>142</v>
      </c>
      <c r="F91" s="191" t="s">
        <v>142</v>
      </c>
      <c r="G91" s="191" t="s">
        <v>4</v>
      </c>
      <c r="H91" s="191" t="s">
        <v>4</v>
      </c>
      <c r="I91" s="191" t="s">
        <v>4</v>
      </c>
      <c r="J91" s="191" t="s">
        <v>4</v>
      </c>
      <c r="K91" s="191" t="s">
        <v>4</v>
      </c>
      <c r="L91" s="191" t="s">
        <v>142</v>
      </c>
      <c r="M91" s="191" t="s">
        <v>142</v>
      </c>
      <c r="N91" s="191" t="s">
        <v>4</v>
      </c>
      <c r="O91" s="191" t="s">
        <v>4</v>
      </c>
      <c r="P91" s="191" t="s">
        <v>4</v>
      </c>
      <c r="Q91" s="191" t="s">
        <v>4</v>
      </c>
      <c r="R91" s="191" t="s">
        <v>4</v>
      </c>
      <c r="S91" s="191" t="s">
        <v>142</v>
      </c>
      <c r="T91" s="191" t="s">
        <v>142</v>
      </c>
      <c r="U91" s="191" t="s">
        <v>4</v>
      </c>
      <c r="V91" s="191" t="s">
        <v>4</v>
      </c>
      <c r="W91" s="191" t="s">
        <v>4</v>
      </c>
      <c r="X91" s="191" t="s">
        <v>4</v>
      </c>
      <c r="Y91" s="191" t="s">
        <v>4</v>
      </c>
      <c r="Z91" s="191" t="s">
        <v>142</v>
      </c>
      <c r="AA91" s="191" t="s">
        <v>142</v>
      </c>
      <c r="AB91" s="191" t="s">
        <v>52</v>
      </c>
      <c r="AC91" s="191" t="s">
        <v>52</v>
      </c>
      <c r="AD91" s="191" t="s">
        <v>52</v>
      </c>
      <c r="AE91" s="191" t="s">
        <v>52</v>
      </c>
      <c r="AF91" s="191" t="s">
        <v>52</v>
      </c>
      <c r="AG91" s="191" t="s">
        <v>142</v>
      </c>
      <c r="AH91" s="191" t="s">
        <v>142</v>
      </c>
      <c r="AI91" s="191" t="s">
        <v>4</v>
      </c>
      <c r="AJ91" s="213">
        <f>IFERROR(COUNTIF(E91:AI91,"=Р")+COUNTIF(E91:AI91,"=Р1")+COUNTIF(E91:AI91,"=ВЧ")+COUNTIF(E91:AI91,"=РН")+COUNTIF(E91:AI91,"=Р2")+COUNTIF(E91:AI91,"=Р1/РВ")+COUNTIF(E91:AI91,"=Р2/РВ")+COUNTIF(E91:AI91,"=ВЧ/РВ")+COUNTIF(E91:AI91,"=РН/РВ"),0)</f>
        <v>16</v>
      </c>
      <c r="AK91" s="202">
        <f t="shared" si="30"/>
        <v>128.00000000000003</v>
      </c>
      <c r="AL91" s="202">
        <f>IFERROR(SUMIF(E91:AI91,"=НУ",E92:AI92),0)</f>
        <v>0</v>
      </c>
      <c r="AM91" s="202">
        <f>IFERROR(SUMIF(E91:AI91,"=РН",E92:AI92)+SUMIF(E91:AI91,"=РН/РВ",E92:AI92)+SUMIFS(E92:AI92,E91:AI91,"=Р2",E92:AI92,"=8"),0)</f>
        <v>0</v>
      </c>
      <c r="AN91" s="211">
        <f>IFERROR(SUMIF(E91:AI91,"=ВЧ",E92:AI92)+SUMIF(E91:AI91,"=ВЧ/РВ",E92:AI92)+CEILING(COUNTIFS(E91:AI91,"=Р2",E92:AI92,"=7")*4,1)+CEILING(COUNTIFS(E91:AI91,"=Р2/РВ",E92:AI92,"=7")*4,1)+SUMIFS(E92:AI92,E91:AI91,"=Р1/РВ",E92:AI92,"=12")/6+SUMIFS(E92:AI92,E91:AI91,"=ВЧ2/РВ",E92:AI92,"=4")/2+SUMIFS(E92:AI92,E91:AI91,"=Р1",E92:AI92,"=12")/6+SUMIFS(E92:AI92,E91:AI91,"=Р1",E92:AI92,"=8")/4+SUMIF(E91:AI91,"=ВЧ1",E92:AI92)/2,0)</f>
        <v>0</v>
      </c>
      <c r="AO91" s="202">
        <f>IFERROR(SUMIF(E91:AI91,"=РВ",E92:AI92)+SUMIF(E91:AI91,"=ВЧ/РВ",E92:AI92)+SUMIF(E91:AI91,"=РН/РВ",E92:AI92)+SUMIF(E91:AI91,"=Р1/РВ",E92:AI92)+SUMIF(E91:AI91,"=ВЧ2/РВ",E92:AI92)+SUMIF(E91:AI91,"=Р2/РВ",E92:AI92),0)</f>
        <v>0</v>
      </c>
      <c r="AP91" s="202">
        <f t="shared" si="31"/>
        <v>10</v>
      </c>
      <c r="AQ91" s="202">
        <f>SUM(AR91:AZ91)</f>
        <v>40</v>
      </c>
      <c r="AR91" s="202">
        <f>IFERROR(SUMIF(E91:AI91,"=В",E92:AI92)+SUMIF(E91:AI91,"=Ч",E92:AI92)+SUMIF(E91:AI91,"=ВБ",E92:AI92),0)</f>
        <v>0</v>
      </c>
      <c r="AS91" s="202">
        <f>IFERROR(SUMIF(E91:AI91,"=Н",E92:AI92),0)</f>
        <v>0</v>
      </c>
      <c r="AT91" s="202">
        <f>IFERROR(SUMIF(E91:AI91,"=НА",E92:AI92),0)</f>
        <v>0</v>
      </c>
      <c r="AU91" s="202">
        <f>IFERROR(SUMIF(E91:AI91,"=ВП",E92:AI92),0)</f>
        <v>0</v>
      </c>
      <c r="AV91" s="202">
        <f>IFERROR(SUMIF(E91:AI91,"=ДД",E92:AI92),0)</f>
        <v>0</v>
      </c>
      <c r="AW91" s="202">
        <f>IFERROR(SUMIF(E91:AI91,"=ДО",E92:AI92),0)</f>
        <v>0</v>
      </c>
      <c r="AX91" s="202">
        <f>IFERROR(SUMIF(E91:AI91,"=ТН",E92:AI92),0)</f>
        <v>40</v>
      </c>
      <c r="AY91" s="202">
        <f>IFERROR(SUMIF(E91:AI91,"=ВД",E92:AI92),0)</f>
        <v>0</v>
      </c>
      <c r="AZ91" s="200">
        <f>IFERROR(SUMIF(E91:AI91,"=ІН",E92:AI92),0)+SUMIF(E91:AI91,"=НЗ",E92:AI92)</f>
        <v>0</v>
      </c>
    </row>
    <row r="92" spans="1:52" ht="20.100000000000001" customHeight="1" thickBot="1" x14ac:dyDescent="0.25">
      <c r="A92" s="290"/>
      <c r="B92" s="229"/>
      <c r="C92" s="229"/>
      <c r="D92" s="229"/>
      <c r="E92" s="192"/>
      <c r="F92" s="192"/>
      <c r="G92" s="192">
        <v>8.1999999999999993</v>
      </c>
      <c r="H92" s="192">
        <v>8.1999999999999993</v>
      </c>
      <c r="I92" s="192">
        <v>8.1999999999999993</v>
      </c>
      <c r="J92" s="192">
        <v>8.1999999999999993</v>
      </c>
      <c r="K92" s="192">
        <v>7</v>
      </c>
      <c r="L92" s="192"/>
      <c r="M92" s="192"/>
      <c r="N92" s="192">
        <v>8.1999999999999993</v>
      </c>
      <c r="O92" s="192">
        <v>8.1999999999999993</v>
      </c>
      <c r="P92" s="192">
        <v>8.1999999999999993</v>
      </c>
      <c r="Q92" s="192">
        <v>8.1999999999999993</v>
      </c>
      <c r="R92" s="192">
        <v>7.2</v>
      </c>
      <c r="S92" s="192"/>
      <c r="T92" s="192"/>
      <c r="U92" s="192">
        <v>8.1999999999999993</v>
      </c>
      <c r="V92" s="192">
        <v>8.1999999999999993</v>
      </c>
      <c r="W92" s="192">
        <v>8.1999999999999993</v>
      </c>
      <c r="X92" s="192">
        <v>8.1999999999999993</v>
      </c>
      <c r="Y92" s="192">
        <v>7.2</v>
      </c>
      <c r="Z92" s="192"/>
      <c r="AA92" s="192"/>
      <c r="AB92" s="192">
        <v>8.1999999999999993</v>
      </c>
      <c r="AC92" s="192">
        <v>8.1999999999999993</v>
      </c>
      <c r="AD92" s="192">
        <v>8.1999999999999993</v>
      </c>
      <c r="AE92" s="192">
        <v>8.1999999999999993</v>
      </c>
      <c r="AF92" s="192">
        <v>7.2</v>
      </c>
      <c r="AG92" s="192"/>
      <c r="AH92" s="192"/>
      <c r="AI92" s="192">
        <v>8.1999999999999993</v>
      </c>
      <c r="AJ92" s="214"/>
      <c r="AK92" s="203"/>
      <c r="AL92" s="203"/>
      <c r="AM92" s="203"/>
      <c r="AN92" s="212"/>
      <c r="AO92" s="203"/>
      <c r="AP92" s="203"/>
      <c r="AQ92" s="203"/>
      <c r="AR92" s="203"/>
      <c r="AS92" s="203"/>
      <c r="AT92" s="203"/>
      <c r="AU92" s="203"/>
      <c r="AV92" s="203"/>
      <c r="AW92" s="203"/>
      <c r="AX92" s="203"/>
      <c r="AY92" s="203"/>
      <c r="AZ92" s="201"/>
    </row>
    <row r="93" spans="1:52" ht="20.100000000000001" customHeight="1" x14ac:dyDescent="0.2">
      <c r="A93" s="289">
        <f t="shared" ref="A93" si="38">A91+1</f>
        <v>39</v>
      </c>
      <c r="B93" s="228" t="s">
        <v>192</v>
      </c>
      <c r="C93" s="228">
        <v>594</v>
      </c>
      <c r="D93" s="228" t="s">
        <v>72</v>
      </c>
      <c r="E93" s="191" t="s">
        <v>142</v>
      </c>
      <c r="F93" s="191" t="s">
        <v>142</v>
      </c>
      <c r="G93" s="191" t="s">
        <v>4</v>
      </c>
      <c r="H93" s="191" t="s">
        <v>4</v>
      </c>
      <c r="I93" s="191" t="s">
        <v>4</v>
      </c>
      <c r="J93" s="191" t="s">
        <v>4</v>
      </c>
      <c r="K93" s="191" t="s">
        <v>4</v>
      </c>
      <c r="L93" s="191" t="s">
        <v>142</v>
      </c>
      <c r="M93" s="191" t="s">
        <v>142</v>
      </c>
      <c r="N93" s="191" t="s">
        <v>4</v>
      </c>
      <c r="O93" s="191" t="s">
        <v>4</v>
      </c>
      <c r="P93" s="191" t="s">
        <v>4</v>
      </c>
      <c r="Q93" s="191" t="s">
        <v>4</v>
      </c>
      <c r="R93" s="191" t="s">
        <v>4</v>
      </c>
      <c r="S93" s="191" t="s">
        <v>142</v>
      </c>
      <c r="T93" s="191" t="s">
        <v>142</v>
      </c>
      <c r="U93" s="191" t="s">
        <v>4</v>
      </c>
      <c r="V93" s="191" t="s">
        <v>4</v>
      </c>
      <c r="W93" s="191" t="s">
        <v>4</v>
      </c>
      <c r="X93" s="191" t="s">
        <v>4</v>
      </c>
      <c r="Y93" s="191" t="s">
        <v>4</v>
      </c>
      <c r="Z93" s="191" t="s">
        <v>142</v>
      </c>
      <c r="AA93" s="191" t="s">
        <v>142</v>
      </c>
      <c r="AB93" s="191" t="s">
        <v>4</v>
      </c>
      <c r="AC93" s="191" t="s">
        <v>4</v>
      </c>
      <c r="AD93" s="191" t="s">
        <v>4</v>
      </c>
      <c r="AE93" s="191" t="s">
        <v>4</v>
      </c>
      <c r="AF93" s="191" t="s">
        <v>4</v>
      </c>
      <c r="AG93" s="191" t="s">
        <v>142</v>
      </c>
      <c r="AH93" s="191" t="s">
        <v>142</v>
      </c>
      <c r="AI93" s="191" t="s">
        <v>4</v>
      </c>
      <c r="AJ93" s="213">
        <f>IFERROR(COUNTIF(E93:AI93,"=Р")+COUNTIF(E93:AI93,"=Р1")+COUNTIF(E93:AI93,"=ВЧ")+COUNTIF(E93:AI93,"=РН")+COUNTIF(E93:AI93,"=Р2")+COUNTIF(E93:AI93,"=Р1/РВ")+COUNTIF(E93:AI93,"=Р2/РВ")+COUNTIF(E93:AI93,"=ВЧ/РВ")+COUNTIF(E93:AI93,"=РН/РВ"),0)</f>
        <v>21</v>
      </c>
      <c r="AK93" s="202">
        <f t="shared" si="30"/>
        <v>167.99999999999997</v>
      </c>
      <c r="AL93" s="202">
        <f>IFERROR(SUMIF(E93:AI93,"=НУ",E94:AI94),0)</f>
        <v>0</v>
      </c>
      <c r="AM93" s="202">
        <f>IFERROR(SUMIF(E93:AI93,"=РН",E94:AI94)+SUMIF(E93:AI93,"=РН/РВ",E94:AI94)+SUMIFS(E94:AI94,E93:AI93,"=Р2",E94:AI94,"=8"),0)</f>
        <v>0</v>
      </c>
      <c r="AN93" s="211">
        <f>IFERROR(SUMIF(E93:AI93,"=ВЧ",E94:AI94)+SUMIF(E93:AI93,"=ВЧ/РВ",E94:AI94)+CEILING(COUNTIFS(E93:AI93,"=Р2",E94:AI94,"=7")*4,1)+CEILING(COUNTIFS(E93:AI93,"=Р2/РВ",E94:AI94,"=7")*4,1)+SUMIFS(E94:AI94,E93:AI93,"=Р1/РВ",E94:AI94,"=12")/6+SUMIFS(E94:AI94,E93:AI93,"=ВЧ2/РВ",E94:AI94,"=4")/2+SUMIFS(E94:AI94,E93:AI93,"=Р1",E94:AI94,"=12")/6+SUMIFS(E94:AI94,E93:AI93,"=Р1",E94:AI94,"=8")/4+SUMIF(E93:AI93,"=ВЧ1",E94:AI94)/2,0)</f>
        <v>0</v>
      </c>
      <c r="AO93" s="202">
        <f>IFERROR(SUMIF(E93:AI93,"=РВ",E94:AI94)+SUMIF(E93:AI93,"=ВЧ/РВ",E94:AI94)+SUMIF(E93:AI93,"=РН/РВ",E94:AI94)+SUMIF(E93:AI93,"=Р1/РВ",E94:AI94)+SUMIF(E93:AI93,"=ВЧ2/РВ",E94:AI94)+SUMIF(E93:AI93,"=Р2/РВ",E94:AI94),0)</f>
        <v>0</v>
      </c>
      <c r="AP93" s="202">
        <f t="shared" si="31"/>
        <v>10</v>
      </c>
      <c r="AQ93" s="202">
        <f>SUM(AR93:AZ93)</f>
        <v>0</v>
      </c>
      <c r="AR93" s="202">
        <f>IFERROR(SUMIF(E93:AI93,"=В",E94:AI94)+SUMIF(E93:AI93,"=Ч",E94:AI94)+SUMIF(E93:AI93,"=ВБ",E94:AI94),0)</f>
        <v>0</v>
      </c>
      <c r="AS93" s="202">
        <f>IFERROR(SUMIF(E93:AI93,"=Н",E94:AI94),0)</f>
        <v>0</v>
      </c>
      <c r="AT93" s="202">
        <f>IFERROR(SUMIF(E93:AI93,"=НА",E94:AI94),0)</f>
        <v>0</v>
      </c>
      <c r="AU93" s="202">
        <f>IFERROR(SUMIF(E93:AI93,"=ВП",E94:AI94),0)</f>
        <v>0</v>
      </c>
      <c r="AV93" s="202">
        <f>IFERROR(SUMIF(E93:AI93,"=ДД",E94:AI94),0)</f>
        <v>0</v>
      </c>
      <c r="AW93" s="202">
        <f>IFERROR(SUMIF(E93:AI93,"=ДО",E94:AI94),0)</f>
        <v>0</v>
      </c>
      <c r="AX93" s="202">
        <f>IFERROR(SUMIF(E93:AI93,"=ТН",E94:AI94),0)</f>
        <v>0</v>
      </c>
      <c r="AY93" s="202">
        <f>IFERROR(SUMIF(E93:AI93,"=ВД",E94:AI94),0)</f>
        <v>0</v>
      </c>
      <c r="AZ93" s="200">
        <f>IFERROR(SUMIF(E93:AI93,"=ІН",E94:AI94),0)+SUMIF(E93:AI93,"=НЗ",E94:AI94)</f>
        <v>0</v>
      </c>
    </row>
    <row r="94" spans="1:52" ht="20.100000000000001" customHeight="1" thickBot="1" x14ac:dyDescent="0.25">
      <c r="A94" s="290"/>
      <c r="B94" s="229"/>
      <c r="C94" s="229"/>
      <c r="D94" s="229"/>
      <c r="E94" s="192"/>
      <c r="F94" s="192"/>
      <c r="G94" s="192">
        <v>8.1999999999999993</v>
      </c>
      <c r="H94" s="192">
        <v>8.1999999999999993</v>
      </c>
      <c r="I94" s="192">
        <v>8.1999999999999993</v>
      </c>
      <c r="J94" s="192">
        <v>8.1999999999999993</v>
      </c>
      <c r="K94" s="192">
        <v>7</v>
      </c>
      <c r="L94" s="192"/>
      <c r="M94" s="192"/>
      <c r="N94" s="192">
        <v>8.1999999999999993</v>
      </c>
      <c r="O94" s="192">
        <v>8.1999999999999993</v>
      </c>
      <c r="P94" s="192">
        <v>8.1999999999999993</v>
      </c>
      <c r="Q94" s="192">
        <v>8.1999999999999993</v>
      </c>
      <c r="R94" s="192">
        <v>7.2</v>
      </c>
      <c r="S94" s="192"/>
      <c r="T94" s="192"/>
      <c r="U94" s="192">
        <v>8.1999999999999993</v>
      </c>
      <c r="V94" s="192">
        <v>8.1999999999999993</v>
      </c>
      <c r="W94" s="192">
        <v>8.1999999999999993</v>
      </c>
      <c r="X94" s="192">
        <v>8.1999999999999993</v>
      </c>
      <c r="Y94" s="192">
        <v>7.2</v>
      </c>
      <c r="Z94" s="192"/>
      <c r="AA94" s="192"/>
      <c r="AB94" s="192">
        <v>8.1999999999999993</v>
      </c>
      <c r="AC94" s="192">
        <v>8.1999999999999993</v>
      </c>
      <c r="AD94" s="192">
        <v>8.1999999999999993</v>
      </c>
      <c r="AE94" s="192">
        <v>8.1999999999999993</v>
      </c>
      <c r="AF94" s="192">
        <v>7.2</v>
      </c>
      <c r="AG94" s="192"/>
      <c r="AH94" s="192"/>
      <c r="AI94" s="192">
        <v>8.1999999999999993</v>
      </c>
      <c r="AJ94" s="214"/>
      <c r="AK94" s="203"/>
      <c r="AL94" s="203"/>
      <c r="AM94" s="203"/>
      <c r="AN94" s="212"/>
      <c r="AO94" s="203"/>
      <c r="AP94" s="203"/>
      <c r="AQ94" s="203"/>
      <c r="AR94" s="203"/>
      <c r="AS94" s="203"/>
      <c r="AT94" s="203"/>
      <c r="AU94" s="203"/>
      <c r="AV94" s="203"/>
      <c r="AW94" s="203"/>
      <c r="AX94" s="203"/>
      <c r="AY94" s="203"/>
      <c r="AZ94" s="201"/>
    </row>
    <row r="95" spans="1:52" ht="20.100000000000001" customHeight="1" x14ac:dyDescent="0.2">
      <c r="A95" s="289">
        <f t="shared" ref="A95" si="39">A93+1</f>
        <v>40</v>
      </c>
      <c r="B95" s="228" t="s">
        <v>193</v>
      </c>
      <c r="C95" s="228">
        <v>2019</v>
      </c>
      <c r="D95" s="279" t="s">
        <v>65</v>
      </c>
      <c r="E95" s="191" t="s">
        <v>47</v>
      </c>
      <c r="F95" s="191" t="s">
        <v>142</v>
      </c>
      <c r="G95" s="191" t="s">
        <v>4</v>
      </c>
      <c r="H95" s="191" t="s">
        <v>4</v>
      </c>
      <c r="I95" s="191" t="s">
        <v>4</v>
      </c>
      <c r="J95" s="191" t="s">
        <v>4</v>
      </c>
      <c r="K95" s="191" t="s">
        <v>4</v>
      </c>
      <c r="L95" s="191" t="s">
        <v>142</v>
      </c>
      <c r="M95" s="191" t="s">
        <v>142</v>
      </c>
      <c r="N95" s="191" t="s">
        <v>4</v>
      </c>
      <c r="O95" s="191" t="s">
        <v>4</v>
      </c>
      <c r="P95" s="191" t="s">
        <v>4</v>
      </c>
      <c r="Q95" s="191" t="s">
        <v>4</v>
      </c>
      <c r="R95" s="191" t="s">
        <v>4</v>
      </c>
      <c r="S95" s="191" t="s">
        <v>142</v>
      </c>
      <c r="T95" s="191" t="s">
        <v>142</v>
      </c>
      <c r="U95" s="191" t="s">
        <v>4</v>
      </c>
      <c r="V95" s="191" t="s">
        <v>4</v>
      </c>
      <c r="W95" s="191" t="s">
        <v>4</v>
      </c>
      <c r="X95" s="191" t="s">
        <v>4</v>
      </c>
      <c r="Y95" s="191" t="s">
        <v>4</v>
      </c>
      <c r="Z95" s="191" t="s">
        <v>142</v>
      </c>
      <c r="AA95" s="191" t="s">
        <v>142</v>
      </c>
      <c r="AB95" s="191" t="s">
        <v>4</v>
      </c>
      <c r="AC95" s="191" t="s">
        <v>4</v>
      </c>
      <c r="AD95" s="191" t="s">
        <v>4</v>
      </c>
      <c r="AE95" s="191" t="s">
        <v>4</v>
      </c>
      <c r="AF95" s="191" t="s">
        <v>4</v>
      </c>
      <c r="AG95" s="191" t="s">
        <v>142</v>
      </c>
      <c r="AH95" s="191" t="s">
        <v>142</v>
      </c>
      <c r="AI95" s="191" t="s">
        <v>4</v>
      </c>
      <c r="AJ95" s="213">
        <f>IFERROR(COUNTIF(E95:AI95,"=Р")+COUNTIF(E95:AI95,"=Р1")+COUNTIF(E95:AI95,"=ВЧ")+COUNTIF(E95:AI95,"=РН")+COUNTIF(E95:AI95,"=Р2")+COUNTIF(E95:AI95,"=Р1/РВ")+COUNTIF(E95:AI95,"=Р2/РВ")+COUNTIF(E95:AI95,"=ВЧ/РВ")+COUNTIF(E95:AI95,"=РН/РВ"),0)</f>
        <v>21</v>
      </c>
      <c r="AK95" s="202">
        <f t="shared" si="30"/>
        <v>167.99999999999997</v>
      </c>
      <c r="AL95" s="202">
        <f>IFERROR(SUMIF(E95:AI95,"=НУ",E96:AI96),0)</f>
        <v>0</v>
      </c>
      <c r="AM95" s="202">
        <f>IFERROR(SUMIF(E95:AI95,"=РН",E96:AI96)+SUMIF(E95:AI95,"=РН/РВ",E96:AI96)+SUMIFS(E96:AI96,E95:AI95,"=Р2",E96:AI96,"=8"),0)</f>
        <v>0</v>
      </c>
      <c r="AN95" s="211">
        <f>IFERROR(SUMIF(E95:AI95,"=ВЧ",E96:AI96)+SUMIF(E95:AI95,"=ВЧ/РВ",E96:AI96)+CEILING(COUNTIFS(E95:AI95,"=Р2",E96:AI96,"=7")*4,1)+CEILING(COUNTIFS(E95:AI95,"=Р2/РВ",E96:AI96,"=7")*4,1)+SUMIFS(E96:AI96,E95:AI95,"=Р1/РВ",E96:AI96,"=12")/6+SUMIFS(E96:AI96,E95:AI95,"=ВЧ2/РВ",E96:AI96,"=4")/2+SUMIFS(E96:AI96,E95:AI95,"=Р1",E96:AI96,"=12")/6+SUMIFS(E96:AI96,E95:AI95,"=Р1",E96:AI96,"=8")/4+SUMIF(E95:AI95,"=ВЧ1",E96:AI96)/2,0)</f>
        <v>0</v>
      </c>
      <c r="AO95" s="202">
        <f>IFERROR(SUMIF(E95:AI95,"=РВ",E96:AI96)+SUMIF(E95:AI95,"=ВЧ/РВ",E96:AI96)+SUMIF(E95:AI95,"=РН/РВ",E96:AI96)+SUMIF(E95:AI95,"=Р1/РВ",E96:AI96)+SUMIF(E95:AI95,"=ВЧ2/РВ",E96:AI96)+SUMIF(E95:AI95,"=Р2/РВ",E96:AI96),0)</f>
        <v>5</v>
      </c>
      <c r="AP95" s="202">
        <f t="shared" si="31"/>
        <v>9</v>
      </c>
      <c r="AQ95" s="202">
        <f>SUM(AR95:AZ95)</f>
        <v>0</v>
      </c>
      <c r="AR95" s="202">
        <f>IFERROR(SUMIF(E95:AI95,"=В",E96:AI96)+SUMIF(E95:AI95,"=Ч",E96:AI96)+SUMIF(E95:AI95,"=ВБ",E96:AI96),0)</f>
        <v>0</v>
      </c>
      <c r="AS95" s="202">
        <f>IFERROR(SUMIF(E95:AI95,"=Н",E96:AI96),0)</f>
        <v>0</v>
      </c>
      <c r="AT95" s="202">
        <f>IFERROR(SUMIF(E95:AI95,"=НА",E96:AI96),0)</f>
        <v>0</v>
      </c>
      <c r="AU95" s="202">
        <f>IFERROR(SUMIF(E95:AI95,"=ВП",E96:AI96),0)</f>
        <v>0</v>
      </c>
      <c r="AV95" s="202">
        <f>IFERROR(SUMIF(E95:AI95,"=ДД",E96:AI96),0)</f>
        <v>0</v>
      </c>
      <c r="AW95" s="202">
        <f>IFERROR(SUMIF(E95:AI95,"=ДО",E96:AI96),0)</f>
        <v>0</v>
      </c>
      <c r="AX95" s="202">
        <f>IFERROR(SUMIF(E95:AI95,"=ТН",E96:AI96),0)</f>
        <v>0</v>
      </c>
      <c r="AY95" s="202">
        <f>IFERROR(SUMIF(E95:AI95,"=ВД",E96:AI96),0)</f>
        <v>0</v>
      </c>
      <c r="AZ95" s="200">
        <f>IFERROR(SUMIF(E95:AI95,"=ІН",E96:AI96),0)+SUMIF(E95:AI95,"=НЗ",E96:AI96)</f>
        <v>0</v>
      </c>
    </row>
    <row r="96" spans="1:52" ht="20.100000000000001" customHeight="1" thickBot="1" x14ac:dyDescent="0.25">
      <c r="A96" s="290"/>
      <c r="B96" s="229"/>
      <c r="C96" s="229"/>
      <c r="D96" s="280"/>
      <c r="E96" s="192">
        <v>5</v>
      </c>
      <c r="F96" s="192"/>
      <c r="G96" s="192">
        <v>8.1999999999999993</v>
      </c>
      <c r="H96" s="192">
        <v>8.1999999999999993</v>
      </c>
      <c r="I96" s="192">
        <v>8.1999999999999993</v>
      </c>
      <c r="J96" s="192">
        <v>8.1999999999999993</v>
      </c>
      <c r="K96" s="192">
        <v>7</v>
      </c>
      <c r="L96" s="192"/>
      <c r="M96" s="192"/>
      <c r="N96" s="192">
        <v>8.1999999999999993</v>
      </c>
      <c r="O96" s="192">
        <v>8.1999999999999993</v>
      </c>
      <c r="P96" s="192">
        <v>8.1999999999999993</v>
      </c>
      <c r="Q96" s="192">
        <v>8.1999999999999993</v>
      </c>
      <c r="R96" s="192">
        <v>7.2</v>
      </c>
      <c r="S96" s="192"/>
      <c r="T96" s="192"/>
      <c r="U96" s="192">
        <v>8.1999999999999993</v>
      </c>
      <c r="V96" s="192">
        <v>8.1999999999999993</v>
      </c>
      <c r="W96" s="192">
        <v>8.1999999999999993</v>
      </c>
      <c r="X96" s="192">
        <v>8.1999999999999993</v>
      </c>
      <c r="Y96" s="192">
        <v>7.2</v>
      </c>
      <c r="Z96" s="192"/>
      <c r="AA96" s="192"/>
      <c r="AB96" s="192">
        <v>8.1999999999999993</v>
      </c>
      <c r="AC96" s="192">
        <v>8.1999999999999993</v>
      </c>
      <c r="AD96" s="192">
        <v>8.1999999999999993</v>
      </c>
      <c r="AE96" s="192">
        <v>8.1999999999999993</v>
      </c>
      <c r="AF96" s="192">
        <v>7.2</v>
      </c>
      <c r="AG96" s="192"/>
      <c r="AH96" s="192"/>
      <c r="AI96" s="192">
        <v>8.1999999999999993</v>
      </c>
      <c r="AJ96" s="214"/>
      <c r="AK96" s="203"/>
      <c r="AL96" s="203"/>
      <c r="AM96" s="203"/>
      <c r="AN96" s="212"/>
      <c r="AO96" s="203"/>
      <c r="AP96" s="203"/>
      <c r="AQ96" s="203"/>
      <c r="AR96" s="203"/>
      <c r="AS96" s="203"/>
      <c r="AT96" s="203"/>
      <c r="AU96" s="203"/>
      <c r="AV96" s="203"/>
      <c r="AW96" s="203"/>
      <c r="AX96" s="203"/>
      <c r="AY96" s="203"/>
      <c r="AZ96" s="201"/>
    </row>
    <row r="97" spans="1:52" ht="20.100000000000001" customHeight="1" x14ac:dyDescent="0.2">
      <c r="A97" s="289">
        <f t="shared" ref="A97" si="40">A95+1</f>
        <v>41</v>
      </c>
      <c r="B97" s="228" t="s">
        <v>294</v>
      </c>
      <c r="C97" s="228">
        <v>493</v>
      </c>
      <c r="D97" s="228" t="s">
        <v>72</v>
      </c>
      <c r="E97" s="191" t="s">
        <v>142</v>
      </c>
      <c r="F97" s="191" t="s">
        <v>142</v>
      </c>
      <c r="G97" s="191" t="s">
        <v>4</v>
      </c>
      <c r="H97" s="191" t="s">
        <v>4</v>
      </c>
      <c r="I97" s="191" t="s">
        <v>4</v>
      </c>
      <c r="J97" s="191" t="s">
        <v>4</v>
      </c>
      <c r="K97" s="191" t="s">
        <v>4</v>
      </c>
      <c r="L97" s="191" t="s">
        <v>142</v>
      </c>
      <c r="M97" s="191" t="s">
        <v>142</v>
      </c>
      <c r="N97" s="191" t="s">
        <v>4</v>
      </c>
      <c r="O97" s="191" t="s">
        <v>4</v>
      </c>
      <c r="P97" s="191" t="s">
        <v>4</v>
      </c>
      <c r="Q97" s="191" t="s">
        <v>4</v>
      </c>
      <c r="R97" s="191" t="s">
        <v>4</v>
      </c>
      <c r="S97" s="191" t="s">
        <v>142</v>
      </c>
      <c r="T97" s="191" t="s">
        <v>142</v>
      </c>
      <c r="U97" s="191" t="s">
        <v>4</v>
      </c>
      <c r="V97" s="191" t="s">
        <v>4</v>
      </c>
      <c r="W97" s="191" t="s">
        <v>4</v>
      </c>
      <c r="X97" s="191" t="s">
        <v>4</v>
      </c>
      <c r="Y97" s="191" t="s">
        <v>4</v>
      </c>
      <c r="Z97" s="191" t="s">
        <v>142</v>
      </c>
      <c r="AA97" s="191" t="s">
        <v>142</v>
      </c>
      <c r="AB97" s="191" t="s">
        <v>4</v>
      </c>
      <c r="AC97" s="191" t="s">
        <v>4</v>
      </c>
      <c r="AD97" s="191" t="s">
        <v>4</v>
      </c>
      <c r="AE97" s="191" t="s">
        <v>4</v>
      </c>
      <c r="AF97" s="191" t="s">
        <v>4</v>
      </c>
      <c r="AG97" s="191" t="s">
        <v>142</v>
      </c>
      <c r="AH97" s="191" t="s">
        <v>142</v>
      </c>
      <c r="AI97" s="191" t="s">
        <v>4</v>
      </c>
      <c r="AJ97" s="213">
        <f>IFERROR(COUNTIF(E97:AI97,"=Р")+COUNTIF(E97:AI97,"=Р1")+COUNTIF(E97:AI97,"=ВЧ")+COUNTIF(E97:AI97,"=РН")+COUNTIF(E97:AI97,"=Р2")+COUNTIF(E97:AI97,"=Р1/РВ")+COUNTIF(E97:AI97,"=Р2/РВ")+COUNTIF(E97:AI97,"=ВЧ/РВ")+COUNTIF(E97:AI97,"=РН/РВ"),0)</f>
        <v>21</v>
      </c>
      <c r="AK97" s="202">
        <f t="shared" si="30"/>
        <v>167.99999999999997</v>
      </c>
      <c r="AL97" s="202">
        <f>IFERROR(SUMIF(E97:AI97,"=НУ",E98:AI98),0)</f>
        <v>0</v>
      </c>
      <c r="AM97" s="202">
        <f>IFERROR(SUMIF(E97:AI97,"=РН",E98:AI98)+SUMIF(E97:AI97,"=РН/РВ",E98:AI98)+SUMIFS(E98:AI98,E97:AI97,"=Р2",E98:AI98,"=8"),0)</f>
        <v>0</v>
      </c>
      <c r="AN97" s="211">
        <f>IFERROR(SUMIF(E97:AI97,"=ВЧ",E98:AI98)+SUMIF(E97:AI97,"=ВЧ/РВ",E98:AI98)+CEILING(COUNTIFS(E97:AI97,"=Р2",E98:AI98,"=7")*4,1)+CEILING(COUNTIFS(E97:AI97,"=Р2/РВ",E98:AI98,"=7")*4,1)+SUMIFS(E98:AI98,E97:AI97,"=Р1/РВ",E98:AI98,"=12")/6+SUMIFS(E98:AI98,E97:AI97,"=ВЧ2/РВ",E98:AI98,"=4")/2+SUMIFS(E98:AI98,E97:AI97,"=Р1",E98:AI98,"=12")/6+SUMIFS(E98:AI98,E97:AI97,"=Р1",E98:AI98,"=8")/4+SUMIF(E97:AI97,"=ВЧ1",E98:AI98)/2,0)</f>
        <v>0</v>
      </c>
      <c r="AO97" s="202">
        <f>IFERROR(SUMIF(E97:AI97,"=РВ",E98:AI98)+SUMIF(E97:AI97,"=ВЧ/РВ",E98:AI98)+SUMIF(E97:AI97,"=РН/РВ",E98:AI98)+SUMIF(E97:AI97,"=Р1/РВ",E98:AI98)+SUMIF(E97:AI97,"=ВЧ2/РВ",E98:AI98)+SUMIF(E97:AI97,"=Р2/РВ",E98:AI98),0)</f>
        <v>0</v>
      </c>
      <c r="AP97" s="202">
        <f t="shared" si="31"/>
        <v>10</v>
      </c>
      <c r="AQ97" s="202">
        <f>SUM(AR97:AZ97)</f>
        <v>0</v>
      </c>
      <c r="AR97" s="202">
        <f>IFERROR(SUMIF(E97:AI97,"=В",E98:AI98)+SUMIF(E97:AI97,"=Ч",E98:AI98)+SUMIF(E97:AI97,"=ВБ",E98:AI98),0)</f>
        <v>0</v>
      </c>
      <c r="AS97" s="202">
        <f>IFERROR(SUMIF(E97:AI97,"=Н",E98:AI98),0)</f>
        <v>0</v>
      </c>
      <c r="AT97" s="202">
        <f>IFERROR(SUMIF(E97:AI97,"=НА",E98:AI98),0)</f>
        <v>0</v>
      </c>
      <c r="AU97" s="202">
        <f>IFERROR(SUMIF(E97:AI97,"=ВП",E98:AI98),0)</f>
        <v>0</v>
      </c>
      <c r="AV97" s="202">
        <f>IFERROR(SUMIF(E97:AI97,"=ДД",E98:AI98),0)</f>
        <v>0</v>
      </c>
      <c r="AW97" s="202">
        <f>IFERROR(SUMIF(E97:AI97,"=ДО",E98:AI98),0)</f>
        <v>0</v>
      </c>
      <c r="AX97" s="202">
        <f>IFERROR(SUMIF(E97:AI97,"=ТН",E98:AI98),0)</f>
        <v>0</v>
      </c>
      <c r="AY97" s="202">
        <f>IFERROR(SUMIF(E97:AI97,"=ВД",E98:AI98),0)</f>
        <v>0</v>
      </c>
      <c r="AZ97" s="200">
        <f>IFERROR(SUMIF(E97:AI97,"=ІН",E98:AI98),0)+SUMIF(E97:AI97,"=НЗ",E98:AI98)</f>
        <v>0</v>
      </c>
    </row>
    <row r="98" spans="1:52" ht="20.100000000000001" customHeight="1" thickBot="1" x14ac:dyDescent="0.25">
      <c r="A98" s="290"/>
      <c r="B98" s="229"/>
      <c r="C98" s="229"/>
      <c r="D98" s="229"/>
      <c r="E98" s="192"/>
      <c r="F98" s="192"/>
      <c r="G98" s="192">
        <v>8.1999999999999993</v>
      </c>
      <c r="H98" s="192">
        <v>8.1999999999999993</v>
      </c>
      <c r="I98" s="192">
        <v>8.1999999999999993</v>
      </c>
      <c r="J98" s="192">
        <v>8.1999999999999993</v>
      </c>
      <c r="K98" s="192">
        <v>7</v>
      </c>
      <c r="L98" s="192"/>
      <c r="M98" s="192"/>
      <c r="N98" s="192">
        <v>8.1999999999999993</v>
      </c>
      <c r="O98" s="192">
        <v>8.1999999999999993</v>
      </c>
      <c r="P98" s="192">
        <v>8.1999999999999993</v>
      </c>
      <c r="Q98" s="192">
        <v>8.1999999999999993</v>
      </c>
      <c r="R98" s="192">
        <v>7.2</v>
      </c>
      <c r="S98" s="192"/>
      <c r="T98" s="192"/>
      <c r="U98" s="192">
        <v>8.1999999999999993</v>
      </c>
      <c r="V98" s="192">
        <v>8.1999999999999993</v>
      </c>
      <c r="W98" s="192">
        <v>8.1999999999999993</v>
      </c>
      <c r="X98" s="192">
        <v>8.1999999999999993</v>
      </c>
      <c r="Y98" s="192">
        <v>7.2</v>
      </c>
      <c r="Z98" s="192"/>
      <c r="AA98" s="192"/>
      <c r="AB98" s="192">
        <v>8.1999999999999993</v>
      </c>
      <c r="AC98" s="192">
        <v>8.1999999999999993</v>
      </c>
      <c r="AD98" s="192">
        <v>8.1999999999999993</v>
      </c>
      <c r="AE98" s="192">
        <v>8.1999999999999993</v>
      </c>
      <c r="AF98" s="192">
        <v>7.2</v>
      </c>
      <c r="AG98" s="192"/>
      <c r="AH98" s="192"/>
      <c r="AI98" s="192">
        <v>8.1999999999999993</v>
      </c>
      <c r="AJ98" s="214"/>
      <c r="AK98" s="203"/>
      <c r="AL98" s="203"/>
      <c r="AM98" s="203"/>
      <c r="AN98" s="212"/>
      <c r="AO98" s="203"/>
      <c r="AP98" s="203"/>
      <c r="AQ98" s="203"/>
      <c r="AR98" s="203"/>
      <c r="AS98" s="203"/>
      <c r="AT98" s="203"/>
      <c r="AU98" s="203"/>
      <c r="AV98" s="203"/>
      <c r="AW98" s="203"/>
      <c r="AX98" s="203"/>
      <c r="AY98" s="203"/>
      <c r="AZ98" s="201"/>
    </row>
    <row r="99" spans="1:52" ht="20.100000000000001" customHeight="1" x14ac:dyDescent="0.2">
      <c r="A99" s="289">
        <f t="shared" ref="A99" si="41">A97+1</f>
        <v>42</v>
      </c>
      <c r="B99" s="302" t="s">
        <v>315</v>
      </c>
      <c r="C99" s="302">
        <v>2074</v>
      </c>
      <c r="D99" s="228" t="s">
        <v>72</v>
      </c>
      <c r="E99" s="191" t="s">
        <v>142</v>
      </c>
      <c r="F99" s="191" t="s">
        <v>142</v>
      </c>
      <c r="G99" s="191" t="s">
        <v>4</v>
      </c>
      <c r="H99" s="191" t="s">
        <v>4</v>
      </c>
      <c r="I99" s="191" t="s">
        <v>3</v>
      </c>
      <c r="J99" s="191" t="s">
        <v>4</v>
      </c>
      <c r="K99" s="191" t="s">
        <v>4</v>
      </c>
      <c r="L99" s="191" t="s">
        <v>142</v>
      </c>
      <c r="M99" s="191" t="s">
        <v>142</v>
      </c>
      <c r="N99" s="191" t="s">
        <v>4</v>
      </c>
      <c r="O99" s="191" t="s">
        <v>4</v>
      </c>
      <c r="P99" s="191" t="s">
        <v>4</v>
      </c>
      <c r="Q99" s="191" t="s">
        <v>4</v>
      </c>
      <c r="R99" s="191" t="s">
        <v>4</v>
      </c>
      <c r="S99" s="191" t="s">
        <v>142</v>
      </c>
      <c r="T99" s="191" t="s">
        <v>142</v>
      </c>
      <c r="U99" s="191" t="s">
        <v>3</v>
      </c>
      <c r="V99" s="191" t="s">
        <v>3</v>
      </c>
      <c r="W99" s="191" t="s">
        <v>3</v>
      </c>
      <c r="X99" s="191" t="s">
        <v>3</v>
      </c>
      <c r="Y99" s="191" t="s">
        <v>3</v>
      </c>
      <c r="Z99" s="191" t="s">
        <v>3</v>
      </c>
      <c r="AA99" s="191" t="s">
        <v>3</v>
      </c>
      <c r="AB99" s="191" t="s">
        <v>4</v>
      </c>
      <c r="AC99" s="191" t="s">
        <v>4</v>
      </c>
      <c r="AD99" s="191" t="s">
        <v>4</v>
      </c>
      <c r="AE99" s="191" t="s">
        <v>4</v>
      </c>
      <c r="AF99" s="191" t="s">
        <v>4</v>
      </c>
      <c r="AG99" s="191" t="s">
        <v>142</v>
      </c>
      <c r="AH99" s="191" t="s">
        <v>142</v>
      </c>
      <c r="AI99" s="191" t="s">
        <v>4</v>
      </c>
      <c r="AJ99" s="213">
        <f>IFERROR(COUNTIF(E99:AI99,"=Р")+COUNTIF(E99:AI99,"=Р1")+COUNTIF(E99:AI99,"=ВЧ")+COUNTIF(E99:AI99,"=РН")+COUNTIF(E99:AI99,"=Р2")+COUNTIF(E99:AI99,"=Р1/РВ")+COUNTIF(E99:AI99,"=Р2/РВ")+COUNTIF(E99:AI99,"=ВЧ/РВ")+COUNTIF(E99:AI99,"=РН/РВ"),0)</f>
        <v>15</v>
      </c>
      <c r="AK99" s="202">
        <f t="shared" si="30"/>
        <v>119.80000000000003</v>
      </c>
      <c r="AL99" s="202">
        <f>IFERROR(SUMIF(E99:AI99,"=НУ",E100:AI100),0)</f>
        <v>0</v>
      </c>
      <c r="AM99" s="202">
        <f>IFERROR(SUMIF(E99:AI99,"=РН",E100:AI100)+SUMIF(E99:AI99,"=РН/РВ",E100:AI100)+SUMIFS(E100:AI100,E99:AI99,"=Р2",E100:AI100,"=8"),0)</f>
        <v>0</v>
      </c>
      <c r="AN99" s="211">
        <f>IFERROR(SUMIF(E99:AI99,"=ВЧ",E100:AI100)+SUMIF(E99:AI99,"=ВЧ/РВ",E100:AI100)+CEILING(COUNTIFS(E99:AI99,"=Р2",E100:AI100,"=7")*4,1)+CEILING(COUNTIFS(E99:AI99,"=Р2/РВ",E100:AI100,"=7")*4,1)+SUMIFS(E100:AI100,E99:AI99,"=Р1/РВ",E100:AI100,"=12")/6+SUMIFS(E100:AI100,E99:AI99,"=ВЧ2/РВ",E100:AI100,"=4")/2+SUMIFS(E100:AI100,E99:AI99,"=Р1",E100:AI100,"=12")/6+SUMIFS(E100:AI100,E99:AI99,"=Р1",E100:AI100,"=8")/4+SUMIF(E99:AI99,"=ВЧ1",E100:AI100)/2,0)</f>
        <v>0</v>
      </c>
      <c r="AO99" s="202">
        <f>IFERROR(SUMIF(E99:AI99,"=РВ",E100:AI100)+SUMIF(E99:AI99,"=ВЧ/РВ",E100:AI100)+SUMIF(E99:AI99,"=РН/РВ",E100:AI100)+SUMIF(E99:AI99,"=Р1/РВ",E100:AI100)+SUMIF(E99:AI99,"=ВЧ2/РВ",E100:AI100)+SUMIF(E99:AI99,"=Р2/РВ",E100:AI100),0)</f>
        <v>0</v>
      </c>
      <c r="AP99" s="202">
        <f t="shared" si="31"/>
        <v>8</v>
      </c>
      <c r="AQ99" s="202">
        <f>SUM(AR99:AZ99)</f>
        <v>48.2</v>
      </c>
      <c r="AR99" s="202">
        <f>IFERROR(SUMIF(E99:AI99,"=В",E100:AI100)+SUMIF(E99:AI99,"=Ч",E100:AI100)+SUMIF(E99:AI99,"=ВБ",E100:AI100),0)</f>
        <v>48.2</v>
      </c>
      <c r="AS99" s="202">
        <f>IFERROR(SUMIF(E99:AI99,"=Н",E100:AI100),0)</f>
        <v>0</v>
      </c>
      <c r="AT99" s="202">
        <f>IFERROR(SUMIF(E99:AI99,"=НА",E100:AI100),0)</f>
        <v>0</v>
      </c>
      <c r="AU99" s="202">
        <f>IFERROR(SUMIF(E99:AI99,"=ВП",E100:AI100),0)</f>
        <v>0</v>
      </c>
      <c r="AV99" s="202">
        <f>IFERROR(SUMIF(E99:AI99,"=ДД",E100:AI100),0)</f>
        <v>0</v>
      </c>
      <c r="AW99" s="202">
        <f>IFERROR(SUMIF(E99:AI99,"=ДО",E100:AI100),0)</f>
        <v>0</v>
      </c>
      <c r="AX99" s="202">
        <f>IFERROR(SUMIF(E99:AI99,"=ТН",E100:AI100),0)</f>
        <v>0</v>
      </c>
      <c r="AY99" s="202">
        <f>IFERROR(SUMIF(E99:AI99,"=ВД",E100:AI100),0)</f>
        <v>0</v>
      </c>
      <c r="AZ99" s="200">
        <f>IFERROR(SUMIF(E99:AI99,"=ІН",E100:AI100),0)+SUMIF(E99:AI99,"=НЗ",E100:AI100)</f>
        <v>0</v>
      </c>
    </row>
    <row r="100" spans="1:52" ht="20.100000000000001" customHeight="1" thickBot="1" x14ac:dyDescent="0.25">
      <c r="A100" s="290"/>
      <c r="B100" s="303"/>
      <c r="C100" s="304"/>
      <c r="D100" s="229"/>
      <c r="E100" s="192"/>
      <c r="F100" s="192"/>
      <c r="G100" s="192">
        <v>8.1999999999999993</v>
      </c>
      <c r="H100" s="192">
        <v>8.1999999999999993</v>
      </c>
      <c r="I100" s="192">
        <v>8.1999999999999993</v>
      </c>
      <c r="J100" s="192">
        <v>8.1999999999999993</v>
      </c>
      <c r="K100" s="192">
        <v>7</v>
      </c>
      <c r="L100" s="192"/>
      <c r="M100" s="192"/>
      <c r="N100" s="192">
        <v>8.1999999999999993</v>
      </c>
      <c r="O100" s="192">
        <v>8.1999999999999993</v>
      </c>
      <c r="P100" s="192">
        <v>8.1999999999999993</v>
      </c>
      <c r="Q100" s="192">
        <v>8.1999999999999993</v>
      </c>
      <c r="R100" s="192">
        <v>7.2</v>
      </c>
      <c r="S100" s="192"/>
      <c r="T100" s="192"/>
      <c r="U100" s="192">
        <v>8.1999999999999993</v>
      </c>
      <c r="V100" s="192">
        <v>8.1999999999999993</v>
      </c>
      <c r="W100" s="192">
        <v>8.1999999999999993</v>
      </c>
      <c r="X100" s="192">
        <v>8.1999999999999993</v>
      </c>
      <c r="Y100" s="192">
        <v>7.2</v>
      </c>
      <c r="Z100" s="192"/>
      <c r="AA100" s="192"/>
      <c r="AB100" s="192">
        <v>8.1999999999999993</v>
      </c>
      <c r="AC100" s="192">
        <v>8.1999999999999993</v>
      </c>
      <c r="AD100" s="192">
        <v>8.1999999999999993</v>
      </c>
      <c r="AE100" s="192">
        <v>8.1999999999999993</v>
      </c>
      <c r="AF100" s="192">
        <v>7.2</v>
      </c>
      <c r="AG100" s="192"/>
      <c r="AH100" s="192"/>
      <c r="AI100" s="192">
        <v>8.1999999999999993</v>
      </c>
      <c r="AJ100" s="214"/>
      <c r="AK100" s="203"/>
      <c r="AL100" s="203"/>
      <c r="AM100" s="203"/>
      <c r="AN100" s="212"/>
      <c r="AO100" s="203"/>
      <c r="AP100" s="203"/>
      <c r="AQ100" s="203"/>
      <c r="AR100" s="203"/>
      <c r="AS100" s="203"/>
      <c r="AT100" s="203"/>
      <c r="AU100" s="203"/>
      <c r="AV100" s="203"/>
      <c r="AW100" s="203"/>
      <c r="AX100" s="203"/>
      <c r="AY100" s="203"/>
      <c r="AZ100" s="201"/>
    </row>
    <row r="101" spans="1:52" ht="20.100000000000001" customHeight="1" x14ac:dyDescent="0.2">
      <c r="A101" s="289">
        <f t="shared" ref="A101" si="42">A99+1</f>
        <v>43</v>
      </c>
      <c r="B101" s="228" t="s">
        <v>194</v>
      </c>
      <c r="C101" s="228">
        <v>1852</v>
      </c>
      <c r="D101" s="228" t="s">
        <v>72</v>
      </c>
      <c r="E101" s="191" t="s">
        <v>142</v>
      </c>
      <c r="F101" s="191" t="s">
        <v>142</v>
      </c>
      <c r="G101" s="191" t="s">
        <v>4</v>
      </c>
      <c r="H101" s="191" t="s">
        <v>4</v>
      </c>
      <c r="I101" s="191" t="s">
        <v>4</v>
      </c>
      <c r="J101" s="191" t="s">
        <v>4</v>
      </c>
      <c r="K101" s="191" t="s">
        <v>4</v>
      </c>
      <c r="L101" s="191" t="s">
        <v>142</v>
      </c>
      <c r="M101" s="191" t="s">
        <v>142</v>
      </c>
      <c r="N101" s="191" t="s">
        <v>4</v>
      </c>
      <c r="O101" s="191" t="s">
        <v>4</v>
      </c>
      <c r="P101" s="191" t="s">
        <v>4</v>
      </c>
      <c r="Q101" s="191" t="s">
        <v>4</v>
      </c>
      <c r="R101" s="191" t="s">
        <v>4</v>
      </c>
      <c r="S101" s="191" t="s">
        <v>142</v>
      </c>
      <c r="T101" s="191" t="s">
        <v>142</v>
      </c>
      <c r="U101" s="191" t="s">
        <v>3</v>
      </c>
      <c r="V101" s="191" t="s">
        <v>3</v>
      </c>
      <c r="W101" s="191" t="s">
        <v>3</v>
      </c>
      <c r="X101" s="191" t="s">
        <v>3</v>
      </c>
      <c r="Y101" s="191" t="s">
        <v>3</v>
      </c>
      <c r="Z101" s="191" t="s">
        <v>142</v>
      </c>
      <c r="AA101" s="191" t="s">
        <v>142</v>
      </c>
      <c r="AB101" s="191" t="s">
        <v>3</v>
      </c>
      <c r="AC101" s="191" t="s">
        <v>3</v>
      </c>
      <c r="AD101" s="191" t="s">
        <v>3</v>
      </c>
      <c r="AE101" s="191" t="s">
        <v>3</v>
      </c>
      <c r="AF101" s="191" t="s">
        <v>3</v>
      </c>
      <c r="AG101" s="191" t="s">
        <v>142</v>
      </c>
      <c r="AH101" s="191" t="s">
        <v>142</v>
      </c>
      <c r="AI101" s="191" t="s">
        <v>4</v>
      </c>
      <c r="AJ101" s="213">
        <f>IFERROR(COUNTIF(E101:AI101,"=Р")+COUNTIF(E101:AI101,"=Р1")+COUNTIF(E101:AI101,"=ВЧ")+COUNTIF(E101:AI101,"=РН")+COUNTIF(E101:AI101,"=Р2")+COUNTIF(E101:AI101,"=Р1/РВ")+COUNTIF(E101:AI101,"=Р2/РВ")+COUNTIF(E101:AI101,"=ВЧ/РВ")+COUNTIF(E101:AI101,"=РН/РВ"),0)</f>
        <v>11</v>
      </c>
      <c r="AK101" s="202">
        <f t="shared" si="30"/>
        <v>88.000000000000014</v>
      </c>
      <c r="AL101" s="202">
        <f>IFERROR(SUMIF(E101:AI101,"=НУ",E102:AI102),0)</f>
        <v>0</v>
      </c>
      <c r="AM101" s="202">
        <f>IFERROR(SUMIF(E101:AI101,"=РН",E102:AI102)+SUMIF(E101:AI101,"=РН/РВ",E102:AI102)+SUMIFS(E102:AI102,E101:AI101,"=Р2",E102:AI102,"=8"),0)</f>
        <v>0</v>
      </c>
      <c r="AN101" s="211">
        <f>IFERROR(SUMIF(E101:AI101,"=ВЧ",E102:AI102)+SUMIF(E101:AI101,"=ВЧ/РВ",E102:AI102)+CEILING(COUNTIFS(E101:AI101,"=Р2",E102:AI102,"=7")*4,1)+CEILING(COUNTIFS(E101:AI101,"=Р2/РВ",E102:AI102,"=7")*4,1)+SUMIFS(E102:AI102,E101:AI101,"=Р1/РВ",E102:AI102,"=12")/6+SUMIFS(E102:AI102,E101:AI101,"=ВЧ2/РВ",E102:AI102,"=4")/2+SUMIFS(E102:AI102,E101:AI101,"=Р1",E102:AI102,"=12")/6+SUMIFS(E102:AI102,E101:AI101,"=Р1",E102:AI102,"=8")/4+SUMIF(E101:AI101,"=ВЧ1",E102:AI102)/2,0)</f>
        <v>0</v>
      </c>
      <c r="AO101" s="202">
        <f>IFERROR(SUMIF(E101:AI101,"=РВ",E102:AI102)+SUMIF(E101:AI101,"=ВЧ/РВ",E102:AI102)+SUMIF(E101:AI101,"=РН/РВ",E102:AI102)+SUMIF(E101:AI101,"=Р1/РВ",E102:AI102)+SUMIF(E101:AI101,"=ВЧ2/РВ",E102:AI102)+SUMIF(E101:AI101,"=Р2/РВ",E102:AI102),0)</f>
        <v>0</v>
      </c>
      <c r="AP101" s="202">
        <f t="shared" si="31"/>
        <v>10</v>
      </c>
      <c r="AQ101" s="202">
        <f>SUM(AR101:AZ101)</f>
        <v>80.000000000000014</v>
      </c>
      <c r="AR101" s="202">
        <f>IFERROR(SUMIF(E101:AI101,"=В",E102:AI102)+SUMIF(E101:AI101,"=Ч",E102:AI102)+SUMIF(E101:AI101,"=ВБ",E102:AI102),0)</f>
        <v>80.000000000000014</v>
      </c>
      <c r="AS101" s="202">
        <f>IFERROR(SUMIF(E101:AI101,"=Н",E102:AI102),0)</f>
        <v>0</v>
      </c>
      <c r="AT101" s="202">
        <f>IFERROR(SUMIF(E101:AI101,"=НА",E102:AI102),0)</f>
        <v>0</v>
      </c>
      <c r="AU101" s="202">
        <f>IFERROR(SUMIF(E101:AI101,"=ВП",E102:AI102),0)</f>
        <v>0</v>
      </c>
      <c r="AV101" s="202">
        <f>IFERROR(SUMIF(E101:AI101,"=ДД",E102:AI102),0)</f>
        <v>0</v>
      </c>
      <c r="AW101" s="202">
        <f>IFERROR(SUMIF(E101:AI101,"=ДО",E102:AI102),0)</f>
        <v>0</v>
      </c>
      <c r="AX101" s="202">
        <f>IFERROR(SUMIF(E101:AI101,"=ТН",E102:AI102),0)</f>
        <v>0</v>
      </c>
      <c r="AY101" s="202">
        <f>IFERROR(SUMIF(E101:AI101,"=ВД",E102:AI102),0)</f>
        <v>0</v>
      </c>
      <c r="AZ101" s="200">
        <f>IFERROR(SUMIF(E101:AI101,"=ІН",E102:AI102),0)+SUMIF(E101:AI101,"=НЗ",E102:AI102)</f>
        <v>0</v>
      </c>
    </row>
    <row r="102" spans="1:52" ht="20.100000000000001" customHeight="1" thickBot="1" x14ac:dyDescent="0.25">
      <c r="A102" s="290"/>
      <c r="B102" s="229"/>
      <c r="C102" s="229"/>
      <c r="D102" s="229"/>
      <c r="E102" s="192"/>
      <c r="F102" s="192"/>
      <c r="G102" s="192">
        <v>8.1999999999999993</v>
      </c>
      <c r="H102" s="192">
        <v>8.1999999999999993</v>
      </c>
      <c r="I102" s="192">
        <v>8.1999999999999993</v>
      </c>
      <c r="J102" s="192">
        <v>8.1999999999999993</v>
      </c>
      <c r="K102" s="192">
        <v>7</v>
      </c>
      <c r="L102" s="192"/>
      <c r="M102" s="192"/>
      <c r="N102" s="192">
        <v>8.1999999999999993</v>
      </c>
      <c r="O102" s="192">
        <v>8.1999999999999993</v>
      </c>
      <c r="P102" s="192">
        <v>8.1999999999999993</v>
      </c>
      <c r="Q102" s="192">
        <v>8.1999999999999993</v>
      </c>
      <c r="R102" s="192">
        <v>7.2</v>
      </c>
      <c r="S102" s="192"/>
      <c r="T102" s="192"/>
      <c r="U102" s="192">
        <v>8.1999999999999993</v>
      </c>
      <c r="V102" s="192">
        <v>8.1999999999999993</v>
      </c>
      <c r="W102" s="192">
        <v>8.1999999999999993</v>
      </c>
      <c r="X102" s="192">
        <v>8.1999999999999993</v>
      </c>
      <c r="Y102" s="192">
        <v>7.2</v>
      </c>
      <c r="Z102" s="192"/>
      <c r="AA102" s="192"/>
      <c r="AB102" s="192">
        <v>8.1999999999999993</v>
      </c>
      <c r="AC102" s="192">
        <v>8.1999999999999993</v>
      </c>
      <c r="AD102" s="192">
        <v>8.1999999999999993</v>
      </c>
      <c r="AE102" s="192">
        <v>8.1999999999999993</v>
      </c>
      <c r="AF102" s="192">
        <v>7.2</v>
      </c>
      <c r="AG102" s="192"/>
      <c r="AH102" s="192"/>
      <c r="AI102" s="192">
        <v>8.1999999999999993</v>
      </c>
      <c r="AJ102" s="214"/>
      <c r="AK102" s="203"/>
      <c r="AL102" s="203"/>
      <c r="AM102" s="203"/>
      <c r="AN102" s="212"/>
      <c r="AO102" s="203"/>
      <c r="AP102" s="203"/>
      <c r="AQ102" s="203"/>
      <c r="AR102" s="203"/>
      <c r="AS102" s="203"/>
      <c r="AT102" s="203"/>
      <c r="AU102" s="203"/>
      <c r="AV102" s="203"/>
      <c r="AW102" s="203"/>
      <c r="AX102" s="203"/>
      <c r="AY102" s="203"/>
      <c r="AZ102" s="201"/>
    </row>
    <row r="103" spans="1:52" ht="20.100000000000001" customHeight="1" x14ac:dyDescent="0.2">
      <c r="A103" s="289">
        <f t="shared" ref="A103" si="43">A101+1</f>
        <v>44</v>
      </c>
      <c r="B103" s="228" t="s">
        <v>195</v>
      </c>
      <c r="C103" s="228">
        <v>319</v>
      </c>
      <c r="D103" s="228" t="s">
        <v>65</v>
      </c>
      <c r="E103" s="191" t="s">
        <v>142</v>
      </c>
      <c r="F103" s="191" t="s">
        <v>142</v>
      </c>
      <c r="G103" s="191" t="s">
        <v>4</v>
      </c>
      <c r="H103" s="191" t="s">
        <v>4</v>
      </c>
      <c r="I103" s="191" t="s">
        <v>4</v>
      </c>
      <c r="J103" s="191" t="s">
        <v>4</v>
      </c>
      <c r="K103" s="191" t="s">
        <v>4</v>
      </c>
      <c r="L103" s="191" t="s">
        <v>142</v>
      </c>
      <c r="M103" s="191" t="s">
        <v>142</v>
      </c>
      <c r="N103" s="191" t="s">
        <v>4</v>
      </c>
      <c r="O103" s="191" t="s">
        <v>4</v>
      </c>
      <c r="P103" s="191" t="s">
        <v>4</v>
      </c>
      <c r="Q103" s="191" t="s">
        <v>4</v>
      </c>
      <c r="R103" s="191" t="s">
        <v>4</v>
      </c>
      <c r="S103" s="191" t="s">
        <v>142</v>
      </c>
      <c r="T103" s="191" t="s">
        <v>142</v>
      </c>
      <c r="U103" s="191" t="s">
        <v>4</v>
      </c>
      <c r="V103" s="191" t="s">
        <v>4</v>
      </c>
      <c r="W103" s="191" t="s">
        <v>4</v>
      </c>
      <c r="X103" s="191" t="s">
        <v>4</v>
      </c>
      <c r="Y103" s="191" t="s">
        <v>4</v>
      </c>
      <c r="Z103" s="191" t="s">
        <v>142</v>
      </c>
      <c r="AA103" s="191" t="s">
        <v>142</v>
      </c>
      <c r="AB103" s="191" t="s">
        <v>4</v>
      </c>
      <c r="AC103" s="191" t="s">
        <v>4</v>
      </c>
      <c r="AD103" s="191" t="s">
        <v>4</v>
      </c>
      <c r="AE103" s="191" t="s">
        <v>4</v>
      </c>
      <c r="AF103" s="191" t="s">
        <v>4</v>
      </c>
      <c r="AG103" s="191" t="s">
        <v>142</v>
      </c>
      <c r="AH103" s="191" t="s">
        <v>142</v>
      </c>
      <c r="AI103" s="191" t="s">
        <v>4</v>
      </c>
      <c r="AJ103" s="213">
        <f>IFERROR(COUNTIF(E103:AI103,"=Р")+COUNTIF(E103:AI103,"=Р1")+COUNTIF(E103:AI103,"=ВЧ")+COUNTIF(E103:AI103,"=РН")+COUNTIF(E103:AI103,"=Р2")+COUNTIF(E103:AI103,"=Р1/РВ")+COUNTIF(E103:AI103,"=Р2/РВ")+COUNTIF(E103:AI103,"=ВЧ/РВ")+COUNTIF(E103:AI103,"=РН/РВ"),0)</f>
        <v>21</v>
      </c>
      <c r="AK103" s="202">
        <f t="shared" si="30"/>
        <v>167.99999999999997</v>
      </c>
      <c r="AL103" s="202">
        <f>IFERROR(SUMIF(E103:AI103,"=НУ",E104:AI104),0)</f>
        <v>0</v>
      </c>
      <c r="AM103" s="202">
        <f>IFERROR(SUMIF(E103:AI103,"=РН",E104:AI104)+SUMIF(E103:AI103,"=РН/РВ",E104:AI104)+SUMIFS(E104:AI104,E103:AI103,"=Р2",E104:AI104,"=8"),0)</f>
        <v>0</v>
      </c>
      <c r="AN103" s="211">
        <f>IFERROR(SUMIF(E103:AI103,"=ВЧ",E104:AI104)+SUMIF(E103:AI103,"=ВЧ/РВ",E104:AI104)+CEILING(COUNTIFS(E103:AI103,"=Р2",E104:AI104,"=7")*4,1)+CEILING(COUNTIFS(E103:AI103,"=Р2/РВ",E104:AI104,"=7")*4,1)+SUMIFS(E104:AI104,E103:AI103,"=Р1/РВ",E104:AI104,"=12")/6+SUMIFS(E104:AI104,E103:AI103,"=ВЧ2/РВ",E104:AI104,"=4")/2+SUMIFS(E104:AI104,E103:AI103,"=Р1",E104:AI104,"=12")/6+SUMIFS(E104:AI104,E103:AI103,"=Р1",E104:AI104,"=8")/4+SUMIF(E103:AI103,"=ВЧ1",E104:AI104)/2,0)</f>
        <v>0</v>
      </c>
      <c r="AO103" s="202">
        <f>IFERROR(SUMIF(E103:AI103,"=РВ",E104:AI104)+SUMIF(E103:AI103,"=ВЧ/РВ",E104:AI104)+SUMIF(E103:AI103,"=РН/РВ",E104:AI104)+SUMIF(E103:AI103,"=Р1/РВ",E104:AI104)+SUMIF(E103:AI103,"=ВЧ2/РВ",E104:AI104)+SUMIF(E103:AI103,"=Р2/РВ",E104:AI104),0)</f>
        <v>0</v>
      </c>
      <c r="AP103" s="202">
        <f t="shared" si="31"/>
        <v>10</v>
      </c>
      <c r="AQ103" s="202">
        <f>SUM(AR103:AZ103)</f>
        <v>0</v>
      </c>
      <c r="AR103" s="202">
        <f>IFERROR(SUMIF(E103:AI103,"=В",E104:AI104)+SUMIF(E103:AI103,"=Ч",E104:AI104)+SUMIF(E103:AI103,"=ВБ",E104:AI104),0)</f>
        <v>0</v>
      </c>
      <c r="AS103" s="202">
        <f>IFERROR(SUMIF(E103:AI103,"=Н",E104:AI104),0)</f>
        <v>0</v>
      </c>
      <c r="AT103" s="202">
        <f>IFERROR(SUMIF(E103:AI103,"=НА",E104:AI104),0)</f>
        <v>0</v>
      </c>
      <c r="AU103" s="202">
        <f>IFERROR(SUMIF(E103:AI103,"=ВП",E104:AI104),0)</f>
        <v>0</v>
      </c>
      <c r="AV103" s="202">
        <f>IFERROR(SUMIF(E103:AI103,"=ДД",E104:AI104),0)</f>
        <v>0</v>
      </c>
      <c r="AW103" s="202">
        <f>IFERROR(SUMIF(E103:AI103,"=ДО",E104:AI104),0)</f>
        <v>0</v>
      </c>
      <c r="AX103" s="202">
        <f>IFERROR(SUMIF(E103:AI103,"=ТН",E104:AI104),0)</f>
        <v>0</v>
      </c>
      <c r="AY103" s="202">
        <f>IFERROR(SUMIF(E103:AI103,"=ВД",E104:AI104),0)</f>
        <v>0</v>
      </c>
      <c r="AZ103" s="200">
        <f>IFERROR(SUMIF(E103:AI103,"=ІН",E104:AI104),0)+SUMIF(E103:AI103,"=НЗ",E104:AI104)</f>
        <v>0</v>
      </c>
    </row>
    <row r="104" spans="1:52" ht="20.100000000000001" customHeight="1" thickBot="1" x14ac:dyDescent="0.25">
      <c r="A104" s="290"/>
      <c r="B104" s="229"/>
      <c r="C104" s="229"/>
      <c r="D104" s="229"/>
      <c r="E104" s="192"/>
      <c r="F104" s="192"/>
      <c r="G104" s="192">
        <v>8.1999999999999993</v>
      </c>
      <c r="H104" s="192">
        <v>8.1999999999999993</v>
      </c>
      <c r="I104" s="192">
        <v>8.1999999999999993</v>
      </c>
      <c r="J104" s="192">
        <v>8.1999999999999993</v>
      </c>
      <c r="K104" s="192">
        <v>7</v>
      </c>
      <c r="L104" s="192"/>
      <c r="M104" s="192"/>
      <c r="N104" s="192">
        <v>8.1999999999999993</v>
      </c>
      <c r="O104" s="192">
        <v>8.1999999999999993</v>
      </c>
      <c r="P104" s="192">
        <v>8.1999999999999993</v>
      </c>
      <c r="Q104" s="192">
        <v>8.1999999999999993</v>
      </c>
      <c r="R104" s="192">
        <v>7.2</v>
      </c>
      <c r="S104" s="192"/>
      <c r="T104" s="192"/>
      <c r="U104" s="192">
        <v>8.1999999999999993</v>
      </c>
      <c r="V104" s="192">
        <v>8.1999999999999993</v>
      </c>
      <c r="W104" s="192">
        <v>8.1999999999999993</v>
      </c>
      <c r="X104" s="192">
        <v>8.1999999999999993</v>
      </c>
      <c r="Y104" s="192">
        <v>7.2</v>
      </c>
      <c r="Z104" s="192"/>
      <c r="AA104" s="192"/>
      <c r="AB104" s="192">
        <v>8.1999999999999993</v>
      </c>
      <c r="AC104" s="192">
        <v>8.1999999999999993</v>
      </c>
      <c r="AD104" s="192">
        <v>8.1999999999999993</v>
      </c>
      <c r="AE104" s="192">
        <v>8.1999999999999993</v>
      </c>
      <c r="AF104" s="192">
        <v>7.2</v>
      </c>
      <c r="AG104" s="192"/>
      <c r="AH104" s="192"/>
      <c r="AI104" s="192">
        <v>8.1999999999999993</v>
      </c>
      <c r="AJ104" s="214"/>
      <c r="AK104" s="203"/>
      <c r="AL104" s="203"/>
      <c r="AM104" s="203"/>
      <c r="AN104" s="212"/>
      <c r="AO104" s="203"/>
      <c r="AP104" s="203"/>
      <c r="AQ104" s="203"/>
      <c r="AR104" s="203"/>
      <c r="AS104" s="203"/>
      <c r="AT104" s="203"/>
      <c r="AU104" s="203"/>
      <c r="AV104" s="203"/>
      <c r="AW104" s="203"/>
      <c r="AX104" s="203"/>
      <c r="AY104" s="203"/>
      <c r="AZ104" s="201"/>
    </row>
    <row r="105" spans="1:52" ht="20.100000000000001" customHeight="1" x14ac:dyDescent="0.2">
      <c r="A105" s="289">
        <f t="shared" ref="A105" si="44">A103+1</f>
        <v>45</v>
      </c>
      <c r="B105" s="228" t="s">
        <v>270</v>
      </c>
      <c r="C105" s="228">
        <v>6844</v>
      </c>
      <c r="D105" s="228" t="s">
        <v>72</v>
      </c>
      <c r="E105" s="191" t="s">
        <v>142</v>
      </c>
      <c r="F105" s="191" t="s">
        <v>142</v>
      </c>
      <c r="G105" s="191" t="s">
        <v>4</v>
      </c>
      <c r="H105" s="191" t="s">
        <v>4</v>
      </c>
      <c r="I105" s="191" t="s">
        <v>4</v>
      </c>
      <c r="J105" s="191" t="s">
        <v>4</v>
      </c>
      <c r="K105" s="191" t="s">
        <v>4</v>
      </c>
      <c r="L105" s="191" t="s">
        <v>142</v>
      </c>
      <c r="M105" s="191" t="s">
        <v>142</v>
      </c>
      <c r="N105" s="191" t="s">
        <v>4</v>
      </c>
      <c r="O105" s="191" t="s">
        <v>4</v>
      </c>
      <c r="P105" s="191" t="s">
        <v>4</v>
      </c>
      <c r="Q105" s="191" t="s">
        <v>4</v>
      </c>
      <c r="R105" s="191" t="s">
        <v>4</v>
      </c>
      <c r="S105" s="191" t="s">
        <v>142</v>
      </c>
      <c r="T105" s="191" t="s">
        <v>142</v>
      </c>
      <c r="U105" s="191" t="s">
        <v>4</v>
      </c>
      <c r="V105" s="191" t="s">
        <v>4</v>
      </c>
      <c r="W105" s="191" t="s">
        <v>4</v>
      </c>
      <c r="X105" s="191" t="s">
        <v>4</v>
      </c>
      <c r="Y105" s="191" t="s">
        <v>4</v>
      </c>
      <c r="Z105" s="191" t="s">
        <v>142</v>
      </c>
      <c r="AA105" s="191" t="s">
        <v>142</v>
      </c>
      <c r="AB105" s="191" t="s">
        <v>4</v>
      </c>
      <c r="AC105" s="191" t="s">
        <v>4</v>
      </c>
      <c r="AD105" s="191" t="s">
        <v>4</v>
      </c>
      <c r="AE105" s="191" t="s">
        <v>4</v>
      </c>
      <c r="AF105" s="191" t="s">
        <v>4</v>
      </c>
      <c r="AG105" s="191" t="s">
        <v>142</v>
      </c>
      <c r="AH105" s="191" t="s">
        <v>142</v>
      </c>
      <c r="AI105" s="191" t="s">
        <v>4</v>
      </c>
      <c r="AJ105" s="213">
        <f>IFERROR(COUNTIF(E105:AI105,"=Р")+COUNTIF(E105:AI105,"=Р1")+COUNTIF(E105:AI105,"=ВЧ")+COUNTIF(E105:AI105,"=РН")+COUNTIF(E105:AI105,"=Р2")+COUNTIF(E105:AI105,"=Р1/РВ")+COUNTIF(E105:AI105,"=Р2/РВ")+COUNTIF(E105:AI105,"=ВЧ/РВ")+COUNTIF(E105:AI105,"=РН/РВ"),0)</f>
        <v>21</v>
      </c>
      <c r="AK105" s="202">
        <f t="shared" si="30"/>
        <v>167.99999999999997</v>
      </c>
      <c r="AL105" s="202">
        <f>IFERROR(SUMIF(E105:AI105,"=НУ",E106:AI106),0)</f>
        <v>0</v>
      </c>
      <c r="AM105" s="202">
        <f>IFERROR(SUMIF(E105:AI105,"=РН",E106:AI106)+SUMIF(E105:AI105,"=РН/РВ",E106:AI106)+SUMIFS(E106:AI106,E105:AI105,"=Р2",E106:AI106,"=8"),0)</f>
        <v>0</v>
      </c>
      <c r="AN105" s="211">
        <f>IFERROR(SUMIF(E105:AI105,"=ВЧ",E106:AI106)+SUMIF(E105:AI105,"=ВЧ/РВ",E106:AI106)+CEILING(COUNTIFS(E105:AI105,"=Р2",E106:AI106,"=7")*4,1)+CEILING(COUNTIFS(E105:AI105,"=Р2/РВ",E106:AI106,"=7")*4,1)+SUMIFS(E106:AI106,E105:AI105,"=Р1/РВ",E106:AI106,"=12")/6+SUMIFS(E106:AI106,E105:AI105,"=ВЧ2/РВ",E106:AI106,"=4")/2+SUMIFS(E106:AI106,E105:AI105,"=Р1",E106:AI106,"=12")/6+SUMIFS(E106:AI106,E105:AI105,"=Р1",E106:AI106,"=8")/4+SUMIF(E105:AI105,"=ВЧ1",E106:AI106)/2,0)</f>
        <v>0</v>
      </c>
      <c r="AO105" s="202">
        <f>IFERROR(SUMIF(E105:AI105,"=РВ",E106:AI106)+SUMIF(E105:AI105,"=ВЧ/РВ",E106:AI106)+SUMIF(E105:AI105,"=РН/РВ",E106:AI106)+SUMIF(E105:AI105,"=Р1/РВ",E106:AI106)+SUMIF(E105:AI105,"=ВЧ2/РВ",E106:AI106)+SUMIF(E105:AI105,"=Р2/РВ",E106:AI106),0)</f>
        <v>0</v>
      </c>
      <c r="AP105" s="202">
        <f t="shared" si="31"/>
        <v>10</v>
      </c>
      <c r="AQ105" s="202">
        <f>SUM(AR105:AZ105)</f>
        <v>0</v>
      </c>
      <c r="AR105" s="202">
        <f>IFERROR(SUMIF(E105:AI105,"=В",E106:AI106)+SUMIF(E105:AI105,"=Ч",E106:AI106)+SUMIF(E105:AI105,"=ВБ",E106:AI106),0)</f>
        <v>0</v>
      </c>
      <c r="AS105" s="202">
        <f>IFERROR(SUMIF(E105:AI105,"=Н",E106:AI106),0)</f>
        <v>0</v>
      </c>
      <c r="AT105" s="202">
        <f>IFERROR(SUMIF(E105:AI105,"=НА",E106:AI106),0)</f>
        <v>0</v>
      </c>
      <c r="AU105" s="202">
        <f>IFERROR(SUMIF(E105:AI105,"=ВП",E106:AI106),0)</f>
        <v>0</v>
      </c>
      <c r="AV105" s="202">
        <f>IFERROR(SUMIF(E105:AI105,"=ДД",E106:AI106),0)</f>
        <v>0</v>
      </c>
      <c r="AW105" s="202">
        <f>IFERROR(SUMIF(E105:AI105,"=ДО",E106:AI106),0)</f>
        <v>0</v>
      </c>
      <c r="AX105" s="202">
        <f>IFERROR(SUMIF(E105:AI105,"=ТН",E106:AI106),0)</f>
        <v>0</v>
      </c>
      <c r="AY105" s="202">
        <f>IFERROR(SUMIF(E105:AI105,"=ВД",E106:AI106),0)</f>
        <v>0</v>
      </c>
      <c r="AZ105" s="200">
        <f>IFERROR(SUMIF(E105:AI105,"=ІН",E106:AI106),0)+SUMIF(E105:AI105,"=НЗ",E106:AI106)</f>
        <v>0</v>
      </c>
    </row>
    <row r="106" spans="1:52" ht="20.100000000000001" customHeight="1" thickBot="1" x14ac:dyDescent="0.25">
      <c r="A106" s="290"/>
      <c r="B106" s="229"/>
      <c r="C106" s="229"/>
      <c r="D106" s="229"/>
      <c r="E106" s="192"/>
      <c r="F106" s="192"/>
      <c r="G106" s="192">
        <v>8.1999999999999993</v>
      </c>
      <c r="H106" s="192">
        <v>8.1999999999999993</v>
      </c>
      <c r="I106" s="192">
        <v>8.1999999999999993</v>
      </c>
      <c r="J106" s="192">
        <v>8.1999999999999993</v>
      </c>
      <c r="K106" s="192">
        <v>7</v>
      </c>
      <c r="L106" s="192"/>
      <c r="M106" s="192"/>
      <c r="N106" s="192">
        <v>8.1999999999999993</v>
      </c>
      <c r="O106" s="192">
        <v>8.1999999999999993</v>
      </c>
      <c r="P106" s="192">
        <v>8.1999999999999993</v>
      </c>
      <c r="Q106" s="192">
        <v>8.1999999999999993</v>
      </c>
      <c r="R106" s="192">
        <v>7.2</v>
      </c>
      <c r="S106" s="192"/>
      <c r="T106" s="192"/>
      <c r="U106" s="192">
        <v>8.1999999999999993</v>
      </c>
      <c r="V106" s="192">
        <v>8.1999999999999993</v>
      </c>
      <c r="W106" s="192">
        <v>8.1999999999999993</v>
      </c>
      <c r="X106" s="192">
        <v>8.1999999999999993</v>
      </c>
      <c r="Y106" s="192">
        <v>7.2</v>
      </c>
      <c r="Z106" s="192"/>
      <c r="AA106" s="192"/>
      <c r="AB106" s="192">
        <v>8.1999999999999993</v>
      </c>
      <c r="AC106" s="192">
        <v>8.1999999999999993</v>
      </c>
      <c r="AD106" s="192">
        <v>8.1999999999999993</v>
      </c>
      <c r="AE106" s="192">
        <v>8.1999999999999993</v>
      </c>
      <c r="AF106" s="192">
        <v>7.2</v>
      </c>
      <c r="AG106" s="192"/>
      <c r="AH106" s="192"/>
      <c r="AI106" s="192">
        <v>8.1999999999999993</v>
      </c>
      <c r="AJ106" s="214"/>
      <c r="AK106" s="203"/>
      <c r="AL106" s="203"/>
      <c r="AM106" s="203"/>
      <c r="AN106" s="212"/>
      <c r="AO106" s="203"/>
      <c r="AP106" s="203"/>
      <c r="AQ106" s="203"/>
      <c r="AR106" s="203"/>
      <c r="AS106" s="203"/>
      <c r="AT106" s="203"/>
      <c r="AU106" s="203"/>
      <c r="AV106" s="203"/>
      <c r="AW106" s="203"/>
      <c r="AX106" s="203"/>
      <c r="AY106" s="203"/>
      <c r="AZ106" s="201"/>
    </row>
    <row r="107" spans="1:52" ht="20.100000000000001" customHeight="1" x14ac:dyDescent="0.2">
      <c r="A107" s="289">
        <f t="shared" ref="A107" si="45">A105+1</f>
        <v>46</v>
      </c>
      <c r="B107" s="228" t="s">
        <v>196</v>
      </c>
      <c r="C107" s="228">
        <v>2087</v>
      </c>
      <c r="D107" s="228" t="s">
        <v>72</v>
      </c>
      <c r="E107" s="191" t="s">
        <v>142</v>
      </c>
      <c r="F107" s="191" t="s">
        <v>142</v>
      </c>
      <c r="G107" s="191" t="s">
        <v>4</v>
      </c>
      <c r="H107" s="191" t="s">
        <v>4</v>
      </c>
      <c r="I107" s="191" t="s">
        <v>4</v>
      </c>
      <c r="J107" s="191" t="s">
        <v>4</v>
      </c>
      <c r="K107" s="191" t="s">
        <v>4</v>
      </c>
      <c r="L107" s="191" t="s">
        <v>142</v>
      </c>
      <c r="M107" s="191" t="s">
        <v>142</v>
      </c>
      <c r="N107" s="191" t="s">
        <v>4</v>
      </c>
      <c r="O107" s="191" t="s">
        <v>4</v>
      </c>
      <c r="P107" s="191" t="s">
        <v>4</v>
      </c>
      <c r="Q107" s="191" t="s">
        <v>4</v>
      </c>
      <c r="R107" s="191" t="s">
        <v>4</v>
      </c>
      <c r="S107" s="191" t="s">
        <v>142</v>
      </c>
      <c r="T107" s="191" t="s">
        <v>142</v>
      </c>
      <c r="U107" s="191" t="s">
        <v>4</v>
      </c>
      <c r="V107" s="191" t="s">
        <v>4</v>
      </c>
      <c r="W107" s="191" t="s">
        <v>4</v>
      </c>
      <c r="X107" s="191" t="s">
        <v>4</v>
      </c>
      <c r="Y107" s="191" t="s">
        <v>4</v>
      </c>
      <c r="Z107" s="191" t="s">
        <v>142</v>
      </c>
      <c r="AA107" s="191" t="s">
        <v>142</v>
      </c>
      <c r="AB107" s="191" t="s">
        <v>4</v>
      </c>
      <c r="AC107" s="191" t="s">
        <v>4</v>
      </c>
      <c r="AD107" s="191" t="s">
        <v>4</v>
      </c>
      <c r="AE107" s="191" t="s">
        <v>4</v>
      </c>
      <c r="AF107" s="191" t="s">
        <v>4</v>
      </c>
      <c r="AG107" s="191" t="s">
        <v>142</v>
      </c>
      <c r="AH107" s="191" t="s">
        <v>142</v>
      </c>
      <c r="AI107" s="191" t="s">
        <v>4</v>
      </c>
      <c r="AJ107" s="213">
        <f>IFERROR(COUNTIF(E107:AI107,"=Р")+COUNTIF(E107:AI107,"=Р1")+COUNTIF(E107:AI107,"=ВЧ")+COUNTIF(E107:AI107,"=РН")+COUNTIF(E107:AI107,"=Р2")+COUNTIF(E107:AI107,"=Р1/РВ")+COUNTIF(E107:AI107,"=Р2/РВ")+COUNTIF(E107:AI107,"=ВЧ/РВ")+COUNTIF(E107:AI107,"=РН/РВ"),0)</f>
        <v>21</v>
      </c>
      <c r="AK107" s="202">
        <f t="shared" si="30"/>
        <v>167.99999999999997</v>
      </c>
      <c r="AL107" s="202">
        <f>IFERROR(SUMIF(E107:AI107,"=НУ",E108:AI108),0)</f>
        <v>0</v>
      </c>
      <c r="AM107" s="202">
        <f>IFERROR(SUMIF(E107:AI107,"=РН",E108:AI108)+SUMIF(E107:AI107,"=РН/РВ",E108:AI108)+SUMIFS(E108:AI108,E107:AI107,"=Р2",E108:AI108,"=8"),0)</f>
        <v>0</v>
      </c>
      <c r="AN107" s="211">
        <f>IFERROR(SUMIF(E107:AI107,"=ВЧ",E108:AI108)+SUMIF(E107:AI107,"=ВЧ/РВ",E108:AI108)+CEILING(COUNTIFS(E107:AI107,"=Р2",E108:AI108,"=7")*4,1)+CEILING(COUNTIFS(E107:AI107,"=Р2/РВ",E108:AI108,"=7")*4,1)+SUMIFS(E108:AI108,E107:AI107,"=Р1/РВ",E108:AI108,"=12")/6+SUMIFS(E108:AI108,E107:AI107,"=ВЧ2/РВ",E108:AI108,"=4")/2+SUMIFS(E108:AI108,E107:AI107,"=Р1",E108:AI108,"=12")/6+SUMIFS(E108:AI108,E107:AI107,"=Р1",E108:AI108,"=8")/4+SUMIF(E107:AI107,"=ВЧ1",E108:AI108)/2,0)</f>
        <v>0</v>
      </c>
      <c r="AO107" s="202">
        <f>IFERROR(SUMIF(E107:AI107,"=РВ",E108:AI108)+SUMIF(E107:AI107,"=ВЧ/РВ",E108:AI108)+SUMIF(E107:AI107,"=РН/РВ",E108:AI108)+SUMIF(E107:AI107,"=Р1/РВ",E108:AI108)+SUMIF(E107:AI107,"=ВЧ2/РВ",E108:AI108)+SUMIF(E107:AI107,"=Р2/РВ",E108:AI108),0)</f>
        <v>0</v>
      </c>
      <c r="AP107" s="202">
        <f t="shared" si="31"/>
        <v>10</v>
      </c>
      <c r="AQ107" s="202">
        <f>SUM(AR107:AZ107)</f>
        <v>0</v>
      </c>
      <c r="AR107" s="202">
        <f>IFERROR(SUMIF(E107:AI107,"=В",E108:AI108)+SUMIF(E107:AI107,"=Ч",E108:AI108)+SUMIF(E107:AI107,"=ВБ",E108:AI108),0)</f>
        <v>0</v>
      </c>
      <c r="AS107" s="202">
        <f>IFERROR(SUMIF(E107:AI107,"=Н",E108:AI108),0)</f>
        <v>0</v>
      </c>
      <c r="AT107" s="202">
        <f>IFERROR(SUMIF(E107:AI107,"=НА",E108:AI108),0)</f>
        <v>0</v>
      </c>
      <c r="AU107" s="202">
        <f>IFERROR(SUMIF(E107:AI107,"=ВП",E108:AI108),0)</f>
        <v>0</v>
      </c>
      <c r="AV107" s="202">
        <f>IFERROR(SUMIF(E107:AI107,"=ДД",E108:AI108),0)</f>
        <v>0</v>
      </c>
      <c r="AW107" s="202">
        <f>IFERROR(SUMIF(E107:AI107,"=ДО",E108:AI108),0)</f>
        <v>0</v>
      </c>
      <c r="AX107" s="202">
        <f>IFERROR(SUMIF(E107:AI107,"=ТН",E108:AI108),0)</f>
        <v>0</v>
      </c>
      <c r="AY107" s="202">
        <f>IFERROR(SUMIF(E107:AI107,"=ВД",E108:AI108),0)</f>
        <v>0</v>
      </c>
      <c r="AZ107" s="200">
        <f>IFERROR(SUMIF(E107:AI107,"=ІН",E108:AI108),0)+SUMIF(E107:AI107,"=НЗ",E108:AI108)</f>
        <v>0</v>
      </c>
    </row>
    <row r="108" spans="1:52" ht="20.100000000000001" customHeight="1" thickBot="1" x14ac:dyDescent="0.25">
      <c r="A108" s="290"/>
      <c r="B108" s="229"/>
      <c r="C108" s="229"/>
      <c r="D108" s="229"/>
      <c r="E108" s="192"/>
      <c r="F108" s="192"/>
      <c r="G108" s="192">
        <v>8.1999999999999993</v>
      </c>
      <c r="H108" s="192">
        <v>8.1999999999999993</v>
      </c>
      <c r="I108" s="192">
        <v>8.1999999999999993</v>
      </c>
      <c r="J108" s="192">
        <v>8.1999999999999993</v>
      </c>
      <c r="K108" s="192">
        <v>7</v>
      </c>
      <c r="L108" s="192"/>
      <c r="M108" s="192"/>
      <c r="N108" s="192">
        <v>8.1999999999999993</v>
      </c>
      <c r="O108" s="192">
        <v>8.1999999999999993</v>
      </c>
      <c r="P108" s="192">
        <v>8.1999999999999993</v>
      </c>
      <c r="Q108" s="192">
        <v>8.1999999999999993</v>
      </c>
      <c r="R108" s="192">
        <v>7.2</v>
      </c>
      <c r="S108" s="192"/>
      <c r="T108" s="192"/>
      <c r="U108" s="192">
        <v>8.1999999999999993</v>
      </c>
      <c r="V108" s="192">
        <v>8.1999999999999993</v>
      </c>
      <c r="W108" s="192">
        <v>8.1999999999999993</v>
      </c>
      <c r="X108" s="192">
        <v>8.1999999999999993</v>
      </c>
      <c r="Y108" s="192">
        <v>7.2</v>
      </c>
      <c r="Z108" s="192"/>
      <c r="AA108" s="192"/>
      <c r="AB108" s="192">
        <v>8.1999999999999993</v>
      </c>
      <c r="AC108" s="192">
        <v>8.1999999999999993</v>
      </c>
      <c r="AD108" s="192">
        <v>8.1999999999999993</v>
      </c>
      <c r="AE108" s="192">
        <v>8.1999999999999993</v>
      </c>
      <c r="AF108" s="192">
        <v>7.2</v>
      </c>
      <c r="AG108" s="192"/>
      <c r="AH108" s="192"/>
      <c r="AI108" s="192">
        <v>8.1999999999999993</v>
      </c>
      <c r="AJ108" s="214"/>
      <c r="AK108" s="203"/>
      <c r="AL108" s="203"/>
      <c r="AM108" s="203"/>
      <c r="AN108" s="212"/>
      <c r="AO108" s="203"/>
      <c r="AP108" s="203"/>
      <c r="AQ108" s="203"/>
      <c r="AR108" s="203"/>
      <c r="AS108" s="203"/>
      <c r="AT108" s="203"/>
      <c r="AU108" s="203"/>
      <c r="AV108" s="203"/>
      <c r="AW108" s="203"/>
      <c r="AX108" s="203"/>
      <c r="AY108" s="203"/>
      <c r="AZ108" s="201"/>
    </row>
    <row r="109" spans="1:52" ht="20.100000000000001" customHeight="1" x14ac:dyDescent="0.2">
      <c r="A109" s="289">
        <f t="shared" ref="A109" si="46">A107+1</f>
        <v>47</v>
      </c>
      <c r="B109" s="228" t="s">
        <v>347</v>
      </c>
      <c r="C109" s="228">
        <v>2021</v>
      </c>
      <c r="D109" s="228" t="s">
        <v>65</v>
      </c>
      <c r="E109" s="191" t="s">
        <v>142</v>
      </c>
      <c r="F109" s="191" t="s">
        <v>142</v>
      </c>
      <c r="G109" s="191" t="s">
        <v>4</v>
      </c>
      <c r="H109" s="191" t="s">
        <v>4</v>
      </c>
      <c r="I109" s="191" t="s">
        <v>4</v>
      </c>
      <c r="J109" s="191" t="s">
        <v>4</v>
      </c>
      <c r="K109" s="191" t="s">
        <v>4</v>
      </c>
      <c r="L109" s="191" t="s">
        <v>142</v>
      </c>
      <c r="M109" s="191" t="s">
        <v>142</v>
      </c>
      <c r="N109" s="191" t="s">
        <v>4</v>
      </c>
      <c r="O109" s="191" t="s">
        <v>4</v>
      </c>
      <c r="P109" s="191" t="s">
        <v>4</v>
      </c>
      <c r="Q109" s="191" t="s">
        <v>4</v>
      </c>
      <c r="R109" s="191" t="s">
        <v>4</v>
      </c>
      <c r="S109" s="191" t="s">
        <v>142</v>
      </c>
      <c r="T109" s="191" t="s">
        <v>142</v>
      </c>
      <c r="U109" s="191" t="s">
        <v>4</v>
      </c>
      <c r="V109" s="191" t="s">
        <v>4</v>
      </c>
      <c r="W109" s="191" t="s">
        <v>4</v>
      </c>
      <c r="X109" s="191" t="s">
        <v>4</v>
      </c>
      <c r="Y109" s="191" t="s">
        <v>4</v>
      </c>
      <c r="Z109" s="191" t="s">
        <v>142</v>
      </c>
      <c r="AA109" s="191" t="s">
        <v>142</v>
      </c>
      <c r="AB109" s="191" t="s">
        <v>4</v>
      </c>
      <c r="AC109" s="191" t="s">
        <v>4</v>
      </c>
      <c r="AD109" s="191" t="s">
        <v>4</v>
      </c>
      <c r="AE109" s="191" t="s">
        <v>4</v>
      </c>
      <c r="AF109" s="191" t="s">
        <v>4</v>
      </c>
      <c r="AG109" s="191" t="s">
        <v>142</v>
      </c>
      <c r="AH109" s="191" t="s">
        <v>142</v>
      </c>
      <c r="AI109" s="191" t="s">
        <v>4</v>
      </c>
      <c r="AJ109" s="213">
        <f>IFERROR(COUNTIF(E109:AI109,"=Р")+COUNTIF(E109:AI109,"=Р1")+COUNTIF(E109:AI109,"=ВЧ")+COUNTIF(E109:AI109,"=РН")+COUNTIF(E109:AI109,"=Р2")+COUNTIF(E109:AI109,"=Р1/РВ")+COUNTIF(E109:AI109,"=Р2/РВ")+COUNTIF(E109:AI109,"=ВЧ/РВ")+COUNTIF(E109:AI109,"=РН/РВ"),0)</f>
        <v>21</v>
      </c>
      <c r="AK109" s="202">
        <f t="shared" si="30"/>
        <v>167.99999999999997</v>
      </c>
      <c r="AL109" s="202">
        <f>IFERROR(SUMIF(E109:AI109,"=НУ",E110:AI110),0)</f>
        <v>0</v>
      </c>
      <c r="AM109" s="202">
        <f>IFERROR(SUMIF(E109:AI109,"=РН",E110:AI110)+SUMIF(E109:AI109,"=РН/РВ",E110:AI110)+SUMIFS(E110:AI110,E109:AI109,"=Р2",E110:AI110,"=8"),0)</f>
        <v>0</v>
      </c>
      <c r="AN109" s="211">
        <f>IFERROR(SUMIF(E109:AI109,"=ВЧ",E110:AI110)+SUMIF(E109:AI109,"=ВЧ/РВ",E110:AI110)+CEILING(COUNTIFS(E109:AI109,"=Р2",E110:AI110,"=7")*4,1)+CEILING(COUNTIFS(E109:AI109,"=Р2/РВ",E110:AI110,"=7")*4,1)+SUMIFS(E110:AI110,E109:AI109,"=Р1/РВ",E110:AI110,"=12")/6+SUMIFS(E110:AI110,E109:AI109,"=ВЧ2/РВ",E110:AI110,"=4")/2+SUMIFS(E110:AI110,E109:AI109,"=Р1",E110:AI110,"=12")/6+SUMIFS(E110:AI110,E109:AI109,"=Р1",E110:AI110,"=8")/4+SUMIF(E109:AI109,"=ВЧ1",E110:AI110)/2,0)</f>
        <v>0</v>
      </c>
      <c r="AO109" s="202">
        <f>IFERROR(SUMIF(E109:AI109,"=РВ",E110:AI110)+SUMIF(E109:AI109,"=ВЧ/РВ",E110:AI110)+SUMIF(E109:AI109,"=РН/РВ",E110:AI110)+SUMIF(E109:AI109,"=Р1/РВ",E110:AI110)+SUMIF(E109:AI109,"=ВЧ2/РВ",E110:AI110)+SUMIF(E109:AI109,"=Р2/РВ",E110:AI110),0)</f>
        <v>0</v>
      </c>
      <c r="AP109" s="202">
        <f t="shared" si="31"/>
        <v>10</v>
      </c>
      <c r="AQ109" s="202">
        <f>SUM(AR109:AZ109)</f>
        <v>0</v>
      </c>
      <c r="AR109" s="202">
        <f>IFERROR(SUMIF(E109:AI109,"=В",E110:AI110)+SUMIF(E109:AI109,"=Ч",E110:AI110)+SUMIF(E109:AI109,"=ВБ",E110:AI110),0)</f>
        <v>0</v>
      </c>
      <c r="AS109" s="202">
        <f>IFERROR(SUMIF(E109:AI109,"=Н",E110:AI110),0)</f>
        <v>0</v>
      </c>
      <c r="AT109" s="202">
        <f>IFERROR(SUMIF(E109:AI109,"=НА",E110:AI110),0)</f>
        <v>0</v>
      </c>
      <c r="AU109" s="202">
        <f>IFERROR(SUMIF(E109:AI109,"=ВП",E110:AI110),0)</f>
        <v>0</v>
      </c>
      <c r="AV109" s="202">
        <f>IFERROR(SUMIF(E109:AI109,"=ДД",E110:AI110),0)</f>
        <v>0</v>
      </c>
      <c r="AW109" s="202">
        <f>IFERROR(SUMIF(E109:AI109,"=ДО",E110:AI110),0)</f>
        <v>0</v>
      </c>
      <c r="AX109" s="202">
        <f>IFERROR(SUMIF(E109:AI109,"=ТН",E110:AI110),0)</f>
        <v>0</v>
      </c>
      <c r="AY109" s="202">
        <f>IFERROR(SUMIF(E109:AI109,"=ВД",E110:AI110),0)</f>
        <v>0</v>
      </c>
      <c r="AZ109" s="200">
        <f>IFERROR(SUMIF(E109:AI109,"=ІН",E110:AI110),0)+SUMIF(E109:AI109,"=НЗ",E110:AI110)</f>
        <v>0</v>
      </c>
    </row>
    <row r="110" spans="1:52" ht="20.100000000000001" customHeight="1" thickBot="1" x14ac:dyDescent="0.25">
      <c r="A110" s="290"/>
      <c r="B110" s="229"/>
      <c r="C110" s="229"/>
      <c r="D110" s="229"/>
      <c r="E110" s="192"/>
      <c r="F110" s="192"/>
      <c r="G110" s="192">
        <v>8.1999999999999993</v>
      </c>
      <c r="H110" s="192">
        <v>8.1999999999999993</v>
      </c>
      <c r="I110" s="192">
        <v>8.1999999999999993</v>
      </c>
      <c r="J110" s="192">
        <v>8.1999999999999993</v>
      </c>
      <c r="K110" s="192">
        <v>7</v>
      </c>
      <c r="L110" s="192"/>
      <c r="M110" s="192"/>
      <c r="N110" s="192">
        <v>8.1999999999999993</v>
      </c>
      <c r="O110" s="192">
        <v>8.1999999999999993</v>
      </c>
      <c r="P110" s="192">
        <v>8.1999999999999993</v>
      </c>
      <c r="Q110" s="192">
        <v>8.1999999999999993</v>
      </c>
      <c r="R110" s="192">
        <v>7.2</v>
      </c>
      <c r="S110" s="192"/>
      <c r="T110" s="192"/>
      <c r="U110" s="192">
        <v>8.1999999999999993</v>
      </c>
      <c r="V110" s="192">
        <v>8.1999999999999993</v>
      </c>
      <c r="W110" s="192">
        <v>8.1999999999999993</v>
      </c>
      <c r="X110" s="192">
        <v>8.1999999999999993</v>
      </c>
      <c r="Y110" s="192">
        <v>7.2</v>
      </c>
      <c r="Z110" s="192"/>
      <c r="AA110" s="192"/>
      <c r="AB110" s="192">
        <v>8.1999999999999993</v>
      </c>
      <c r="AC110" s="192">
        <v>8.1999999999999993</v>
      </c>
      <c r="AD110" s="192">
        <v>8.1999999999999993</v>
      </c>
      <c r="AE110" s="192">
        <v>8.1999999999999993</v>
      </c>
      <c r="AF110" s="192">
        <v>7.2</v>
      </c>
      <c r="AG110" s="192"/>
      <c r="AH110" s="192"/>
      <c r="AI110" s="192">
        <v>8.1999999999999993</v>
      </c>
      <c r="AJ110" s="214"/>
      <c r="AK110" s="203"/>
      <c r="AL110" s="203"/>
      <c r="AM110" s="203"/>
      <c r="AN110" s="212"/>
      <c r="AO110" s="203"/>
      <c r="AP110" s="203"/>
      <c r="AQ110" s="203"/>
      <c r="AR110" s="203"/>
      <c r="AS110" s="203"/>
      <c r="AT110" s="203"/>
      <c r="AU110" s="203"/>
      <c r="AV110" s="203"/>
      <c r="AW110" s="203"/>
      <c r="AX110" s="203"/>
      <c r="AY110" s="203"/>
      <c r="AZ110" s="201"/>
    </row>
    <row r="111" spans="1:52" ht="20.100000000000001" customHeight="1" x14ac:dyDescent="0.2">
      <c r="A111" s="289">
        <f t="shared" ref="A111" si="47">A109+1</f>
        <v>48</v>
      </c>
      <c r="B111" s="228" t="s">
        <v>197</v>
      </c>
      <c r="C111" s="228">
        <v>1989</v>
      </c>
      <c r="D111" s="228" t="s">
        <v>72</v>
      </c>
      <c r="E111" s="191" t="s">
        <v>142</v>
      </c>
      <c r="F111" s="191" t="s">
        <v>142</v>
      </c>
      <c r="G111" s="191" t="s">
        <v>4</v>
      </c>
      <c r="H111" s="191" t="s">
        <v>4</v>
      </c>
      <c r="I111" s="191" t="s">
        <v>4</v>
      </c>
      <c r="J111" s="191" t="s">
        <v>4</v>
      </c>
      <c r="K111" s="191" t="s">
        <v>4</v>
      </c>
      <c r="L111" s="191" t="s">
        <v>142</v>
      </c>
      <c r="M111" s="191" t="s">
        <v>142</v>
      </c>
      <c r="N111" s="191" t="s">
        <v>4</v>
      </c>
      <c r="O111" s="191" t="s">
        <v>4</v>
      </c>
      <c r="P111" s="191" t="s">
        <v>4</v>
      </c>
      <c r="Q111" s="191" t="s">
        <v>4</v>
      </c>
      <c r="R111" s="191" t="s">
        <v>4</v>
      </c>
      <c r="S111" s="191" t="s">
        <v>142</v>
      </c>
      <c r="T111" s="191" t="s">
        <v>142</v>
      </c>
      <c r="U111" s="191" t="s">
        <v>4</v>
      </c>
      <c r="V111" s="191" t="s">
        <v>4</v>
      </c>
      <c r="W111" s="191" t="s">
        <v>4</v>
      </c>
      <c r="X111" s="191" t="s">
        <v>4</v>
      </c>
      <c r="Y111" s="191" t="s">
        <v>4</v>
      </c>
      <c r="Z111" s="191" t="s">
        <v>142</v>
      </c>
      <c r="AA111" s="191" t="s">
        <v>142</v>
      </c>
      <c r="AB111" s="191" t="s">
        <v>4</v>
      </c>
      <c r="AC111" s="191" t="s">
        <v>4</v>
      </c>
      <c r="AD111" s="191" t="s">
        <v>4</v>
      </c>
      <c r="AE111" s="191" t="s">
        <v>4</v>
      </c>
      <c r="AF111" s="191" t="s">
        <v>4</v>
      </c>
      <c r="AG111" s="191" t="s">
        <v>142</v>
      </c>
      <c r="AH111" s="191" t="s">
        <v>142</v>
      </c>
      <c r="AI111" s="191" t="s">
        <v>4</v>
      </c>
      <c r="AJ111" s="213">
        <f>IFERROR(COUNTIF(E111:AI111,"=Р")+COUNTIF(E111:AI111,"=Р1")+COUNTIF(E111:AI111,"=ВЧ")+COUNTIF(E111:AI111,"=РН")+COUNTIF(E111:AI111,"=Р2")+COUNTIF(E111:AI111,"=Р1/РВ")+COUNTIF(E111:AI111,"=Р2/РВ")+COUNTIF(E111:AI111,"=ВЧ/РВ")+COUNTIF(E111:AI111,"=РН/РВ"),0)</f>
        <v>21</v>
      </c>
      <c r="AK111" s="202">
        <f t="shared" si="30"/>
        <v>167.99999999999997</v>
      </c>
      <c r="AL111" s="202">
        <f>IFERROR(SUMIF(E111:AI111,"=НУ",E112:AI112),0)</f>
        <v>0</v>
      </c>
      <c r="AM111" s="202">
        <f>IFERROR(SUMIF(E111:AI111,"=РН",E112:AI112)+SUMIF(E111:AI111,"=РН/РВ",E112:AI112)+SUMIFS(E112:AI112,E111:AI111,"=Р2",E112:AI112,"=8"),0)</f>
        <v>0</v>
      </c>
      <c r="AN111" s="211">
        <f>IFERROR(SUMIF(E111:AI111,"=ВЧ",E112:AI112)+SUMIF(E111:AI111,"=ВЧ/РВ",E112:AI112)+CEILING(COUNTIFS(E111:AI111,"=Р2",E112:AI112,"=7")*4,1)+CEILING(COUNTIFS(E111:AI111,"=Р2/РВ",E112:AI112,"=7")*4,1)+SUMIFS(E112:AI112,E111:AI111,"=Р1/РВ",E112:AI112,"=12")/6+SUMIFS(E112:AI112,E111:AI111,"=ВЧ2/РВ",E112:AI112,"=4")/2+SUMIFS(E112:AI112,E111:AI111,"=Р1",E112:AI112,"=12")/6+SUMIFS(E112:AI112,E111:AI111,"=Р1",E112:AI112,"=8")/4+SUMIF(E111:AI111,"=ВЧ1",E112:AI112)/2,0)</f>
        <v>0</v>
      </c>
      <c r="AO111" s="202">
        <f>IFERROR(SUMIF(E111:AI111,"=РВ",E112:AI112)+SUMIF(E111:AI111,"=ВЧ/РВ",E112:AI112)+SUMIF(E111:AI111,"=РН/РВ",E112:AI112)+SUMIF(E111:AI111,"=Р1/РВ",E112:AI112)+SUMIF(E111:AI111,"=ВЧ2/РВ",E112:AI112)+SUMIF(E111:AI111,"=Р2/РВ",E112:AI112),0)</f>
        <v>0</v>
      </c>
      <c r="AP111" s="202">
        <f t="shared" si="31"/>
        <v>10</v>
      </c>
      <c r="AQ111" s="202">
        <f>SUM(AR111:AZ111)</f>
        <v>0</v>
      </c>
      <c r="AR111" s="202">
        <f>IFERROR(SUMIF(E111:AI111,"=В",E112:AI112)+SUMIF(E111:AI111,"=Ч",E112:AI112)+SUMIF(E111:AI111,"=ВБ",E112:AI112),0)</f>
        <v>0</v>
      </c>
      <c r="AS111" s="202">
        <f>IFERROR(SUMIF(E111:AI111,"=Н",E112:AI112),0)</f>
        <v>0</v>
      </c>
      <c r="AT111" s="202">
        <f>IFERROR(SUMIF(E111:AI111,"=НА",E112:AI112),0)</f>
        <v>0</v>
      </c>
      <c r="AU111" s="202">
        <f>IFERROR(SUMIF(E111:AI111,"=ВП",E112:AI112),0)</f>
        <v>0</v>
      </c>
      <c r="AV111" s="202">
        <f>IFERROR(SUMIF(E111:AI111,"=ДД",E112:AI112),0)</f>
        <v>0</v>
      </c>
      <c r="AW111" s="202">
        <f>IFERROR(SUMIF(E111:AI111,"=ДО",E112:AI112),0)</f>
        <v>0</v>
      </c>
      <c r="AX111" s="202">
        <f>IFERROR(SUMIF(E111:AI111,"=ТН",E112:AI112),0)</f>
        <v>0</v>
      </c>
      <c r="AY111" s="202">
        <f>IFERROR(SUMIF(E111:AI111,"=ВД",E112:AI112),0)</f>
        <v>0</v>
      </c>
      <c r="AZ111" s="200">
        <f>IFERROR(SUMIF(E111:AI111,"=ІН",E112:AI112),0)+SUMIF(E111:AI111,"=НЗ",E112:AI112)</f>
        <v>0</v>
      </c>
    </row>
    <row r="112" spans="1:52" ht="20.100000000000001" customHeight="1" thickBot="1" x14ac:dyDescent="0.25">
      <c r="A112" s="290"/>
      <c r="B112" s="229"/>
      <c r="C112" s="229"/>
      <c r="D112" s="229"/>
      <c r="E112" s="192"/>
      <c r="F112" s="192"/>
      <c r="G112" s="192">
        <v>8.1999999999999993</v>
      </c>
      <c r="H112" s="192">
        <v>8.1999999999999993</v>
      </c>
      <c r="I112" s="192">
        <v>8.1999999999999993</v>
      </c>
      <c r="J112" s="192">
        <v>8.1999999999999993</v>
      </c>
      <c r="K112" s="192">
        <v>7</v>
      </c>
      <c r="L112" s="192"/>
      <c r="M112" s="192"/>
      <c r="N112" s="192">
        <v>8.1999999999999993</v>
      </c>
      <c r="O112" s="192">
        <v>8.1999999999999993</v>
      </c>
      <c r="P112" s="192">
        <v>8.1999999999999993</v>
      </c>
      <c r="Q112" s="192">
        <v>8.1999999999999993</v>
      </c>
      <c r="R112" s="192">
        <v>7.2</v>
      </c>
      <c r="S112" s="192"/>
      <c r="T112" s="192"/>
      <c r="U112" s="192">
        <v>8.1999999999999993</v>
      </c>
      <c r="V112" s="192">
        <v>8.1999999999999993</v>
      </c>
      <c r="W112" s="192">
        <v>8.1999999999999993</v>
      </c>
      <c r="X112" s="192">
        <v>8.1999999999999993</v>
      </c>
      <c r="Y112" s="192">
        <v>7.2</v>
      </c>
      <c r="Z112" s="192"/>
      <c r="AA112" s="192"/>
      <c r="AB112" s="192">
        <v>8.1999999999999993</v>
      </c>
      <c r="AC112" s="192">
        <v>8.1999999999999993</v>
      </c>
      <c r="AD112" s="192">
        <v>8.1999999999999993</v>
      </c>
      <c r="AE112" s="192">
        <v>8.1999999999999993</v>
      </c>
      <c r="AF112" s="192">
        <v>7.2</v>
      </c>
      <c r="AG112" s="192"/>
      <c r="AH112" s="192"/>
      <c r="AI112" s="192">
        <v>8.1999999999999993</v>
      </c>
      <c r="AJ112" s="214"/>
      <c r="AK112" s="203"/>
      <c r="AL112" s="203"/>
      <c r="AM112" s="203"/>
      <c r="AN112" s="212"/>
      <c r="AO112" s="203"/>
      <c r="AP112" s="203"/>
      <c r="AQ112" s="203"/>
      <c r="AR112" s="203"/>
      <c r="AS112" s="203"/>
      <c r="AT112" s="203"/>
      <c r="AU112" s="203"/>
      <c r="AV112" s="203"/>
      <c r="AW112" s="203"/>
      <c r="AX112" s="203"/>
      <c r="AY112" s="203"/>
      <c r="AZ112" s="201"/>
    </row>
    <row r="113" spans="1:52" ht="20.100000000000001" customHeight="1" x14ac:dyDescent="0.2">
      <c r="A113" s="289">
        <f t="shared" ref="A113:A123" si="48">A111+1</f>
        <v>49</v>
      </c>
      <c r="B113" s="230" t="s">
        <v>198</v>
      </c>
      <c r="C113" s="230">
        <v>2117</v>
      </c>
      <c r="D113" s="230" t="s">
        <v>65</v>
      </c>
      <c r="E113" s="191" t="s">
        <v>142</v>
      </c>
      <c r="F113" s="191" t="s">
        <v>142</v>
      </c>
      <c r="G113" s="191" t="s">
        <v>4</v>
      </c>
      <c r="H113" s="191" t="s">
        <v>4</v>
      </c>
      <c r="I113" s="191" t="s">
        <v>4</v>
      </c>
      <c r="J113" s="191" t="s">
        <v>4</v>
      </c>
      <c r="K113" s="191" t="s">
        <v>4</v>
      </c>
      <c r="L113" s="191" t="s">
        <v>142</v>
      </c>
      <c r="M113" s="191" t="s">
        <v>142</v>
      </c>
      <c r="N113" s="191" t="s">
        <v>4</v>
      </c>
      <c r="O113" s="191" t="s">
        <v>4</v>
      </c>
      <c r="P113" s="191" t="s">
        <v>4</v>
      </c>
      <c r="Q113" s="191" t="s">
        <v>4</v>
      </c>
      <c r="R113" s="191" t="s">
        <v>4</v>
      </c>
      <c r="S113" s="191" t="s">
        <v>142</v>
      </c>
      <c r="T113" s="191" t="s">
        <v>142</v>
      </c>
      <c r="U113" s="191" t="s">
        <v>4</v>
      </c>
      <c r="V113" s="191" t="s">
        <v>4</v>
      </c>
      <c r="W113" s="191" t="s">
        <v>4</v>
      </c>
      <c r="X113" s="191" t="s">
        <v>4</v>
      </c>
      <c r="Y113" s="191" t="s">
        <v>4</v>
      </c>
      <c r="Z113" s="191" t="s">
        <v>142</v>
      </c>
      <c r="AA113" s="191" t="s">
        <v>142</v>
      </c>
      <c r="AB113" s="191" t="s">
        <v>4</v>
      </c>
      <c r="AC113" s="191" t="s">
        <v>4</v>
      </c>
      <c r="AD113" s="191" t="s">
        <v>4</v>
      </c>
      <c r="AE113" s="191" t="s">
        <v>4</v>
      </c>
      <c r="AF113" s="191" t="s">
        <v>4</v>
      </c>
      <c r="AG113" s="191" t="s">
        <v>142</v>
      </c>
      <c r="AH113" s="191" t="s">
        <v>142</v>
      </c>
      <c r="AI113" s="191" t="s">
        <v>4</v>
      </c>
      <c r="AJ113" s="213">
        <f>IFERROR(COUNTIF(E113:AI113,"=Р")+COUNTIF(E113:AI113,"=Р1")+COUNTIF(E113:AI113,"=ВЧ")+COUNTIF(E113:AI113,"=РН")+COUNTIF(E113:AI113,"=Р2")+COUNTIF(E113:AI113,"=Р1/РВ")+COUNTIF(E113:AI113,"=Р2/РВ")+COUNTIF(E113:AI113,"=ВЧ/РВ")+COUNTIF(E113:AI113,"=РН/РВ"),0)</f>
        <v>21</v>
      </c>
      <c r="AK113" s="202">
        <f t="shared" si="30"/>
        <v>167.99999999999997</v>
      </c>
      <c r="AL113" s="202">
        <f>IFERROR(SUMIF(E113:AI113,"=НУ",E114:AI114),0)</f>
        <v>0</v>
      </c>
      <c r="AM113" s="202">
        <f>IFERROR(SUMIF(E113:AI113,"=РН",E114:AI114)+SUMIF(E113:AI113,"=РН/РВ",E114:AI114)+SUMIFS(E114:AI114,E113:AI113,"=Р2",E114:AI114,"=8"),0)</f>
        <v>0</v>
      </c>
      <c r="AN113" s="202">
        <f>IFERROR(SUMIF(E113:AI113,"=ВЧ",E114:AI114)+SUMIF(E113:AI113,"=ВЧ/РВ",E114:AI114)+CEILING(COUNTIFS(E113:AI113,"=Р2",E114:AI114,"=7")*4,1)+CEILING(COUNTIFS(E113:AI113,"=Р2/РВ",E114:AI114,"=7")*4,1)+SUMIFS(E114:AI114,E113:AI113,"=Р1/РВ",E114:AI114,"=12")/6+SUMIFS(E114:AI114,E113:AI113,"=ВЧ2/РВ",E114:AI114,"=4")/2+SUMIFS(E114:AI114,E113:AI113,"=Р1",E114:AI114,"=12")/6+SUMIFS(E114:AI114,E113:AI113,"=Р1",E114:AI114,"=8")/4+SUMIF(E113:AI113,"=ВЧ1",E114:AI114)/2,0)</f>
        <v>0</v>
      </c>
      <c r="AO113" s="202">
        <f>IFERROR(SUMIF(E113:AI113,"=РВ",E114:AI114)+SUMIF(E113:AI113,"=ВЧ/РВ",E114:AI114)+SUMIF(E113:AI113,"=РН/РВ",E114:AI114)+SUMIF(E113:AI113,"=Р1/РВ",E114:AI114)+SUMIF(E113:AI113,"=ВЧ2/РВ",E114:AI114)+SUMIF(E113:AI113,"=Р2/РВ",E114:AI114),0)</f>
        <v>0</v>
      </c>
      <c r="AP113" s="202">
        <f t="shared" si="31"/>
        <v>10</v>
      </c>
      <c r="AQ113" s="202">
        <f>SUM(AR113:AZ113)</f>
        <v>0</v>
      </c>
      <c r="AR113" s="202">
        <f>IFERROR(SUMIF(E113:AI113,"=В",E114:AI114)+SUMIF(E113:AI113,"=Ч",E114:AI114)+SUMIF(E113:AI113,"=ВБ",E114:AI114),0)</f>
        <v>0</v>
      </c>
      <c r="AS113" s="202">
        <f>IFERROR(SUMIF(E113:AI113,"=Н",E114:AI114),0)</f>
        <v>0</v>
      </c>
      <c r="AT113" s="202">
        <f>IFERROR(SUMIF(E113:AI113,"=НА",E114:AI114),0)</f>
        <v>0</v>
      </c>
      <c r="AU113" s="202">
        <f>IFERROR(SUMIF(E113:AI113,"=ВП",E114:AI114),0)</f>
        <v>0</v>
      </c>
      <c r="AV113" s="202">
        <f>IFERROR(SUMIF(E113:AI113,"=ДД",E114:AI114),0)</f>
        <v>0</v>
      </c>
      <c r="AW113" s="202">
        <f>IFERROR(SUMIF(E113:AI113,"=ДО",E114:AI114),0)</f>
        <v>0</v>
      </c>
      <c r="AX113" s="202">
        <f>IFERROR(SUMIF(E113:AI113,"=ТН",E114:AI114),0)</f>
        <v>0</v>
      </c>
      <c r="AY113" s="202">
        <f>IFERROR(SUMIF(E113:AI113,"=ВД",E114:AI114),0)</f>
        <v>0</v>
      </c>
      <c r="AZ113" s="200">
        <f>IFERROR(SUMIF(E113:AI113,"=ІН",E114:AI114),0)+SUMIF(E113:AI113,"=НЗ",E114:AI114)</f>
        <v>0</v>
      </c>
    </row>
    <row r="114" spans="1:52" ht="20.100000000000001" customHeight="1" thickBot="1" x14ac:dyDescent="0.25">
      <c r="A114" s="290"/>
      <c r="B114" s="231"/>
      <c r="C114" s="231"/>
      <c r="D114" s="231"/>
      <c r="E114" s="192"/>
      <c r="F114" s="192"/>
      <c r="G114" s="192">
        <v>8.1999999999999993</v>
      </c>
      <c r="H114" s="192">
        <v>8.1999999999999993</v>
      </c>
      <c r="I114" s="192">
        <v>8.1999999999999993</v>
      </c>
      <c r="J114" s="192">
        <v>8.1999999999999993</v>
      </c>
      <c r="K114" s="192">
        <v>7</v>
      </c>
      <c r="L114" s="192"/>
      <c r="M114" s="192"/>
      <c r="N114" s="192">
        <v>8.1999999999999993</v>
      </c>
      <c r="O114" s="192">
        <v>8.1999999999999993</v>
      </c>
      <c r="P114" s="192">
        <v>8.1999999999999993</v>
      </c>
      <c r="Q114" s="192">
        <v>8.1999999999999993</v>
      </c>
      <c r="R114" s="192">
        <v>7.2</v>
      </c>
      <c r="S114" s="192"/>
      <c r="T114" s="192"/>
      <c r="U114" s="192">
        <v>8.1999999999999993</v>
      </c>
      <c r="V114" s="192">
        <v>8.1999999999999993</v>
      </c>
      <c r="W114" s="192">
        <v>8.1999999999999993</v>
      </c>
      <c r="X114" s="192">
        <v>8.1999999999999993</v>
      </c>
      <c r="Y114" s="192">
        <v>7.2</v>
      </c>
      <c r="Z114" s="192"/>
      <c r="AA114" s="192"/>
      <c r="AB114" s="192">
        <v>8.1999999999999993</v>
      </c>
      <c r="AC114" s="192">
        <v>8.1999999999999993</v>
      </c>
      <c r="AD114" s="192">
        <v>8.1999999999999993</v>
      </c>
      <c r="AE114" s="192">
        <v>8.1999999999999993</v>
      </c>
      <c r="AF114" s="192">
        <v>7.2</v>
      </c>
      <c r="AG114" s="192"/>
      <c r="AH114" s="192"/>
      <c r="AI114" s="192">
        <v>8.1999999999999993</v>
      </c>
      <c r="AJ114" s="214"/>
      <c r="AK114" s="203"/>
      <c r="AL114" s="203"/>
      <c r="AM114" s="203"/>
      <c r="AN114" s="203"/>
      <c r="AO114" s="203"/>
      <c r="AP114" s="203"/>
      <c r="AQ114" s="203"/>
      <c r="AR114" s="203"/>
      <c r="AS114" s="203"/>
      <c r="AT114" s="203"/>
      <c r="AU114" s="203"/>
      <c r="AV114" s="203"/>
      <c r="AW114" s="203"/>
      <c r="AX114" s="203"/>
      <c r="AY114" s="203"/>
      <c r="AZ114" s="201"/>
    </row>
    <row r="115" spans="1:52" s="183" customFormat="1" ht="20.100000000000001" customHeight="1" x14ac:dyDescent="0.2">
      <c r="A115" s="289">
        <f t="shared" si="48"/>
        <v>50</v>
      </c>
      <c r="B115" s="230" t="s">
        <v>461</v>
      </c>
      <c r="C115" s="230">
        <v>2105</v>
      </c>
      <c r="D115" s="230" t="s">
        <v>65</v>
      </c>
      <c r="E115" s="191" t="s">
        <v>142</v>
      </c>
      <c r="F115" s="191" t="s">
        <v>142</v>
      </c>
      <c r="G115" s="191" t="s">
        <v>4</v>
      </c>
      <c r="H115" s="191" t="s">
        <v>4</v>
      </c>
      <c r="I115" s="191" t="s">
        <v>4</v>
      </c>
      <c r="J115" s="191" t="s">
        <v>4</v>
      </c>
      <c r="K115" s="191" t="s">
        <v>4</v>
      </c>
      <c r="L115" s="191" t="s">
        <v>142</v>
      </c>
      <c r="M115" s="191" t="s">
        <v>142</v>
      </c>
      <c r="N115" s="191" t="s">
        <v>4</v>
      </c>
      <c r="O115" s="191" t="s">
        <v>4</v>
      </c>
      <c r="P115" s="191" t="s">
        <v>4</v>
      </c>
      <c r="Q115" s="191" t="s">
        <v>4</v>
      </c>
      <c r="R115" s="191" t="s">
        <v>4</v>
      </c>
      <c r="S115" s="191" t="s">
        <v>142</v>
      </c>
      <c r="T115" s="191" t="s">
        <v>142</v>
      </c>
      <c r="U115" s="191" t="s">
        <v>4</v>
      </c>
      <c r="V115" s="191" t="s">
        <v>4</v>
      </c>
      <c r="W115" s="191" t="s">
        <v>4</v>
      </c>
      <c r="X115" s="191" t="s">
        <v>4</v>
      </c>
      <c r="Y115" s="191" t="s">
        <v>4</v>
      </c>
      <c r="Z115" s="191" t="s">
        <v>142</v>
      </c>
      <c r="AA115" s="191" t="s">
        <v>142</v>
      </c>
      <c r="AB115" s="191" t="s">
        <v>4</v>
      </c>
      <c r="AC115" s="191" t="s">
        <v>4</v>
      </c>
      <c r="AD115" s="191" t="s">
        <v>4</v>
      </c>
      <c r="AE115" s="191" t="s">
        <v>4</v>
      </c>
      <c r="AF115" s="191" t="s">
        <v>4</v>
      </c>
      <c r="AG115" s="191" t="s">
        <v>142</v>
      </c>
      <c r="AH115" s="191" t="s">
        <v>142</v>
      </c>
      <c r="AI115" s="191" t="s">
        <v>4</v>
      </c>
      <c r="AJ115" s="213">
        <f>IFERROR(COUNTIF(E115:AI115,"=Р")+COUNTIF(E115:AI115,"=Р1")+COUNTIF(E115:AI115,"=ВЧ")+COUNTIF(E115:AI115,"=РН")+COUNTIF(E115:AI115,"=Р2")+COUNTIF(E115:AI115,"=Р1/РВ")+COUNTIF(E115:AI115,"=Р2/РВ")+COUNTIF(E115:AI115,"=ВЧ/РВ")+COUNTIF(E115:AI115,"=РН/РВ"),0)</f>
        <v>21</v>
      </c>
      <c r="AK115" s="202">
        <f t="shared" ref="AK115" si="49">IFERROR(SUMIF(E115:AI115,"=Р2",E116:AI116)+SUMIF(E115:AI115,"=ВЧ/РВ",E116:AI116)+SUMIF(E115:AI115,"=РН/РВ",E116:AI116)+SUMIF(E115:AI115,"=Р1/РВ",E116:AI116)+SUMIF(E115:AI115,"=ВЧ2/РВ",E116:AI116)+SUMIF(E115:AI115,"=Р2/РВ",E116:AI116)+SUMIF(E115:AI115,"=Р",E116:AI116)+SUMIF(E115:AI115,"=Р1",E116:AI116)+SUMIF(E115:AI115,"=ВЧ1",E116:AI116)+SUMIF(E115:AI115,"=РН",E116:AI116)+SUMIF(E115:AI115,"=ВЧ",E116:AI116)+SUMIF(E115:AI115,"=НУ",E116:AI116),0)</f>
        <v>126</v>
      </c>
      <c r="AL115" s="202">
        <f>IFERROR(SUMIF(E115:AI115,"=НУ",E116:AI116),0)</f>
        <v>0</v>
      </c>
      <c r="AM115" s="202">
        <f>IFERROR(SUMIF(E115:AI115,"=РН",E116:AI116)+SUMIF(E115:AI115,"=РН/РВ",E116:AI116)+SUMIFS(E116:AI116,E115:AI115,"=Р2",E116:AI116,"=8"),0)</f>
        <v>0</v>
      </c>
      <c r="AN115" s="202">
        <f>IFERROR(SUMIF(E115:AI115,"=ВЧ",E116:AI116)+SUMIF(E115:AI115,"=ВЧ/РВ",E116:AI116)+CEILING(COUNTIFS(E115:AI115,"=Р2",E116:AI116,"=7")*4,1)+CEILING(COUNTIFS(E115:AI115,"=Р2/РВ",E116:AI116,"=7")*4,1)+SUMIFS(E116:AI116,E115:AI115,"=Р1/РВ",E116:AI116,"=12")/6+SUMIFS(E116:AI116,E115:AI115,"=ВЧ2/РВ",E116:AI116,"=4")/2+SUMIFS(E116:AI116,E115:AI115,"=Р1",E116:AI116,"=12")/6+SUMIFS(E116:AI116,E115:AI115,"=Р1",E116:AI116,"=8")/4+SUMIF(E115:AI115,"=ВЧ1",E116:AI116)/2,0)</f>
        <v>0</v>
      </c>
      <c r="AO115" s="202">
        <f>IFERROR(SUMIF(E115:AI115,"=РВ",E116:AI116)+SUMIF(E115:AI115,"=ВЧ/РВ",E116:AI116)+SUMIF(E115:AI115,"=РН/РВ",E116:AI116)+SUMIF(E115:AI115,"=Р1/РВ",E116:AI116)+SUMIF(E115:AI115,"=ВЧ2/РВ",E116:AI116)+SUMIF(E115:AI115,"=Р2/РВ",E116:AI116),0)</f>
        <v>0</v>
      </c>
      <c r="AP115" s="202">
        <f t="shared" ref="AP115" si="50">IFERROR(COUNTIF(E115:AI115,"=ВВ")+COUNTIF(E115:AI115,"=Р1/ВВ")+COUNTIF(E115:AI115,"=РН/ВВ")+COUNTIF(E115:AI115,"=ВЧ/ВВ"),0)</f>
        <v>10</v>
      </c>
      <c r="AQ115" s="202">
        <f>SUM(AR115:AZ115)</f>
        <v>0</v>
      </c>
      <c r="AR115" s="202">
        <f>IFERROR(SUMIF(E115:AI115,"=В",E116:AI116)+SUMIF(E115:AI115,"=Ч",E116:AI116)+SUMIF(E115:AI115,"=ВБ",E116:AI116),0)</f>
        <v>0</v>
      </c>
      <c r="AS115" s="202">
        <f>IFERROR(SUMIF(E115:AI115,"=Н",E116:AI116),0)</f>
        <v>0</v>
      </c>
      <c r="AT115" s="202">
        <f>IFERROR(SUMIF(E115:AI115,"=НА",E116:AI116),0)</f>
        <v>0</v>
      </c>
      <c r="AU115" s="202">
        <f>IFERROR(SUMIF(E115:AI115,"=ВП",E116:AI116),0)</f>
        <v>0</v>
      </c>
      <c r="AV115" s="202">
        <f>IFERROR(SUMIF(E115:AI115,"=ДД",E116:AI116),0)</f>
        <v>0</v>
      </c>
      <c r="AW115" s="202">
        <f>IFERROR(SUMIF(E115:AI115,"=ДО",E116:AI116),0)</f>
        <v>0</v>
      </c>
      <c r="AX115" s="202">
        <f>IFERROR(SUMIF(E115:AI115,"=ТН",E116:AI116),0)</f>
        <v>0</v>
      </c>
      <c r="AY115" s="202">
        <f>IFERROR(SUMIF(E115:AI115,"=ВД",E116:AI116),0)</f>
        <v>0</v>
      </c>
      <c r="AZ115" s="200">
        <f>IFERROR(SUMIF(E115:AI115,"=ІН",E116:AI116),0)+SUMIF(E115:AI115,"=НЗ",E116:AI116)</f>
        <v>0</v>
      </c>
    </row>
    <row r="116" spans="1:52" s="183" customFormat="1" ht="20.100000000000001" customHeight="1" thickBot="1" x14ac:dyDescent="0.25">
      <c r="A116" s="290"/>
      <c r="B116" s="231"/>
      <c r="C116" s="231"/>
      <c r="D116" s="231"/>
      <c r="E116" s="192"/>
      <c r="F116" s="192"/>
      <c r="G116" s="192">
        <v>6</v>
      </c>
      <c r="H116" s="192">
        <v>6</v>
      </c>
      <c r="I116" s="192">
        <v>6</v>
      </c>
      <c r="J116" s="192">
        <v>6</v>
      </c>
      <c r="K116" s="192">
        <v>6</v>
      </c>
      <c r="L116" s="192"/>
      <c r="M116" s="192"/>
      <c r="N116" s="192">
        <v>6</v>
      </c>
      <c r="O116" s="192">
        <v>6</v>
      </c>
      <c r="P116" s="192">
        <v>6</v>
      </c>
      <c r="Q116" s="192">
        <v>6</v>
      </c>
      <c r="R116" s="192">
        <v>6</v>
      </c>
      <c r="S116" s="192"/>
      <c r="T116" s="192"/>
      <c r="U116" s="192">
        <v>6</v>
      </c>
      <c r="V116" s="192">
        <v>6</v>
      </c>
      <c r="W116" s="192">
        <v>6</v>
      </c>
      <c r="X116" s="192">
        <v>6</v>
      </c>
      <c r="Y116" s="192">
        <v>6</v>
      </c>
      <c r="Z116" s="192"/>
      <c r="AA116" s="192"/>
      <c r="AB116" s="192">
        <v>6</v>
      </c>
      <c r="AC116" s="192">
        <v>6</v>
      </c>
      <c r="AD116" s="192">
        <v>6</v>
      </c>
      <c r="AE116" s="192">
        <v>6</v>
      </c>
      <c r="AF116" s="192">
        <v>6</v>
      </c>
      <c r="AG116" s="192"/>
      <c r="AH116" s="192"/>
      <c r="AI116" s="192">
        <v>6</v>
      </c>
      <c r="AJ116" s="214"/>
      <c r="AK116" s="203"/>
      <c r="AL116" s="203"/>
      <c r="AM116" s="203"/>
      <c r="AN116" s="203"/>
      <c r="AO116" s="203"/>
      <c r="AP116" s="203"/>
      <c r="AQ116" s="203"/>
      <c r="AR116" s="203"/>
      <c r="AS116" s="203"/>
      <c r="AT116" s="203"/>
      <c r="AU116" s="203"/>
      <c r="AV116" s="203"/>
      <c r="AW116" s="203"/>
      <c r="AX116" s="203"/>
      <c r="AY116" s="203"/>
      <c r="AZ116" s="201"/>
    </row>
    <row r="117" spans="1:52" s="58" customFormat="1" ht="16.5" customHeight="1" x14ac:dyDescent="0.2">
      <c r="A117" s="289">
        <f t="shared" si="48"/>
        <v>51</v>
      </c>
      <c r="B117" s="228" t="s">
        <v>344</v>
      </c>
      <c r="C117" s="228">
        <v>401</v>
      </c>
      <c r="D117" s="228" t="s">
        <v>65</v>
      </c>
      <c r="E117" s="191" t="s">
        <v>142</v>
      </c>
      <c r="F117" s="191" t="s">
        <v>142</v>
      </c>
      <c r="G117" s="191" t="s">
        <v>4</v>
      </c>
      <c r="H117" s="191" t="s">
        <v>4</v>
      </c>
      <c r="I117" s="191" t="s">
        <v>4</v>
      </c>
      <c r="J117" s="191" t="s">
        <v>4</v>
      </c>
      <c r="K117" s="191" t="s">
        <v>4</v>
      </c>
      <c r="L117" s="191" t="s">
        <v>142</v>
      </c>
      <c r="M117" s="191" t="s">
        <v>142</v>
      </c>
      <c r="N117" s="191" t="s">
        <v>4</v>
      </c>
      <c r="O117" s="191" t="s">
        <v>4</v>
      </c>
      <c r="P117" s="191" t="s">
        <v>4</v>
      </c>
      <c r="Q117" s="191" t="s">
        <v>4</v>
      </c>
      <c r="R117" s="191" t="s">
        <v>4</v>
      </c>
      <c r="S117" s="191" t="s">
        <v>142</v>
      </c>
      <c r="T117" s="191" t="s">
        <v>142</v>
      </c>
      <c r="U117" s="191" t="s">
        <v>4</v>
      </c>
      <c r="V117" s="191" t="s">
        <v>4</v>
      </c>
      <c r="W117" s="191" t="s">
        <v>4</v>
      </c>
      <c r="X117" s="191" t="s">
        <v>4</v>
      </c>
      <c r="Y117" s="191" t="s">
        <v>4</v>
      </c>
      <c r="Z117" s="191" t="s">
        <v>142</v>
      </c>
      <c r="AA117" s="191" t="s">
        <v>142</v>
      </c>
      <c r="AB117" s="191" t="s">
        <v>4</v>
      </c>
      <c r="AC117" s="191" t="s">
        <v>4</v>
      </c>
      <c r="AD117" s="191" t="s">
        <v>4</v>
      </c>
      <c r="AE117" s="191" t="s">
        <v>4</v>
      </c>
      <c r="AF117" s="191" t="s">
        <v>4</v>
      </c>
      <c r="AG117" s="191" t="s">
        <v>142</v>
      </c>
      <c r="AH117" s="191" t="s">
        <v>142</v>
      </c>
      <c r="AI117" s="191" t="s">
        <v>4</v>
      </c>
      <c r="AJ117" s="213">
        <f>IFERROR(COUNTIF(E117:AI117,"=Р")+COUNTIF(E117:AI117,"=Р1")+COUNTIF(E117:AI117,"=ВЧ")+COUNTIF(E117:AI117,"=РН")+COUNTIF(E117:AI117,"=Р2")+COUNTIF(E117:AI117,"=Р1/РВ")+COUNTIF(E117:AI117,"=Р2/РВ")+COUNTIF(E117:AI117,"=ВЧ/РВ")+COUNTIF(E117:AI117,"=РН/РВ"),0)</f>
        <v>21</v>
      </c>
      <c r="AK117" s="202">
        <f t="shared" si="30"/>
        <v>167.99999999999997</v>
      </c>
      <c r="AL117" s="202">
        <f>IFERROR(SUMIF(E117:AI117,"=НУ",E118:AI118),0)</f>
        <v>0</v>
      </c>
      <c r="AM117" s="202">
        <f>IFERROR(SUMIF(E117:AI117,"=РН",E118:AI118)+SUMIF(E117:AI117,"=РН/РВ",E118:AI118)+SUMIFS(E118:AI118,E117:AI117,"=Р2",E118:AI118,"=8"),0)</f>
        <v>0</v>
      </c>
      <c r="AN117" s="211">
        <f>IFERROR(SUMIF(E117:AI117,"=ВЧ",E118:AI118)+SUMIF(E117:AI117,"=ВЧ/РВ",E118:AI118)+CEILING(COUNTIFS(E117:AI117,"=Р2",E118:AI118,"=7")*4,1)+CEILING(COUNTIFS(E117:AI117,"=Р2/РВ",E118:AI118,"=7")*4,1)+SUMIFS(E118:AI118,E117:AI117,"=Р1/РВ",E118:AI118,"=12")/6+SUMIFS(E118:AI118,E117:AI117,"=ВЧ2/РВ",E118:AI118,"=4")/2+SUMIFS(E118:AI118,E117:AI117,"=Р1",E118:AI118,"=12")/6+SUMIFS(E118:AI118,E117:AI117,"=Р1",E118:AI118,"=8")/4+SUMIF(E117:AI117,"=ВЧ1",E118:AI118)/2,0)</f>
        <v>0</v>
      </c>
      <c r="AO117" s="202">
        <f>IFERROR(SUMIF(E117:AI117,"=РВ",E118:AI118)+SUMIF(E117:AI117,"=ВЧ/РВ",E118:AI118)+SUMIF(E117:AI117,"=РН/РВ",E118:AI118)+SUMIF(E117:AI117,"=Р1/РВ",E118:AI118)+SUMIF(E117:AI117,"=ВЧ2/РВ",E118:AI118)+SUMIF(E117:AI117,"=Р2/РВ",E118:AI118),0)</f>
        <v>0</v>
      </c>
      <c r="AP117" s="202">
        <f t="shared" si="31"/>
        <v>10</v>
      </c>
      <c r="AQ117" s="202">
        <f>SUM(AR117:AZ117)</f>
        <v>0</v>
      </c>
      <c r="AR117" s="202">
        <f>IFERROR(SUMIF(E117:AI117,"=В",E118:AI118)+SUMIF(E117:AI117,"=Ч",E118:AI118)+SUMIF(E117:AI117,"=ВБ",E118:AI118),0)</f>
        <v>0</v>
      </c>
      <c r="AS117" s="202">
        <f>IFERROR(SUMIF(E117:AI117,"=Н",E118:AI118),0)</f>
        <v>0</v>
      </c>
      <c r="AT117" s="202">
        <f>IFERROR(SUMIF(E117:AI117,"=НА",E118:AI118),0)</f>
        <v>0</v>
      </c>
      <c r="AU117" s="202">
        <f>IFERROR(SUMIF(E117:AI117,"=ВП",E118:AI118),0)</f>
        <v>0</v>
      </c>
      <c r="AV117" s="202">
        <f>IFERROR(SUMIF(E117:AI117,"=ДД",E118:AI118),0)</f>
        <v>0</v>
      </c>
      <c r="AW117" s="202">
        <f>IFERROR(SUMIF(E117:AI117,"=ДО",E118:AI118),0)</f>
        <v>0</v>
      </c>
      <c r="AX117" s="202">
        <f>IFERROR(SUMIF(E117:AI117,"=ТН",E118:AI118),0)</f>
        <v>0</v>
      </c>
      <c r="AY117" s="202">
        <f>IFERROR(SUMIF(E117:AI117,"=ВД",E118:AI118),0)</f>
        <v>0</v>
      </c>
      <c r="AZ117" s="200">
        <f>IFERROR(SUMIF(E117:AI117,"=ІН",E118:AI118),0)+SUMIF(E117:AI117,"=НЗ",E118:AI118)</f>
        <v>0</v>
      </c>
    </row>
    <row r="118" spans="1:52" s="58" customFormat="1" ht="20.100000000000001" customHeight="1" thickBot="1" x14ac:dyDescent="0.25">
      <c r="A118" s="290"/>
      <c r="B118" s="229"/>
      <c r="C118" s="229"/>
      <c r="D118" s="229"/>
      <c r="E118" s="192"/>
      <c r="F118" s="192"/>
      <c r="G118" s="192">
        <v>8.1999999999999993</v>
      </c>
      <c r="H118" s="192">
        <v>8.1999999999999993</v>
      </c>
      <c r="I118" s="192">
        <v>8.1999999999999993</v>
      </c>
      <c r="J118" s="192">
        <v>8.1999999999999993</v>
      </c>
      <c r="K118" s="192">
        <v>7</v>
      </c>
      <c r="L118" s="192"/>
      <c r="M118" s="192"/>
      <c r="N118" s="192">
        <v>8.1999999999999993</v>
      </c>
      <c r="O118" s="192">
        <v>8.1999999999999993</v>
      </c>
      <c r="P118" s="192">
        <v>8.1999999999999993</v>
      </c>
      <c r="Q118" s="192">
        <v>8.1999999999999993</v>
      </c>
      <c r="R118" s="192">
        <v>7.2</v>
      </c>
      <c r="S118" s="192"/>
      <c r="T118" s="192"/>
      <c r="U118" s="192">
        <v>8.1999999999999993</v>
      </c>
      <c r="V118" s="192">
        <v>8.1999999999999993</v>
      </c>
      <c r="W118" s="192">
        <v>8.1999999999999993</v>
      </c>
      <c r="X118" s="192">
        <v>8.1999999999999993</v>
      </c>
      <c r="Y118" s="192">
        <v>7.2</v>
      </c>
      <c r="Z118" s="192"/>
      <c r="AA118" s="192"/>
      <c r="AB118" s="192">
        <v>8.1999999999999993</v>
      </c>
      <c r="AC118" s="192">
        <v>8.1999999999999993</v>
      </c>
      <c r="AD118" s="192">
        <v>8.1999999999999993</v>
      </c>
      <c r="AE118" s="192">
        <v>8.1999999999999993</v>
      </c>
      <c r="AF118" s="192">
        <v>7.2</v>
      </c>
      <c r="AG118" s="192"/>
      <c r="AH118" s="192"/>
      <c r="AI118" s="192">
        <v>8.1999999999999993</v>
      </c>
      <c r="AJ118" s="214"/>
      <c r="AK118" s="203"/>
      <c r="AL118" s="203"/>
      <c r="AM118" s="203"/>
      <c r="AN118" s="212"/>
      <c r="AO118" s="203"/>
      <c r="AP118" s="203"/>
      <c r="AQ118" s="203"/>
      <c r="AR118" s="203"/>
      <c r="AS118" s="203"/>
      <c r="AT118" s="203"/>
      <c r="AU118" s="203"/>
      <c r="AV118" s="203"/>
      <c r="AW118" s="203"/>
      <c r="AX118" s="203"/>
      <c r="AY118" s="203"/>
      <c r="AZ118" s="201"/>
    </row>
    <row r="119" spans="1:52" ht="24.75" customHeight="1" x14ac:dyDescent="0.2">
      <c r="A119" s="289">
        <f t="shared" si="48"/>
        <v>52</v>
      </c>
      <c r="B119" s="228" t="s">
        <v>199</v>
      </c>
      <c r="C119" s="228">
        <v>1932</v>
      </c>
      <c r="D119" s="228" t="s">
        <v>72</v>
      </c>
      <c r="E119" s="191" t="s">
        <v>142</v>
      </c>
      <c r="F119" s="191" t="s">
        <v>142</v>
      </c>
      <c r="G119" s="191" t="s">
        <v>4</v>
      </c>
      <c r="H119" s="191" t="s">
        <v>4</v>
      </c>
      <c r="I119" s="191" t="s">
        <v>4</v>
      </c>
      <c r="J119" s="191" t="s">
        <v>4</v>
      </c>
      <c r="K119" s="191" t="s">
        <v>4</v>
      </c>
      <c r="L119" s="191" t="s">
        <v>142</v>
      </c>
      <c r="M119" s="191" t="s">
        <v>142</v>
      </c>
      <c r="N119" s="191" t="s">
        <v>4</v>
      </c>
      <c r="O119" s="191" t="s">
        <v>4</v>
      </c>
      <c r="P119" s="191" t="s">
        <v>4</v>
      </c>
      <c r="Q119" s="191" t="s">
        <v>4</v>
      </c>
      <c r="R119" s="191" t="s">
        <v>4</v>
      </c>
      <c r="S119" s="191" t="s">
        <v>142</v>
      </c>
      <c r="T119" s="191" t="s">
        <v>142</v>
      </c>
      <c r="U119" s="191" t="s">
        <v>4</v>
      </c>
      <c r="V119" s="191" t="s">
        <v>52</v>
      </c>
      <c r="W119" s="191" t="s">
        <v>52</v>
      </c>
      <c r="X119" s="191" t="s">
        <v>52</v>
      </c>
      <c r="Y119" s="191" t="s">
        <v>52</v>
      </c>
      <c r="Z119" s="191" t="s">
        <v>52</v>
      </c>
      <c r="AA119" s="191" t="s">
        <v>52</v>
      </c>
      <c r="AB119" s="191" t="s">
        <v>52</v>
      </c>
      <c r="AC119" s="191" t="s">
        <v>52</v>
      </c>
      <c r="AD119" s="191" t="s">
        <v>52</v>
      </c>
      <c r="AE119" s="191" t="s">
        <v>4</v>
      </c>
      <c r="AF119" s="191" t="s">
        <v>4</v>
      </c>
      <c r="AG119" s="191" t="s">
        <v>142</v>
      </c>
      <c r="AH119" s="191" t="s">
        <v>142</v>
      </c>
      <c r="AI119" s="191" t="s">
        <v>4</v>
      </c>
      <c r="AJ119" s="213">
        <f>IFERROR(COUNTIF(E119:AI119,"=Р")+COUNTIF(E119:AI119,"=Р1")+COUNTIF(E119:AI119,"=ВЧ")+COUNTIF(E119:AI119,"=РН")+COUNTIF(E119:AI119,"=Р2")+COUNTIF(E119:AI119,"=Р1/РВ")+COUNTIF(E119:AI119,"=Р2/РВ")+COUNTIF(E119:AI119,"=ВЧ/РВ")+COUNTIF(E119:AI119,"=РН/РВ"),0)</f>
        <v>14</v>
      </c>
      <c r="AK119" s="202">
        <f t="shared" si="30"/>
        <v>111.60000000000002</v>
      </c>
      <c r="AL119" s="202">
        <f>IFERROR(SUMIF(E119:AI119,"=НУ",E120:AI120),0)</f>
        <v>0</v>
      </c>
      <c r="AM119" s="202">
        <f>IFERROR(SUMIF(E119:AI119,"=РН",E120:AI120)+SUMIF(E119:AI119,"=РН/РВ",E120:AI120)+SUMIFS(E120:AI120,E119:AI119,"=Р2",E120:AI120,"=8"),0)</f>
        <v>0</v>
      </c>
      <c r="AN119" s="211">
        <f>IFERROR(SUMIF(E119:AI119,"=ВЧ",E120:AI120)+SUMIF(E119:AI119,"=ВЧ/РВ",E120:AI120)+CEILING(COUNTIFS(E119:AI119,"=Р2",E120:AI120,"=7")*4,1)+CEILING(COUNTIFS(E119:AI119,"=Р2/РВ",E120:AI120,"=7")*4,1)+SUMIFS(E120:AI120,E119:AI119,"=Р1/РВ",E120:AI120,"=12")/6+SUMIFS(E120:AI120,E119:AI119,"=ВЧ2/РВ",E120:AI120,"=4")/2+SUMIFS(E120:AI120,E119:AI119,"=Р1",E120:AI120,"=12")/6+SUMIFS(E120:AI120,E119:AI119,"=Р1",E120:AI120,"=8")/4+SUMIF(E119:AI119,"=ВЧ1",E120:AI120)/2,0)</f>
        <v>0</v>
      </c>
      <c r="AO119" s="202">
        <f>IFERROR(SUMIF(E119:AI119,"=РВ",E120:AI120)+SUMIF(E119:AI119,"=ВЧ/РВ",E120:AI120)+SUMIF(E119:AI119,"=РН/РВ",E120:AI120)+SUMIF(E119:AI119,"=Р1/РВ",E120:AI120)+SUMIF(E119:AI119,"=ВЧ2/РВ",E120:AI120)+SUMIF(E119:AI119,"=Р2/РВ",E120:AI120),0)</f>
        <v>0</v>
      </c>
      <c r="AP119" s="202">
        <f t="shared" si="31"/>
        <v>8</v>
      </c>
      <c r="AQ119" s="202">
        <f>SUM(AR119:AZ119)</f>
        <v>56.400000000000006</v>
      </c>
      <c r="AR119" s="202">
        <f>IFERROR(SUMIF(E119:AI119,"=В",E120:AI120)+SUMIF(E119:AI119,"=Ч",E120:AI120)+SUMIF(E119:AI119,"=ВБ",E120:AI120),0)</f>
        <v>0</v>
      </c>
      <c r="AS119" s="202">
        <f>IFERROR(SUMIF(E119:AI119,"=Н",E120:AI120),0)</f>
        <v>0</v>
      </c>
      <c r="AT119" s="202">
        <f>IFERROR(SUMIF(E119:AI119,"=НА",E120:AI120),0)</f>
        <v>0</v>
      </c>
      <c r="AU119" s="202">
        <f>IFERROR(SUMIF(E119:AI119,"=ВП",E120:AI120),0)</f>
        <v>0</v>
      </c>
      <c r="AV119" s="202">
        <f>IFERROR(SUMIF(E119:AI119,"=ДД",E120:AI120),0)</f>
        <v>0</v>
      </c>
      <c r="AW119" s="202">
        <f>IFERROR(SUMIF(E119:AI119,"=ДО",E120:AI120),0)</f>
        <v>0</v>
      </c>
      <c r="AX119" s="202">
        <f>IFERROR(SUMIF(E119:AI119,"=ТН",E120:AI120),0)</f>
        <v>56.400000000000006</v>
      </c>
      <c r="AY119" s="202">
        <f>IFERROR(SUMIF(E119:AI119,"=ВД",E120:AI120),0)</f>
        <v>0</v>
      </c>
      <c r="AZ119" s="200">
        <f>IFERROR(SUMIF(E119:AI119,"=ІН",E120:AI120),0)+SUMIF(E119:AI119,"=НЗ",E120:AI120)</f>
        <v>0</v>
      </c>
    </row>
    <row r="120" spans="1:52" ht="21" customHeight="1" thickBot="1" x14ac:dyDescent="0.25">
      <c r="A120" s="290"/>
      <c r="B120" s="229"/>
      <c r="C120" s="229"/>
      <c r="D120" s="229"/>
      <c r="E120" s="192"/>
      <c r="F120" s="192"/>
      <c r="G120" s="192">
        <v>8.1999999999999993</v>
      </c>
      <c r="H120" s="192">
        <v>8.1999999999999993</v>
      </c>
      <c r="I120" s="192">
        <v>8.1999999999999993</v>
      </c>
      <c r="J120" s="192">
        <v>8.1999999999999993</v>
      </c>
      <c r="K120" s="192">
        <v>7</v>
      </c>
      <c r="L120" s="192"/>
      <c r="M120" s="192"/>
      <c r="N120" s="192">
        <v>8.1999999999999993</v>
      </c>
      <c r="O120" s="192">
        <v>8.1999999999999993</v>
      </c>
      <c r="P120" s="192">
        <v>8.1999999999999993</v>
      </c>
      <c r="Q120" s="192">
        <v>8.1999999999999993</v>
      </c>
      <c r="R120" s="192">
        <v>7.2</v>
      </c>
      <c r="S120" s="192"/>
      <c r="T120" s="192"/>
      <c r="U120" s="192">
        <v>8.1999999999999993</v>
      </c>
      <c r="V120" s="192">
        <v>8.1999999999999993</v>
      </c>
      <c r="W120" s="192">
        <v>8.1999999999999993</v>
      </c>
      <c r="X120" s="192">
        <v>8.1999999999999993</v>
      </c>
      <c r="Y120" s="192">
        <v>7.2</v>
      </c>
      <c r="Z120" s="192"/>
      <c r="AA120" s="192"/>
      <c r="AB120" s="192">
        <v>8.1999999999999993</v>
      </c>
      <c r="AC120" s="192">
        <v>8.1999999999999993</v>
      </c>
      <c r="AD120" s="192">
        <v>8.1999999999999993</v>
      </c>
      <c r="AE120" s="192">
        <v>8.1999999999999993</v>
      </c>
      <c r="AF120" s="192">
        <v>7.2</v>
      </c>
      <c r="AG120" s="192"/>
      <c r="AH120" s="192"/>
      <c r="AI120" s="192">
        <v>8.1999999999999993</v>
      </c>
      <c r="AJ120" s="214"/>
      <c r="AK120" s="203"/>
      <c r="AL120" s="203"/>
      <c r="AM120" s="203"/>
      <c r="AN120" s="212"/>
      <c r="AO120" s="203"/>
      <c r="AP120" s="203"/>
      <c r="AQ120" s="203"/>
      <c r="AR120" s="203"/>
      <c r="AS120" s="203"/>
      <c r="AT120" s="203"/>
      <c r="AU120" s="203"/>
      <c r="AV120" s="203"/>
      <c r="AW120" s="203"/>
      <c r="AX120" s="203"/>
      <c r="AY120" s="203"/>
      <c r="AZ120" s="201"/>
    </row>
    <row r="121" spans="1:52" ht="20.25" customHeight="1" x14ac:dyDescent="0.2">
      <c r="A121" s="289">
        <f t="shared" si="48"/>
        <v>53</v>
      </c>
      <c r="B121" s="228" t="s">
        <v>200</v>
      </c>
      <c r="C121" s="228">
        <v>1776</v>
      </c>
      <c r="D121" s="228" t="s">
        <v>65</v>
      </c>
      <c r="E121" s="191" t="s">
        <v>142</v>
      </c>
      <c r="F121" s="191" t="s">
        <v>142</v>
      </c>
      <c r="G121" s="191" t="s">
        <v>4</v>
      </c>
      <c r="H121" s="191" t="s">
        <v>4</v>
      </c>
      <c r="I121" s="191" t="s">
        <v>4</v>
      </c>
      <c r="J121" s="191" t="s">
        <v>4</v>
      </c>
      <c r="K121" s="191" t="s">
        <v>4</v>
      </c>
      <c r="L121" s="191" t="s">
        <v>142</v>
      </c>
      <c r="M121" s="191" t="s">
        <v>142</v>
      </c>
      <c r="N121" s="191" t="s">
        <v>4</v>
      </c>
      <c r="O121" s="191" t="s">
        <v>4</v>
      </c>
      <c r="P121" s="191" t="s">
        <v>4</v>
      </c>
      <c r="Q121" s="191" t="s">
        <v>4</v>
      </c>
      <c r="R121" s="191" t="s">
        <v>4</v>
      </c>
      <c r="S121" s="191" t="s">
        <v>142</v>
      </c>
      <c r="T121" s="191" t="s">
        <v>142</v>
      </c>
      <c r="U121" s="191" t="s">
        <v>4</v>
      </c>
      <c r="V121" s="191" t="s">
        <v>4</v>
      </c>
      <c r="W121" s="191" t="s">
        <v>4</v>
      </c>
      <c r="X121" s="191" t="s">
        <v>4</v>
      </c>
      <c r="Y121" s="191" t="s">
        <v>4</v>
      </c>
      <c r="Z121" s="191" t="s">
        <v>142</v>
      </c>
      <c r="AA121" s="191" t="s">
        <v>142</v>
      </c>
      <c r="AB121" s="191" t="s">
        <v>4</v>
      </c>
      <c r="AC121" s="191" t="s">
        <v>4</v>
      </c>
      <c r="AD121" s="191" t="s">
        <v>4</v>
      </c>
      <c r="AE121" s="191" t="s">
        <v>4</v>
      </c>
      <c r="AF121" s="191" t="s">
        <v>4</v>
      </c>
      <c r="AG121" s="191" t="s">
        <v>142</v>
      </c>
      <c r="AH121" s="191" t="s">
        <v>142</v>
      </c>
      <c r="AI121" s="191" t="s">
        <v>4</v>
      </c>
      <c r="AJ121" s="213">
        <f>IFERROR(COUNTIF(E121:AI121,"=Р")+COUNTIF(E121:AI121,"=Р1")+COUNTIF(E121:AI121,"=ВЧ")+COUNTIF(E121:AI121,"=РН")+COUNTIF(E121:AI121,"=Р2")+COUNTIF(E121:AI121,"=Р1/РВ")+COUNTIF(E121:AI121,"=Р2/РВ")+COUNTIF(E121:AI121,"=ВЧ/РВ")+COUNTIF(E121:AI121,"=РН/РВ"),0)</f>
        <v>21</v>
      </c>
      <c r="AK121" s="202">
        <f t="shared" si="30"/>
        <v>167.99999999999997</v>
      </c>
      <c r="AL121" s="202">
        <f>IFERROR(SUMIF(E121:AI121,"=НУ",E122:AI122),0)</f>
        <v>0</v>
      </c>
      <c r="AM121" s="202">
        <f>IFERROR(SUMIF(E121:AI121,"=РН",E122:AI122)+SUMIF(E121:AI121,"=РН/РВ",E122:AI122)+SUMIFS(E122:AI122,E121:AI121,"=Р2",E122:AI122,"=8"),0)</f>
        <v>0</v>
      </c>
      <c r="AN121" s="211">
        <f>IFERROR(SUMIF(E121:AI121,"=ВЧ",E122:AI122)+SUMIF(E121:AI121,"=ВЧ/РВ",E122:AI122)+CEILING(COUNTIFS(E121:AI121,"=Р2",E122:AI122,"=7")*4,1)+CEILING(COUNTIFS(E121:AI121,"=Р2/РВ",E122:AI122,"=7")*4,1)+SUMIFS(E122:AI122,E121:AI121,"=Р1/РВ",E122:AI122,"=12")/6+SUMIFS(E122:AI122,E121:AI121,"=ВЧ2/РВ",E122:AI122,"=4")/2+SUMIFS(E122:AI122,E121:AI121,"=Р1",E122:AI122,"=12")/6+SUMIFS(E122:AI122,E121:AI121,"=Р1",E122:AI122,"=8")/4+SUMIF(E121:AI121,"=ВЧ1",E122:AI122)/2,0)</f>
        <v>0</v>
      </c>
      <c r="AO121" s="202">
        <f>IFERROR(SUMIF(E121:AI121,"=РВ",E122:AI122)+SUMIF(E121:AI121,"=ВЧ/РВ",E122:AI122)+SUMIF(E121:AI121,"=РН/РВ",E122:AI122)+SUMIF(E121:AI121,"=Р1/РВ",E122:AI122)+SUMIF(E121:AI121,"=ВЧ2/РВ",E122:AI122)+SUMIF(E121:AI121,"=Р2/РВ",E122:AI122),0)</f>
        <v>0</v>
      </c>
      <c r="AP121" s="202">
        <f t="shared" si="31"/>
        <v>10</v>
      </c>
      <c r="AQ121" s="202">
        <f>SUM(AR121:AZ121)</f>
        <v>0</v>
      </c>
      <c r="AR121" s="202">
        <f>IFERROR(SUMIF(E121:AI121,"=В",E122:AI122)+SUMIF(E121:AI121,"=Ч",E122:AI122)+SUMIF(E121:AI121,"=ВБ",E122:AI122),0)</f>
        <v>0</v>
      </c>
      <c r="AS121" s="202">
        <f>IFERROR(SUMIF(E121:AI121,"=Н",E122:AI122),0)</f>
        <v>0</v>
      </c>
      <c r="AT121" s="202">
        <f>IFERROR(SUMIF(E121:AI121,"=НА",E122:AI122),0)</f>
        <v>0</v>
      </c>
      <c r="AU121" s="202">
        <f>IFERROR(SUMIF(E121:AI121,"=ВП",E122:AI122),0)</f>
        <v>0</v>
      </c>
      <c r="AV121" s="202">
        <f>IFERROR(SUMIF(E121:AI121,"=ДД",E122:AI122),0)</f>
        <v>0</v>
      </c>
      <c r="AW121" s="202">
        <f>IFERROR(SUMIF(E121:AI121,"=ДО",E122:AI122),0)</f>
        <v>0</v>
      </c>
      <c r="AX121" s="202">
        <f>IFERROR(SUMIF(E121:AI121,"=ТН",E122:AI122),0)</f>
        <v>0</v>
      </c>
      <c r="AY121" s="202">
        <f>IFERROR(SUMIF(E121:AI121,"=ВД",E122:AI122),0)</f>
        <v>0</v>
      </c>
      <c r="AZ121" s="200">
        <f>IFERROR(SUMIF(E121:AI121,"=ІН",E122:AI122),0)+SUMIF(E121:AI121,"=НЗ",E122:AI122)</f>
        <v>0</v>
      </c>
    </row>
    <row r="122" spans="1:52" ht="20.100000000000001" customHeight="1" thickBot="1" x14ac:dyDescent="0.25">
      <c r="A122" s="290"/>
      <c r="B122" s="229"/>
      <c r="C122" s="229"/>
      <c r="D122" s="229"/>
      <c r="E122" s="192"/>
      <c r="F122" s="192"/>
      <c r="G122" s="192">
        <v>8.1999999999999993</v>
      </c>
      <c r="H122" s="192">
        <v>8.1999999999999993</v>
      </c>
      <c r="I122" s="192">
        <v>8.1999999999999993</v>
      </c>
      <c r="J122" s="192">
        <v>8.1999999999999993</v>
      </c>
      <c r="K122" s="192">
        <v>7</v>
      </c>
      <c r="L122" s="192"/>
      <c r="M122" s="192"/>
      <c r="N122" s="192">
        <v>8.1999999999999993</v>
      </c>
      <c r="O122" s="192">
        <v>8.1999999999999993</v>
      </c>
      <c r="P122" s="192">
        <v>8.1999999999999993</v>
      </c>
      <c r="Q122" s="192">
        <v>8.1999999999999993</v>
      </c>
      <c r="R122" s="192">
        <v>7.2</v>
      </c>
      <c r="S122" s="192"/>
      <c r="T122" s="192"/>
      <c r="U122" s="192">
        <v>8.1999999999999993</v>
      </c>
      <c r="V122" s="192">
        <v>8.1999999999999993</v>
      </c>
      <c r="W122" s="192">
        <v>8.1999999999999993</v>
      </c>
      <c r="X122" s="192">
        <v>8.1999999999999993</v>
      </c>
      <c r="Y122" s="192">
        <v>7.2</v>
      </c>
      <c r="Z122" s="192"/>
      <c r="AA122" s="192"/>
      <c r="AB122" s="192">
        <v>8.1999999999999993</v>
      </c>
      <c r="AC122" s="192">
        <v>8.1999999999999993</v>
      </c>
      <c r="AD122" s="192">
        <v>8.1999999999999993</v>
      </c>
      <c r="AE122" s="192">
        <v>8.1999999999999993</v>
      </c>
      <c r="AF122" s="192">
        <v>7.2</v>
      </c>
      <c r="AG122" s="192"/>
      <c r="AH122" s="192"/>
      <c r="AI122" s="192">
        <v>8.1999999999999993</v>
      </c>
      <c r="AJ122" s="214"/>
      <c r="AK122" s="203"/>
      <c r="AL122" s="203"/>
      <c r="AM122" s="203"/>
      <c r="AN122" s="212"/>
      <c r="AO122" s="203"/>
      <c r="AP122" s="203"/>
      <c r="AQ122" s="203"/>
      <c r="AR122" s="203"/>
      <c r="AS122" s="203"/>
      <c r="AT122" s="203"/>
      <c r="AU122" s="203"/>
      <c r="AV122" s="203"/>
      <c r="AW122" s="203"/>
      <c r="AX122" s="203"/>
      <c r="AY122" s="203"/>
      <c r="AZ122" s="201"/>
    </row>
    <row r="123" spans="1:52" s="115" customFormat="1" ht="20.100000000000001" customHeight="1" x14ac:dyDescent="0.2">
      <c r="A123" s="289">
        <f t="shared" si="48"/>
        <v>54</v>
      </c>
      <c r="B123" s="228" t="s">
        <v>201</v>
      </c>
      <c r="C123" s="228">
        <v>6726</v>
      </c>
      <c r="D123" s="228" t="s">
        <v>72</v>
      </c>
      <c r="E123" s="191" t="s">
        <v>142</v>
      </c>
      <c r="F123" s="191" t="s">
        <v>142</v>
      </c>
      <c r="G123" s="191" t="s">
        <v>4</v>
      </c>
      <c r="H123" s="191" t="s">
        <v>4</v>
      </c>
      <c r="I123" s="191" t="s">
        <v>4</v>
      </c>
      <c r="J123" s="191" t="s">
        <v>4</v>
      </c>
      <c r="K123" s="191" t="s">
        <v>4</v>
      </c>
      <c r="L123" s="191" t="s">
        <v>142</v>
      </c>
      <c r="M123" s="191" t="s">
        <v>142</v>
      </c>
      <c r="N123" s="191" t="s">
        <v>4</v>
      </c>
      <c r="O123" s="191" t="s">
        <v>4</v>
      </c>
      <c r="P123" s="191" t="s">
        <v>4</v>
      </c>
      <c r="Q123" s="191" t="s">
        <v>4</v>
      </c>
      <c r="R123" s="191" t="s">
        <v>4</v>
      </c>
      <c r="S123" s="191" t="s">
        <v>142</v>
      </c>
      <c r="T123" s="191" t="s">
        <v>142</v>
      </c>
      <c r="U123" s="191" t="s">
        <v>4</v>
      </c>
      <c r="V123" s="191" t="s">
        <v>4</v>
      </c>
      <c r="W123" s="191" t="s">
        <v>4</v>
      </c>
      <c r="X123" s="191" t="s">
        <v>4</v>
      </c>
      <c r="Y123" s="191" t="s">
        <v>4</v>
      </c>
      <c r="Z123" s="191" t="s">
        <v>142</v>
      </c>
      <c r="AA123" s="191" t="s">
        <v>142</v>
      </c>
      <c r="AB123" s="191" t="s">
        <v>4</v>
      </c>
      <c r="AC123" s="191" t="s">
        <v>4</v>
      </c>
      <c r="AD123" s="191" t="s">
        <v>4</v>
      </c>
      <c r="AE123" s="191" t="s">
        <v>4</v>
      </c>
      <c r="AF123" s="191" t="s">
        <v>4</v>
      </c>
      <c r="AG123" s="191" t="s">
        <v>142</v>
      </c>
      <c r="AH123" s="191" t="s">
        <v>142</v>
      </c>
      <c r="AI123" s="191" t="s">
        <v>4</v>
      </c>
      <c r="AJ123" s="213">
        <f>IFERROR(COUNTIF(E123:AI123,"=Р")+COUNTIF(E123:AI123,"=Р1")+COUNTIF(E123:AI123,"=ВЧ")+COUNTIF(E123:AI123,"=РН")+COUNTIF(E123:AI123,"=Р2")+COUNTIF(E123:AI123,"=Р1/РВ")+COUNTIF(E123:AI123,"=Р2/РВ")+COUNTIF(E123:AI123,"=ВЧ/РВ")+COUNTIF(E123:AI123,"=РН/РВ"),0)</f>
        <v>21</v>
      </c>
      <c r="AK123" s="202">
        <f>IFERROR(SUMIF(E123:AI123,"=Р2",E124:AI124)+SUMIF(E123:AI123,"=ВЧ/РВ",E124:AI124)+SUMIF(E123:AI123,"=РН/РВ",E124:AI124)+SUMIF(E123:AI123,"=Р1/РВ",E124:AI124)+SUMIF(E123:AI123,"=ВЧ2/РВ",E124:AI124)+SUMIF(E123:AI123,"=Р2/РВ",E124:AI124)+SUMIF(E123:AI123,"=Р",E124:AI124)+SUMIF(E123:AI123,"=Р1",E124:AI124)+SUMIF(E123:AI123,"=ВЧ1",E124:AI124)+SUMIF(E123:AI123,"=РН",E124:AI124)+SUMIF(E123:AI123,"=ВЧ",E124:AI124)+SUMIF(E123:AI123,"=НУ",E124:AI124),0)</f>
        <v>167.99999999999997</v>
      </c>
      <c r="AL123" s="202">
        <f>IFERROR(SUMIF(E123:AI123,"=НУ",E124:AI124),0)</f>
        <v>0</v>
      </c>
      <c r="AM123" s="202">
        <f>IFERROR(SUMIF(E123:AI123,"=РН",E124:AI124)+SUMIF(E123:AI123,"=РН/РВ",E124:AI124)+SUMIFS(E124:AI124,E123:AI123,"=Р2",E124:AI124,"=8"),0)</f>
        <v>0</v>
      </c>
      <c r="AN123" s="211">
        <f>IFERROR(SUMIF(E123:AI123,"=ВЧ",E124:AI124)+SUMIF(E123:AI123,"=ВЧ/РВ",E124:AI124)+CEILING(COUNTIFS(E123:AI123,"=Р2",E124:AI124,"=7")*4,1)+CEILING(COUNTIFS(E123:AI123,"=Р2/РВ",E124:AI124,"=7")*4,1)+SUMIFS(E124:AI124,E123:AI123,"=Р1/РВ",E124:AI124,"=12")/6+SUMIFS(E124:AI124,E123:AI123,"=ВЧ2/РВ",E124:AI124,"=4")/2+SUMIFS(E124:AI124,E123:AI123,"=Р1",E124:AI124,"=12")/6+SUMIFS(E124:AI124,E123:AI123,"=Р1",E124:AI124,"=8")/4+SUMIF(E123:AI123,"=ВЧ1",E124:AI124)/2,0)</f>
        <v>0</v>
      </c>
      <c r="AO123" s="202">
        <f>IFERROR(SUMIF(E123:AI123,"=РВ",E124:AI124)+SUMIF(E123:AI123,"=ВЧ/РВ",E124:AI124)+SUMIF(E123:AI123,"=РН/РВ",E124:AI124)+SUMIF(E123:AI123,"=Р1/РВ",E124:AI124)+SUMIF(E123:AI123,"=ВЧ2/РВ",E124:AI124)+SUMIF(E123:AI123,"=Р2/РВ",E124:AI124),0)</f>
        <v>0</v>
      </c>
      <c r="AP123" s="202">
        <f>IFERROR(COUNTIF(E123:AI123,"=ВВ")+COUNTIF(E123:AI123,"=Р1/ВВ")+COUNTIF(E123:AI123,"=РН/ВВ")+COUNTIF(E123:AI123,"=ВЧ/ВВ"),0)</f>
        <v>10</v>
      </c>
      <c r="AQ123" s="202">
        <f>SUM(AR123:AZ123)</f>
        <v>0</v>
      </c>
      <c r="AR123" s="202">
        <f>IFERROR(SUMIF(E123:AI123,"=В",E124:AI124)+SUMIF(E123:AI123,"=Ч",E124:AI124)+SUMIF(E123:AI123,"=ВБ",E124:AI124),0)</f>
        <v>0</v>
      </c>
      <c r="AS123" s="202">
        <f>IFERROR(SUMIF(E123:AI123,"=Н",E124:AI124),0)</f>
        <v>0</v>
      </c>
      <c r="AT123" s="202">
        <f>IFERROR(SUMIF(E123:AI123,"=НА",E124:AI124),0)</f>
        <v>0</v>
      </c>
      <c r="AU123" s="202">
        <f>IFERROR(SUMIF(E123:AI123,"=ВП",E124:AI124),0)</f>
        <v>0</v>
      </c>
      <c r="AV123" s="202">
        <f>IFERROR(SUMIF(E123:AI123,"=ДД",E124:AI124),0)</f>
        <v>0</v>
      </c>
      <c r="AW123" s="202">
        <f>IFERROR(SUMIF(E123:AI123,"=ДО",E124:AI124),0)</f>
        <v>0</v>
      </c>
      <c r="AX123" s="202">
        <f>IFERROR(SUMIF(E123:AI123,"=ТН",E124:AI124),0)</f>
        <v>0</v>
      </c>
      <c r="AY123" s="202">
        <f>IFERROR(SUMIF(E123:AI123,"=ВД",E124:AI124),0)</f>
        <v>0</v>
      </c>
      <c r="AZ123" s="200">
        <f>IFERROR(SUMIF(E123:AI123,"=ІН",E124:AI124),0)+SUMIF(E123:AI123,"=НЗ",E124:AI124)</f>
        <v>0</v>
      </c>
    </row>
    <row r="124" spans="1:52" s="115" customFormat="1" ht="24" customHeight="1" thickBot="1" x14ac:dyDescent="0.25">
      <c r="A124" s="290"/>
      <c r="B124" s="229"/>
      <c r="C124" s="229"/>
      <c r="D124" s="229"/>
      <c r="E124" s="192"/>
      <c r="F124" s="192"/>
      <c r="G124" s="192">
        <v>8.1999999999999993</v>
      </c>
      <c r="H124" s="192">
        <v>8.1999999999999993</v>
      </c>
      <c r="I124" s="192">
        <v>8.1999999999999993</v>
      </c>
      <c r="J124" s="192">
        <v>8.1999999999999993</v>
      </c>
      <c r="K124" s="192">
        <v>7</v>
      </c>
      <c r="L124" s="192"/>
      <c r="M124" s="192"/>
      <c r="N124" s="192">
        <v>8.1999999999999993</v>
      </c>
      <c r="O124" s="192">
        <v>8.1999999999999993</v>
      </c>
      <c r="P124" s="192">
        <v>8.1999999999999993</v>
      </c>
      <c r="Q124" s="192">
        <v>8.1999999999999993</v>
      </c>
      <c r="R124" s="192">
        <v>7.2</v>
      </c>
      <c r="S124" s="192"/>
      <c r="T124" s="192"/>
      <c r="U124" s="192">
        <v>8.1999999999999993</v>
      </c>
      <c r="V124" s="192">
        <v>8.1999999999999993</v>
      </c>
      <c r="W124" s="192">
        <v>8.1999999999999993</v>
      </c>
      <c r="X124" s="192">
        <v>8.1999999999999993</v>
      </c>
      <c r="Y124" s="192">
        <v>7.2</v>
      </c>
      <c r="Z124" s="192"/>
      <c r="AA124" s="192"/>
      <c r="AB124" s="192">
        <v>8.1999999999999993</v>
      </c>
      <c r="AC124" s="192">
        <v>8.1999999999999993</v>
      </c>
      <c r="AD124" s="192">
        <v>8.1999999999999993</v>
      </c>
      <c r="AE124" s="192">
        <v>8.1999999999999993</v>
      </c>
      <c r="AF124" s="192">
        <v>7.2</v>
      </c>
      <c r="AG124" s="192"/>
      <c r="AH124" s="192"/>
      <c r="AI124" s="192">
        <v>8.1999999999999993</v>
      </c>
      <c r="AJ124" s="214"/>
      <c r="AK124" s="203"/>
      <c r="AL124" s="203"/>
      <c r="AM124" s="203"/>
      <c r="AN124" s="212"/>
      <c r="AO124" s="203"/>
      <c r="AP124" s="203"/>
      <c r="AQ124" s="203"/>
      <c r="AR124" s="203"/>
      <c r="AS124" s="203"/>
      <c r="AT124" s="203"/>
      <c r="AU124" s="203"/>
      <c r="AV124" s="203"/>
      <c r="AW124" s="203"/>
      <c r="AX124" s="203"/>
      <c r="AY124" s="203"/>
      <c r="AZ124" s="201"/>
    </row>
    <row r="125" spans="1:52" ht="15" customHeight="1" x14ac:dyDescent="0.2">
      <c r="A125" s="296"/>
      <c r="B125" s="298" t="s">
        <v>74</v>
      </c>
      <c r="C125" s="300"/>
      <c r="D125" s="76"/>
      <c r="E125" s="72"/>
      <c r="F125" s="72"/>
      <c r="G125" s="72"/>
      <c r="H125" s="72"/>
      <c r="I125" s="72"/>
      <c r="J125" s="72"/>
      <c r="K125" s="72"/>
      <c r="L125" s="72"/>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217">
        <f t="shared" ref="AJ125:AZ125" si="51">SUM(AJ17:AJ124)</f>
        <v>952</v>
      </c>
      <c r="AK125" s="217">
        <f t="shared" si="51"/>
        <v>7573.4000000000015</v>
      </c>
      <c r="AL125" s="217">
        <f t="shared" si="51"/>
        <v>0</v>
      </c>
      <c r="AM125" s="217">
        <f t="shared" si="51"/>
        <v>0</v>
      </c>
      <c r="AN125" s="217">
        <f t="shared" si="51"/>
        <v>0</v>
      </c>
      <c r="AO125" s="217">
        <f t="shared" si="51"/>
        <v>9.5</v>
      </c>
      <c r="AP125" s="217">
        <f t="shared" si="51"/>
        <v>480</v>
      </c>
      <c r="AQ125" s="217">
        <f t="shared" si="51"/>
        <v>1456.6000000000001</v>
      </c>
      <c r="AR125" s="217">
        <f t="shared" si="51"/>
        <v>152.80000000000001</v>
      </c>
      <c r="AS125" s="217">
        <f t="shared" si="51"/>
        <v>0</v>
      </c>
      <c r="AT125" s="217">
        <f t="shared" si="51"/>
        <v>0</v>
      </c>
      <c r="AU125" s="217">
        <f t="shared" si="51"/>
        <v>167.99999999999997</v>
      </c>
      <c r="AV125" s="217">
        <f t="shared" si="51"/>
        <v>0</v>
      </c>
      <c r="AW125" s="217">
        <f t="shared" si="51"/>
        <v>0</v>
      </c>
      <c r="AX125" s="217">
        <f t="shared" si="51"/>
        <v>768.00000000000011</v>
      </c>
      <c r="AY125" s="217">
        <f t="shared" si="51"/>
        <v>31.799999999999997</v>
      </c>
      <c r="AZ125" s="217">
        <f t="shared" si="51"/>
        <v>335.99999999999994</v>
      </c>
    </row>
    <row r="126" spans="1:52" ht="15" customHeight="1" thickBot="1" x14ac:dyDescent="0.25">
      <c r="A126" s="297"/>
      <c r="B126" s="299"/>
      <c r="C126" s="301"/>
      <c r="D126" s="77"/>
      <c r="E126" s="73"/>
      <c r="F126" s="73"/>
      <c r="G126" s="73"/>
      <c r="H126" s="73"/>
      <c r="I126" s="73"/>
      <c r="J126" s="73"/>
      <c r="K126" s="73"/>
      <c r="L126" s="73"/>
      <c r="M126" s="73"/>
      <c r="N126" s="73"/>
      <c r="O126" s="73"/>
      <c r="P126" s="73"/>
      <c r="Q126" s="73"/>
      <c r="R126" s="73"/>
      <c r="S126" s="73"/>
      <c r="T126" s="73"/>
      <c r="U126" s="73"/>
      <c r="V126" s="73"/>
      <c r="W126" s="73"/>
      <c r="X126" s="73"/>
      <c r="Y126" s="73"/>
      <c r="Z126" s="73"/>
      <c r="AA126" s="73"/>
      <c r="AB126" s="73"/>
      <c r="AC126" s="73"/>
      <c r="AD126" s="73"/>
      <c r="AE126" s="73"/>
      <c r="AF126" s="73"/>
      <c r="AG126" s="73"/>
      <c r="AH126" s="73"/>
      <c r="AI126" s="73"/>
      <c r="AJ126" s="218"/>
      <c r="AK126" s="218"/>
      <c r="AL126" s="218"/>
      <c r="AM126" s="218"/>
      <c r="AN126" s="218"/>
      <c r="AO126" s="218"/>
      <c r="AP126" s="218"/>
      <c r="AQ126" s="218"/>
      <c r="AR126" s="218"/>
      <c r="AS126" s="218"/>
      <c r="AT126" s="218"/>
      <c r="AU126" s="218"/>
      <c r="AV126" s="218"/>
      <c r="AW126" s="218"/>
      <c r="AX126" s="218"/>
      <c r="AY126" s="218"/>
      <c r="AZ126" s="218"/>
    </row>
    <row r="127" spans="1:52" ht="14.25" customHeight="1" x14ac:dyDescent="0.2">
      <c r="C127" s="20"/>
      <c r="D127" s="8"/>
      <c r="AJ127" s="26"/>
    </row>
    <row r="128" spans="1:52" ht="12.75" customHeight="1" x14ac:dyDescent="0.2">
      <c r="A128" s="226" t="s">
        <v>32</v>
      </c>
      <c r="B128" s="226"/>
      <c r="C128" s="226"/>
      <c r="D128" s="227" t="s">
        <v>81</v>
      </c>
      <c r="E128" s="227"/>
      <c r="F128" s="227"/>
      <c r="G128" s="227"/>
      <c r="H128" s="227"/>
      <c r="I128" s="227"/>
      <c r="J128" s="69"/>
      <c r="K128" s="224"/>
      <c r="L128" s="224"/>
      <c r="M128" s="224"/>
      <c r="N128" s="69"/>
      <c r="O128" s="225" t="s">
        <v>278</v>
      </c>
      <c r="P128" s="225"/>
      <c r="Q128" s="225"/>
      <c r="R128" s="225"/>
      <c r="S128" s="225"/>
      <c r="T128" s="9"/>
      <c r="U128" s="283">
        <v>45747</v>
      </c>
      <c r="V128" s="283"/>
      <c r="W128" s="283"/>
      <c r="X128" s="283"/>
      <c r="Y128" s="283"/>
      <c r="Z128" s="283"/>
      <c r="AA128" s="69"/>
      <c r="AB128" s="69"/>
      <c r="AC128" s="69"/>
      <c r="AD128" s="69"/>
      <c r="AE128" s="69"/>
      <c r="AF128" s="69"/>
      <c r="AG128" s="69"/>
      <c r="AH128" s="69"/>
      <c r="AI128" s="69"/>
      <c r="AJ128" s="69"/>
      <c r="AK128" s="69"/>
      <c r="AL128" s="69"/>
      <c r="AM128" s="69"/>
      <c r="AN128" s="69"/>
      <c r="AO128" s="69"/>
      <c r="AP128" s="69"/>
      <c r="AQ128" s="69"/>
      <c r="AR128" s="69"/>
      <c r="AS128" s="69"/>
      <c r="AT128" s="69"/>
    </row>
    <row r="129" spans="1:46" x14ac:dyDescent="0.15">
      <c r="A129" s="13"/>
      <c r="B129" s="16"/>
      <c r="D129" s="222" t="s">
        <v>34</v>
      </c>
      <c r="E129" s="222"/>
      <c r="F129" s="222"/>
      <c r="G129" s="222"/>
      <c r="H129" s="222"/>
      <c r="I129" s="222"/>
      <c r="J129" s="13"/>
      <c r="K129" s="222" t="s">
        <v>35</v>
      </c>
      <c r="L129" s="222"/>
      <c r="M129" s="222"/>
      <c r="N129" s="13"/>
      <c r="O129" s="222" t="s">
        <v>36</v>
      </c>
      <c r="P129" s="222"/>
      <c r="Q129" s="222"/>
      <c r="R129" s="222"/>
      <c r="S129" s="222"/>
      <c r="T129" s="13"/>
      <c r="U129" s="13"/>
      <c r="V129" s="31"/>
      <c r="W129" s="13"/>
      <c r="X129" s="17"/>
      <c r="Y129" s="17"/>
      <c r="Z129" s="17"/>
      <c r="AA129" s="13"/>
      <c r="AB129" s="13"/>
      <c r="AC129" s="13"/>
      <c r="AD129" s="13"/>
      <c r="AE129" s="13"/>
      <c r="AF129" s="13"/>
      <c r="AG129" s="13"/>
      <c r="AH129" s="13"/>
      <c r="AI129" s="13"/>
      <c r="AJ129" s="13"/>
      <c r="AK129" s="13"/>
      <c r="AL129" s="13"/>
      <c r="AM129" s="13"/>
      <c r="AN129" s="13"/>
      <c r="AO129" s="13"/>
      <c r="AP129" s="13"/>
      <c r="AQ129" s="13"/>
      <c r="AR129" s="13"/>
      <c r="AS129" s="13"/>
      <c r="AT129" s="13"/>
    </row>
    <row r="130" spans="1:46" ht="12.75" customHeight="1" x14ac:dyDescent="0.2">
      <c r="A130" s="32" t="s">
        <v>33</v>
      </c>
      <c r="B130" s="32"/>
      <c r="C130" s="69"/>
      <c r="D130" s="223" t="s">
        <v>277</v>
      </c>
      <c r="E130" s="223"/>
      <c r="F130" s="223"/>
      <c r="G130" s="223"/>
      <c r="H130" s="223"/>
      <c r="I130" s="223"/>
      <c r="J130" s="69"/>
      <c r="K130" s="224"/>
      <c r="L130" s="224"/>
      <c r="M130" s="224"/>
      <c r="N130" s="69"/>
      <c r="O130" s="225" t="s">
        <v>279</v>
      </c>
      <c r="P130" s="225"/>
      <c r="Q130" s="225"/>
      <c r="R130" s="225"/>
      <c r="S130" s="225"/>
      <c r="T130" s="9"/>
      <c r="U130" s="283">
        <f>U128</f>
        <v>45747</v>
      </c>
      <c r="V130" s="283"/>
      <c r="W130" s="283"/>
      <c r="X130" s="283"/>
      <c r="Y130" s="283"/>
      <c r="Z130" s="283"/>
      <c r="AA130" s="69"/>
      <c r="AB130" s="69"/>
      <c r="AC130" s="69"/>
      <c r="AD130" s="69"/>
      <c r="AE130" s="69"/>
      <c r="AF130" s="69"/>
      <c r="AG130" s="69"/>
      <c r="AH130" s="69"/>
      <c r="AI130" s="69"/>
      <c r="AJ130" s="69"/>
      <c r="AK130" s="69"/>
      <c r="AL130" s="69"/>
      <c r="AM130" s="69"/>
      <c r="AN130" s="69"/>
      <c r="AO130" s="69"/>
      <c r="AP130" s="69"/>
      <c r="AQ130" s="69"/>
      <c r="AR130" s="69"/>
      <c r="AS130" s="69"/>
      <c r="AT130" s="69"/>
    </row>
    <row r="131" spans="1:46" x14ac:dyDescent="0.2">
      <c r="A131" s="13"/>
      <c r="B131" s="13"/>
      <c r="D131" s="222" t="s">
        <v>34</v>
      </c>
      <c r="E131" s="222"/>
      <c r="F131" s="222"/>
      <c r="G131" s="222"/>
      <c r="H131" s="222"/>
      <c r="I131" s="222"/>
      <c r="J131" s="13"/>
      <c r="K131" s="222" t="s">
        <v>35</v>
      </c>
      <c r="L131" s="222"/>
      <c r="M131" s="222"/>
      <c r="N131" s="13"/>
      <c r="O131" s="222" t="s">
        <v>36</v>
      </c>
      <c r="P131" s="222"/>
      <c r="Q131" s="222"/>
      <c r="R131" s="222"/>
      <c r="S131" s="222"/>
      <c r="T131" s="17"/>
      <c r="U131" s="17"/>
      <c r="V131" s="13"/>
      <c r="W131" s="17"/>
      <c r="X131" s="17"/>
      <c r="Y131" s="17"/>
      <c r="Z131" s="69"/>
      <c r="AA131" s="69"/>
      <c r="AB131" s="69"/>
      <c r="AC131" s="69"/>
      <c r="AD131" s="69"/>
      <c r="AE131" s="69"/>
      <c r="AF131" s="69"/>
      <c r="AG131" s="69"/>
      <c r="AH131" s="69"/>
      <c r="AI131" s="69"/>
      <c r="AJ131" s="69"/>
      <c r="AK131" s="69"/>
      <c r="AL131" s="69"/>
      <c r="AM131" s="69"/>
      <c r="AN131" s="69"/>
      <c r="AO131" s="69"/>
      <c r="AP131" s="69"/>
      <c r="AQ131" s="69"/>
      <c r="AR131" s="69"/>
      <c r="AS131" s="69"/>
      <c r="AT131" s="69"/>
    </row>
    <row r="132" spans="1:46" x14ac:dyDescent="0.2">
      <c r="A132" s="69"/>
      <c r="B132" s="69"/>
      <c r="C132" s="33" t="s">
        <v>39</v>
      </c>
      <c r="D132" s="70"/>
      <c r="E132" s="70"/>
      <c r="F132" s="70"/>
      <c r="G132" s="70"/>
      <c r="H132" s="70"/>
      <c r="I132" s="70"/>
      <c r="J132" s="70"/>
      <c r="K132" s="70"/>
      <c r="L132" s="70"/>
      <c r="M132" s="70"/>
      <c r="N132" s="70"/>
      <c r="O132" s="70"/>
      <c r="P132" s="70"/>
      <c r="Q132" s="70"/>
      <c r="R132" s="69"/>
      <c r="S132" s="69"/>
      <c r="T132" s="69"/>
      <c r="U132" s="69"/>
      <c r="V132" s="69"/>
      <c r="W132" s="69"/>
      <c r="X132" s="69"/>
      <c r="Y132" s="69"/>
      <c r="Z132" s="69"/>
      <c r="AA132" s="69"/>
      <c r="AB132" s="69"/>
      <c r="AC132" s="69"/>
      <c r="AD132" s="69"/>
      <c r="AE132" s="69"/>
      <c r="AF132" s="69"/>
      <c r="AG132" s="69"/>
      <c r="AH132" s="69"/>
      <c r="AI132" s="69"/>
      <c r="AJ132" s="69"/>
      <c r="AK132" s="69"/>
      <c r="AL132" s="69"/>
      <c r="AM132" s="69"/>
      <c r="AN132" s="69"/>
      <c r="AO132" s="69"/>
      <c r="AP132" s="69"/>
      <c r="AQ132" s="69"/>
      <c r="AR132" s="69"/>
      <c r="AS132" s="69"/>
      <c r="AT132" s="69"/>
    </row>
    <row r="133" spans="1:46" x14ac:dyDescent="0.2">
      <c r="A133" s="69"/>
      <c r="B133" s="69"/>
      <c r="C133" s="34" t="s">
        <v>4</v>
      </c>
      <c r="D133" s="35" t="s">
        <v>49</v>
      </c>
      <c r="E133" t="s">
        <v>5</v>
      </c>
      <c r="F133"/>
      <c r="G133"/>
      <c r="H133"/>
      <c r="I133"/>
      <c r="J133"/>
      <c r="K133"/>
      <c r="L133"/>
      <c r="M133"/>
      <c r="N133" s="36"/>
      <c r="O133" s="3"/>
      <c r="P133" s="37"/>
      <c r="Q133" s="37"/>
      <c r="R133" s="69"/>
      <c r="S133" s="69"/>
      <c r="T133" s="69"/>
      <c r="U133" s="21" t="s">
        <v>2</v>
      </c>
      <c r="V133" s="15" t="s">
        <v>49</v>
      </c>
      <c r="W133" t="s">
        <v>61</v>
      </c>
      <c r="X133"/>
      <c r="Y133" s="69"/>
      <c r="Z133" s="69"/>
      <c r="AA133" s="69"/>
      <c r="AB133" s="69"/>
      <c r="AC133" s="69"/>
      <c r="AD133" s="69"/>
      <c r="AE133" s="69"/>
      <c r="AF133" s="69"/>
      <c r="AG133" s="69"/>
      <c r="AH133" s="69"/>
      <c r="AI133" s="69"/>
      <c r="AJ133" s="69"/>
      <c r="AK133" s="69"/>
      <c r="AL133" s="69"/>
      <c r="AM133" s="69"/>
      <c r="AN133" s="69"/>
      <c r="AO133" s="69"/>
      <c r="AP133" s="69"/>
      <c r="AQ133" s="69"/>
      <c r="AR133" s="69"/>
      <c r="AS133" s="69"/>
      <c r="AT133" s="69"/>
    </row>
    <row r="134" spans="1:46" x14ac:dyDescent="0.2">
      <c r="A134" s="69"/>
      <c r="B134" s="69"/>
      <c r="C134" s="34" t="s">
        <v>41</v>
      </c>
      <c r="D134" s="35" t="s">
        <v>49</v>
      </c>
      <c r="E134" t="s">
        <v>40</v>
      </c>
      <c r="F134"/>
      <c r="G134"/>
      <c r="H134"/>
      <c r="I134"/>
      <c r="J134"/>
      <c r="K134"/>
      <c r="L134"/>
      <c r="M134"/>
      <c r="N134" s="36"/>
      <c r="O134" s="3"/>
      <c r="P134" s="37"/>
      <c r="Q134" s="37"/>
      <c r="R134" s="69"/>
      <c r="S134" s="69"/>
      <c r="T134" s="69"/>
      <c r="U134" s="21" t="s">
        <v>50</v>
      </c>
      <c r="V134" s="15" t="s">
        <v>49</v>
      </c>
      <c r="W134" t="s">
        <v>62</v>
      </c>
      <c r="X134"/>
      <c r="Y134" s="69"/>
      <c r="Z134" s="69"/>
      <c r="AA134" s="69"/>
      <c r="AB134" s="69"/>
      <c r="AC134" s="69"/>
      <c r="AD134" s="69"/>
      <c r="AE134" s="69"/>
      <c r="AF134" s="69"/>
      <c r="AG134" s="69"/>
      <c r="AH134" s="69"/>
      <c r="AI134" s="69"/>
      <c r="AJ134" s="69"/>
      <c r="AK134" s="69"/>
      <c r="AL134" s="69"/>
      <c r="AM134" s="69"/>
      <c r="AN134" s="69"/>
      <c r="AO134" s="69"/>
      <c r="AP134" s="69"/>
      <c r="AQ134" s="69"/>
      <c r="AR134" s="69"/>
      <c r="AS134" s="69"/>
      <c r="AT134" s="69"/>
    </row>
    <row r="135" spans="1:46" x14ac:dyDescent="0.2">
      <c r="A135" s="69"/>
      <c r="B135" s="69"/>
      <c r="C135" s="34" t="s">
        <v>43</v>
      </c>
      <c r="D135" s="35" t="s">
        <v>49</v>
      </c>
      <c r="E135" t="s">
        <v>42</v>
      </c>
      <c r="F135"/>
      <c r="G135"/>
      <c r="H135"/>
      <c r="I135"/>
      <c r="J135"/>
      <c r="K135"/>
      <c r="L135"/>
      <c r="M135"/>
      <c r="N135" s="36"/>
      <c r="O135" s="3"/>
      <c r="P135" s="37"/>
      <c r="Q135" s="37"/>
      <c r="R135" s="69"/>
      <c r="S135" s="69"/>
      <c r="T135" s="69"/>
      <c r="U135" s="21" t="s">
        <v>51</v>
      </c>
      <c r="V135" s="15" t="s">
        <v>49</v>
      </c>
      <c r="W135" t="s">
        <v>53</v>
      </c>
      <c r="X135"/>
      <c r="Y135" s="69"/>
      <c r="Z135" s="69"/>
      <c r="AA135" s="69"/>
      <c r="AB135" s="69"/>
      <c r="AC135" s="69"/>
      <c r="AD135" s="69"/>
      <c r="AE135" s="69"/>
      <c r="AF135" s="69"/>
      <c r="AG135" s="69"/>
      <c r="AH135" s="69"/>
      <c r="AI135" s="69"/>
      <c r="AJ135" s="69"/>
      <c r="AK135" s="69"/>
      <c r="AL135" s="69"/>
      <c r="AM135" s="69"/>
      <c r="AN135" s="69"/>
      <c r="AO135" s="69"/>
      <c r="AP135" s="69"/>
      <c r="AQ135" s="69"/>
      <c r="AR135" s="69"/>
      <c r="AS135" s="69"/>
      <c r="AT135" s="69"/>
    </row>
    <row r="136" spans="1:46" x14ac:dyDescent="0.2">
      <c r="A136" s="69"/>
      <c r="B136" s="69"/>
      <c r="C136" s="34" t="s">
        <v>45</v>
      </c>
      <c r="D136" s="35" t="s">
        <v>49</v>
      </c>
      <c r="E136" t="s">
        <v>44</v>
      </c>
      <c r="F136"/>
      <c r="G136"/>
      <c r="H136"/>
      <c r="I136"/>
      <c r="J136"/>
      <c r="K136"/>
      <c r="L136"/>
      <c r="M136"/>
      <c r="N136" s="3"/>
      <c r="O136" s="3"/>
      <c r="P136" s="37"/>
      <c r="Q136" s="37"/>
      <c r="R136" s="69"/>
      <c r="S136" s="69"/>
      <c r="T136" s="69"/>
      <c r="U136" s="15" t="s">
        <v>63</v>
      </c>
      <c r="V136" s="15" t="s">
        <v>49</v>
      </c>
      <c r="W136" t="s">
        <v>64</v>
      </c>
      <c r="X136"/>
      <c r="Y136" s="69"/>
      <c r="Z136" s="69"/>
      <c r="AA136" s="69"/>
      <c r="AB136" s="69"/>
      <c r="AC136" s="69"/>
      <c r="AD136" s="69"/>
      <c r="AE136" s="69"/>
      <c r="AF136" s="69"/>
      <c r="AG136" s="69"/>
      <c r="AH136" s="69"/>
      <c r="AI136" s="69"/>
      <c r="AJ136" s="69"/>
      <c r="AK136" s="69"/>
      <c r="AL136" s="69"/>
      <c r="AM136" s="69"/>
      <c r="AN136" s="69"/>
      <c r="AO136" s="69"/>
      <c r="AP136" s="69"/>
      <c r="AQ136" s="69"/>
      <c r="AR136" s="69"/>
      <c r="AS136" s="69"/>
      <c r="AT136" s="69"/>
    </row>
    <row r="137" spans="1:46" x14ac:dyDescent="0.2">
      <c r="A137" s="69"/>
      <c r="B137" s="69"/>
      <c r="C137" s="34" t="s">
        <v>47</v>
      </c>
      <c r="D137" s="35" t="s">
        <v>49</v>
      </c>
      <c r="E137" t="s">
        <v>46</v>
      </c>
      <c r="F137"/>
      <c r="G137"/>
      <c r="H137"/>
      <c r="I137"/>
      <c r="J137"/>
      <c r="K137"/>
      <c r="L137"/>
      <c r="M137"/>
      <c r="N137" s="3"/>
      <c r="O137" s="3"/>
      <c r="P137" s="37"/>
      <c r="Q137" s="37"/>
      <c r="R137" s="69"/>
      <c r="S137" s="69"/>
      <c r="T137" s="69"/>
      <c r="U137" s="15" t="s">
        <v>65</v>
      </c>
      <c r="V137" s="15" t="s">
        <v>49</v>
      </c>
      <c r="W137" t="s">
        <v>66</v>
      </c>
      <c r="X137"/>
      <c r="Y137" s="69"/>
      <c r="Z137" s="69"/>
      <c r="AA137" s="69"/>
      <c r="AB137" s="69"/>
      <c r="AC137" s="69"/>
      <c r="AD137" s="69"/>
      <c r="AE137" s="69"/>
      <c r="AF137" s="69"/>
      <c r="AG137" s="69"/>
      <c r="AH137" s="69"/>
      <c r="AI137" s="69"/>
      <c r="AJ137" s="69"/>
      <c r="AK137" s="69"/>
      <c r="AL137" s="69"/>
      <c r="AM137" s="69"/>
      <c r="AN137" s="69"/>
      <c r="AO137" s="69"/>
      <c r="AP137" s="69"/>
      <c r="AQ137" s="69"/>
      <c r="AR137" s="69"/>
      <c r="AS137" s="69"/>
      <c r="AT137" s="69"/>
    </row>
    <row r="138" spans="1:46" x14ac:dyDescent="0.2">
      <c r="A138" s="69"/>
      <c r="B138" s="69"/>
      <c r="C138" s="34" t="s">
        <v>48</v>
      </c>
      <c r="D138" s="35" t="s">
        <v>49</v>
      </c>
      <c r="E138" t="s">
        <v>29</v>
      </c>
      <c r="F138"/>
      <c r="G138"/>
      <c r="H138"/>
      <c r="I138"/>
      <c r="J138"/>
      <c r="K138"/>
      <c r="L138"/>
      <c r="M138"/>
      <c r="N138" s="36"/>
      <c r="O138" s="3"/>
      <c r="P138" s="37"/>
      <c r="Q138" s="37"/>
      <c r="R138" s="69"/>
      <c r="S138" s="69"/>
      <c r="T138" s="69"/>
      <c r="U138" s="21" t="s">
        <v>52</v>
      </c>
      <c r="V138" s="15" t="s">
        <v>49</v>
      </c>
      <c r="W138" t="s">
        <v>54</v>
      </c>
      <c r="X138"/>
      <c r="Y138" s="69"/>
      <c r="Z138" s="69"/>
      <c r="AA138" s="69"/>
      <c r="AB138" s="69"/>
      <c r="AC138" s="69"/>
      <c r="AD138" s="69"/>
      <c r="AE138" s="69"/>
      <c r="AF138" s="69"/>
      <c r="AG138" s="69"/>
      <c r="AH138" s="69"/>
      <c r="AI138" s="69"/>
      <c r="AJ138" s="69"/>
      <c r="AK138" s="69"/>
      <c r="AL138" s="69"/>
      <c r="AM138" s="69"/>
      <c r="AN138" s="69"/>
      <c r="AO138" s="69"/>
      <c r="AP138" s="69"/>
      <c r="AQ138" s="69"/>
      <c r="AR138" s="69"/>
      <c r="AS138" s="69"/>
      <c r="AT138" s="69"/>
    </row>
    <row r="139" spans="1:46" x14ac:dyDescent="0.2">
      <c r="A139" s="69"/>
      <c r="B139" s="69"/>
      <c r="C139" s="34" t="s">
        <v>3</v>
      </c>
      <c r="D139" s="35" t="s">
        <v>49</v>
      </c>
      <c r="E139" t="s">
        <v>67</v>
      </c>
      <c r="F139"/>
      <c r="G139"/>
      <c r="H139"/>
      <c r="I139"/>
      <c r="J139"/>
      <c r="K139"/>
      <c r="L139"/>
      <c r="M139"/>
      <c r="N139" s="36"/>
      <c r="O139" s="3"/>
      <c r="P139" s="37"/>
      <c r="Q139" s="37"/>
      <c r="R139" s="69"/>
      <c r="S139" s="69"/>
      <c r="T139" s="69"/>
      <c r="U139" s="21" t="s">
        <v>68</v>
      </c>
      <c r="V139" s="15" t="s">
        <v>49</v>
      </c>
      <c r="W139" t="s">
        <v>31</v>
      </c>
      <c r="X139"/>
      <c r="Y139" s="69"/>
      <c r="Z139" s="69"/>
      <c r="AA139" s="69"/>
      <c r="AB139" s="69"/>
      <c r="AC139" s="69"/>
      <c r="AD139" s="69"/>
      <c r="AE139" s="69"/>
      <c r="AF139" s="69"/>
      <c r="AG139" s="69"/>
      <c r="AH139" s="69"/>
      <c r="AI139" s="69"/>
      <c r="AJ139" s="69"/>
      <c r="AK139" s="69"/>
      <c r="AL139" s="69"/>
      <c r="AM139" s="69"/>
      <c r="AN139" s="69"/>
      <c r="AO139" s="69"/>
      <c r="AP139" s="69"/>
      <c r="AQ139" s="69"/>
      <c r="AR139" s="69"/>
      <c r="AS139" s="69"/>
      <c r="AT139" s="69"/>
    </row>
    <row r="140" spans="1:46" x14ac:dyDescent="0.2">
      <c r="A140" s="69"/>
      <c r="B140" s="69"/>
      <c r="C140" s="34" t="s">
        <v>73</v>
      </c>
      <c r="D140" s="35" t="s">
        <v>49</v>
      </c>
      <c r="E140" s="219" t="s">
        <v>75</v>
      </c>
      <c r="F140" s="220"/>
      <c r="G140" s="220"/>
      <c r="H140" s="220"/>
      <c r="I140" s="220"/>
      <c r="J140" s="220"/>
      <c r="K140" s="220"/>
      <c r="L140" s="220"/>
      <c r="M140" s="220"/>
      <c r="N140" s="220"/>
      <c r="O140" s="220"/>
      <c r="P140" s="220"/>
      <c r="Q140" s="220"/>
      <c r="R140" s="69"/>
      <c r="S140" s="69"/>
      <c r="T140" s="69"/>
      <c r="U140" s="21" t="s">
        <v>76</v>
      </c>
      <c r="V140" s="15" t="s">
        <v>49</v>
      </c>
      <c r="W140" t="s">
        <v>77</v>
      </c>
      <c r="X140" s="69"/>
      <c r="Y140" s="69"/>
      <c r="Z140" s="69"/>
      <c r="AA140" s="69"/>
      <c r="AB140" s="69"/>
      <c r="AC140" s="69"/>
      <c r="AD140" s="69"/>
      <c r="AE140" s="69"/>
      <c r="AF140" s="69"/>
      <c r="AG140" s="69"/>
      <c r="AH140" s="69"/>
      <c r="AI140" s="69"/>
      <c r="AJ140" s="69"/>
      <c r="AK140" s="69"/>
      <c r="AL140" s="69"/>
      <c r="AM140" s="69"/>
      <c r="AN140" s="69"/>
      <c r="AO140" s="69"/>
      <c r="AP140" s="69"/>
      <c r="AQ140" s="69"/>
      <c r="AR140" s="69"/>
      <c r="AS140" s="69"/>
      <c r="AT140" s="69"/>
    </row>
    <row r="141" spans="1:46" x14ac:dyDescent="0.2">
      <c r="A141" s="69"/>
      <c r="B141" s="69"/>
      <c r="C141" s="34" t="s">
        <v>142</v>
      </c>
      <c r="D141" s="35" t="s">
        <v>49</v>
      </c>
      <c r="E141" s="219" t="s">
        <v>143</v>
      </c>
      <c r="F141" s="220"/>
      <c r="G141" s="220"/>
      <c r="H141" s="220"/>
      <c r="I141" s="220"/>
      <c r="J141" s="220"/>
      <c r="K141" s="220"/>
      <c r="L141" s="220"/>
      <c r="M141" s="220"/>
      <c r="N141" s="220"/>
      <c r="O141" s="220"/>
      <c r="P141" s="220"/>
      <c r="Q141" s="220"/>
      <c r="R141" s="69"/>
      <c r="S141" s="69"/>
      <c r="T141" s="69"/>
      <c r="U141" s="69"/>
      <c r="V141" s="69"/>
      <c r="W141" s="69"/>
      <c r="X141" s="69"/>
      <c r="Y141" s="69"/>
      <c r="Z141" s="69"/>
      <c r="AA141" s="69"/>
      <c r="AB141" s="69"/>
      <c r="AC141" s="69"/>
      <c r="AD141" s="69"/>
      <c r="AE141" s="69"/>
      <c r="AF141" s="69"/>
      <c r="AG141" s="69"/>
      <c r="AH141" s="69"/>
      <c r="AI141" s="69"/>
      <c r="AJ141" s="69"/>
      <c r="AK141" s="69"/>
      <c r="AL141" s="69"/>
      <c r="AM141" s="69"/>
      <c r="AN141" s="69"/>
      <c r="AO141" s="69"/>
      <c r="AP141" s="69"/>
      <c r="AQ141" s="69"/>
      <c r="AR141" s="69"/>
      <c r="AS141" s="69"/>
      <c r="AT141" s="69"/>
    </row>
  </sheetData>
  <sheetProtection insertColumns="0" insertRows="0" deleteColumns="0" deleteRows="0" autoFilter="0"/>
  <mergeCells count="1250">
    <mergeCell ref="AJ115:AJ116"/>
    <mergeCell ref="AK115:AK116"/>
    <mergeCell ref="AL115:AL116"/>
    <mergeCell ref="AM115:AM116"/>
    <mergeCell ref="AN115:AN116"/>
    <mergeCell ref="AO115:AO116"/>
    <mergeCell ref="AP115:AP116"/>
    <mergeCell ref="AQ115:AQ116"/>
    <mergeCell ref="AR115:AR116"/>
    <mergeCell ref="AS115:AS116"/>
    <mergeCell ref="AT115:AT116"/>
    <mergeCell ref="AU115:AU116"/>
    <mergeCell ref="AV115:AV116"/>
    <mergeCell ref="AW115:AW116"/>
    <mergeCell ref="AX115:AX116"/>
    <mergeCell ref="AY115:AY116"/>
    <mergeCell ref="AZ115:AZ116"/>
    <mergeCell ref="AW61:AW62"/>
    <mergeCell ref="AM61:AM62"/>
    <mergeCell ref="D59:D60"/>
    <mergeCell ref="AJ59:AJ60"/>
    <mergeCell ref="AZ53:AZ54"/>
    <mergeCell ref="AV59:AV60"/>
    <mergeCell ref="AT69:AT70"/>
    <mergeCell ref="AU69:AU70"/>
    <mergeCell ref="AV69:AV70"/>
    <mergeCell ref="AY67:AY68"/>
    <mergeCell ref="AS67:AS68"/>
    <mergeCell ref="AT67:AT68"/>
    <mergeCell ref="AP65:AP66"/>
    <mergeCell ref="AQ65:AQ66"/>
    <mergeCell ref="AM59:AM60"/>
    <mergeCell ref="AO63:AO64"/>
    <mergeCell ref="AO65:AO66"/>
    <mergeCell ref="AL65:AL66"/>
    <mergeCell ref="AM65:AM66"/>
    <mergeCell ref="AN65:AN66"/>
    <mergeCell ref="AR65:AR66"/>
    <mergeCell ref="AZ55:AZ56"/>
    <mergeCell ref="AT59:AT60"/>
    <mergeCell ref="AY61:AY62"/>
    <mergeCell ref="D67:D68"/>
    <mergeCell ref="AM57:AM58"/>
    <mergeCell ref="D65:D66"/>
    <mergeCell ref="AJ65:AJ66"/>
    <mergeCell ref="AP69:AP70"/>
    <mergeCell ref="AQ69:AQ70"/>
    <mergeCell ref="AR69:AR70"/>
    <mergeCell ref="AW57:AW58"/>
    <mergeCell ref="AW59:AW60"/>
    <mergeCell ref="B65:B66"/>
    <mergeCell ref="AW65:AW66"/>
    <mergeCell ref="AW67:AW68"/>
    <mergeCell ref="AP73:AP74"/>
    <mergeCell ref="AJ69:AJ70"/>
    <mergeCell ref="AP75:AP76"/>
    <mergeCell ref="AQ75:AQ76"/>
    <mergeCell ref="AU71:AU72"/>
    <mergeCell ref="AV71:AV72"/>
    <mergeCell ref="AN67:AN68"/>
    <mergeCell ref="AO67:AO68"/>
    <mergeCell ref="AP67:AP68"/>
    <mergeCell ref="AQ67:AQ68"/>
    <mergeCell ref="B73:B74"/>
    <mergeCell ref="AN69:AN70"/>
    <mergeCell ref="AO71:AO72"/>
    <mergeCell ref="AP71:AP72"/>
    <mergeCell ref="AM71:AM72"/>
    <mergeCell ref="AN71:AN72"/>
    <mergeCell ref="AO69:AO70"/>
    <mergeCell ref="AQ73:AQ74"/>
    <mergeCell ref="AT75:AT76"/>
    <mergeCell ref="AS75:AS76"/>
    <mergeCell ref="AO75:AO76"/>
    <mergeCell ref="AK65:AK66"/>
    <mergeCell ref="AJ71:AJ72"/>
    <mergeCell ref="AL59:AL60"/>
    <mergeCell ref="AL61:AL62"/>
    <mergeCell ref="AL67:AL68"/>
    <mergeCell ref="AK73:AK74"/>
    <mergeCell ref="AL73:AL74"/>
    <mergeCell ref="AY65:AY66"/>
    <mergeCell ref="B63:B64"/>
    <mergeCell ref="C63:C64"/>
    <mergeCell ref="AN61:AN62"/>
    <mergeCell ref="A63:A64"/>
    <mergeCell ref="AJ63:AJ64"/>
    <mergeCell ref="AK63:AK64"/>
    <mergeCell ref="AL63:AL64"/>
    <mergeCell ref="AR61:AR62"/>
    <mergeCell ref="AS61:AS62"/>
    <mergeCell ref="AT61:AT62"/>
    <mergeCell ref="AJ67:AJ68"/>
    <mergeCell ref="AK67:AK68"/>
    <mergeCell ref="AQ63:AQ64"/>
    <mergeCell ref="AU61:AU62"/>
    <mergeCell ref="AV61:AV62"/>
    <mergeCell ref="AX61:AX62"/>
    <mergeCell ref="AV65:AV66"/>
    <mergeCell ref="A61:A62"/>
    <mergeCell ref="AM63:AM64"/>
    <mergeCell ref="AW63:AW64"/>
    <mergeCell ref="AU65:AU66"/>
    <mergeCell ref="AU63:AU64"/>
    <mergeCell ref="AV63:AV64"/>
    <mergeCell ref="AU67:AU68"/>
    <mergeCell ref="AV67:AV68"/>
    <mergeCell ref="AX67:AX68"/>
    <mergeCell ref="AM67:AM68"/>
    <mergeCell ref="AX65:AX66"/>
    <mergeCell ref="AP63:AP64"/>
    <mergeCell ref="D61:D62"/>
    <mergeCell ref="C67:C68"/>
    <mergeCell ref="AV89:AV90"/>
    <mergeCell ref="AQ105:AQ106"/>
    <mergeCell ref="AR105:AR106"/>
    <mergeCell ref="AS105:AS106"/>
    <mergeCell ref="AR103:AR104"/>
    <mergeCell ref="AN101:AN102"/>
    <mergeCell ref="D103:D104"/>
    <mergeCell ref="AJ105:AJ106"/>
    <mergeCell ref="AK105:AK106"/>
    <mergeCell ref="AK107:AK108"/>
    <mergeCell ref="AL107:AL108"/>
    <mergeCell ref="AL97:AL98"/>
    <mergeCell ref="B95:B96"/>
    <mergeCell ref="AL93:AL94"/>
    <mergeCell ref="AJ101:AJ102"/>
    <mergeCell ref="AV97:AV98"/>
    <mergeCell ref="AO105:AO106"/>
    <mergeCell ref="AP105:AP106"/>
    <mergeCell ref="AN105:AN106"/>
    <mergeCell ref="AP103:AP104"/>
    <mergeCell ref="AS103:AS104"/>
    <mergeCell ref="D107:D108"/>
    <mergeCell ref="AV99:AV100"/>
    <mergeCell ref="AK95:AK96"/>
    <mergeCell ref="AL95:AL96"/>
    <mergeCell ref="AM95:AM96"/>
    <mergeCell ref="AN95:AN96"/>
    <mergeCell ref="AM97:AM98"/>
    <mergeCell ref="AS111:AS112"/>
    <mergeCell ref="A39:A40"/>
    <mergeCell ref="B39:B40"/>
    <mergeCell ref="C39:C40"/>
    <mergeCell ref="D39:D40"/>
    <mergeCell ref="AJ39:AJ40"/>
    <mergeCell ref="AK39:AK40"/>
    <mergeCell ref="AL39:AL40"/>
    <mergeCell ref="AM39:AM40"/>
    <mergeCell ref="AN39:AN40"/>
    <mergeCell ref="AO39:AO40"/>
    <mergeCell ref="AP39:AP40"/>
    <mergeCell ref="AQ39:AQ40"/>
    <mergeCell ref="AR39:AR40"/>
    <mergeCell ref="AS39:AS40"/>
    <mergeCell ref="AT39:AT40"/>
    <mergeCell ref="AU39:AU40"/>
    <mergeCell ref="AJ107:AJ108"/>
    <mergeCell ref="AT107:AT108"/>
    <mergeCell ref="AN107:AN108"/>
    <mergeCell ref="AJ103:AJ104"/>
    <mergeCell ref="AK103:AK104"/>
    <mergeCell ref="AL103:AL104"/>
    <mergeCell ref="AL105:AL106"/>
    <mergeCell ref="B103:B104"/>
    <mergeCell ref="C103:C104"/>
    <mergeCell ref="A65:A66"/>
    <mergeCell ref="A67:A68"/>
    <mergeCell ref="B75:B76"/>
    <mergeCell ref="AJ75:AJ76"/>
    <mergeCell ref="AK75:AK76"/>
    <mergeCell ref="AL75:AL76"/>
    <mergeCell ref="AW81:AW82"/>
    <mergeCell ref="A59:A60"/>
    <mergeCell ref="AK59:AK60"/>
    <mergeCell ref="AM103:AM104"/>
    <mergeCell ref="AZ117:AZ118"/>
    <mergeCell ref="AX111:AX112"/>
    <mergeCell ref="AY111:AY112"/>
    <mergeCell ref="AZ111:AZ112"/>
    <mergeCell ref="AY107:AY108"/>
    <mergeCell ref="AZ107:AZ108"/>
    <mergeCell ref="AU103:AU104"/>
    <mergeCell ref="AV103:AV104"/>
    <mergeCell ref="AX103:AX104"/>
    <mergeCell ref="AZ103:AZ104"/>
    <mergeCell ref="AM117:AM118"/>
    <mergeCell ref="AZ109:AZ110"/>
    <mergeCell ref="AY109:AY110"/>
    <mergeCell ref="AU105:AU106"/>
    <mergeCell ref="AV105:AV106"/>
    <mergeCell ref="AX105:AX106"/>
    <mergeCell ref="AY105:AY106"/>
    <mergeCell ref="AZ105:AZ106"/>
    <mergeCell ref="AT103:AT104"/>
    <mergeCell ref="AN103:AN104"/>
    <mergeCell ref="AO103:AO104"/>
    <mergeCell ref="AQ103:AQ104"/>
    <mergeCell ref="AP109:AP110"/>
    <mergeCell ref="AQ109:AQ110"/>
    <mergeCell ref="AR109:AR110"/>
    <mergeCell ref="AT105:AT106"/>
    <mergeCell ref="AN117:AN118"/>
    <mergeCell ref="AR111:AR112"/>
    <mergeCell ref="AW101:AW102"/>
    <mergeCell ref="AM85:AM86"/>
    <mergeCell ref="AW85:AW86"/>
    <mergeCell ref="AW87:AW88"/>
    <mergeCell ref="AU87:AU88"/>
    <mergeCell ref="AV87:AV88"/>
    <mergeCell ref="AX87:AX88"/>
    <mergeCell ref="AP95:AP96"/>
    <mergeCell ref="AK79:AK80"/>
    <mergeCell ref="AU85:AU86"/>
    <mergeCell ref="AM101:AM102"/>
    <mergeCell ref="AK99:AK100"/>
    <mergeCell ref="AL99:AL100"/>
    <mergeCell ref="AM99:AM100"/>
    <mergeCell ref="AR101:AR102"/>
    <mergeCell ref="AU89:AU90"/>
    <mergeCell ref="AX89:AX90"/>
    <mergeCell ref="AN83:AN84"/>
    <mergeCell ref="AQ83:AQ84"/>
    <mergeCell ref="AR83:AR84"/>
    <mergeCell ref="AM87:AM88"/>
    <mergeCell ref="AN87:AN88"/>
    <mergeCell ref="AK81:AK82"/>
    <mergeCell ref="AV79:AV80"/>
    <mergeCell ref="AK101:AK102"/>
    <mergeCell ref="AX85:AX86"/>
    <mergeCell ref="AU83:AU84"/>
    <mergeCell ref="AV83:AV84"/>
    <mergeCell ref="AX83:AX84"/>
    <mergeCell ref="AR85:AR86"/>
    <mergeCell ref="AS85:AS86"/>
    <mergeCell ref="AW79:AW80"/>
    <mergeCell ref="AY81:AY82"/>
    <mergeCell ref="AN111:AN112"/>
    <mergeCell ref="AO111:AO112"/>
    <mergeCell ref="B59:B60"/>
    <mergeCell ref="C59:C60"/>
    <mergeCell ref="AK49:AK50"/>
    <mergeCell ref="C57:C58"/>
    <mergeCell ref="D57:D58"/>
    <mergeCell ref="C53:C54"/>
    <mergeCell ref="AK71:AK72"/>
    <mergeCell ref="AL71:AL72"/>
    <mergeCell ref="D73:D74"/>
    <mergeCell ref="B71:B72"/>
    <mergeCell ref="C71:C72"/>
    <mergeCell ref="D71:D72"/>
    <mergeCell ref="B69:B70"/>
    <mergeCell ref="C69:C70"/>
    <mergeCell ref="D69:D70"/>
    <mergeCell ref="B67:B68"/>
    <mergeCell ref="AJ61:AJ62"/>
    <mergeCell ref="AK61:AK62"/>
    <mergeCell ref="AK53:AK54"/>
    <mergeCell ref="D63:D64"/>
    <mergeCell ref="C65:C66"/>
    <mergeCell ref="C61:C62"/>
    <mergeCell ref="B55:B56"/>
    <mergeCell ref="C55:C56"/>
    <mergeCell ref="AT111:AT112"/>
    <mergeCell ref="AN99:AN100"/>
    <mergeCell ref="AY103:AY104"/>
    <mergeCell ref="AY99:AY100"/>
    <mergeCell ref="AU111:AU112"/>
    <mergeCell ref="B61:B62"/>
    <mergeCell ref="AJ73:AJ74"/>
    <mergeCell ref="A101:A102"/>
    <mergeCell ref="A99:A100"/>
    <mergeCell ref="A97:A98"/>
    <mergeCell ref="B99:B100"/>
    <mergeCell ref="C99:C100"/>
    <mergeCell ref="B97:B98"/>
    <mergeCell ref="C97:C98"/>
    <mergeCell ref="B113:B114"/>
    <mergeCell ref="C111:C112"/>
    <mergeCell ref="C113:C114"/>
    <mergeCell ref="C105:C106"/>
    <mergeCell ref="A103:A104"/>
    <mergeCell ref="B101:B102"/>
    <mergeCell ref="C101:C102"/>
    <mergeCell ref="D101:D102"/>
    <mergeCell ref="B107:B108"/>
    <mergeCell ref="C107:C108"/>
    <mergeCell ref="D97:D98"/>
    <mergeCell ref="D105:D106"/>
    <mergeCell ref="D109:D110"/>
    <mergeCell ref="A107:A108"/>
    <mergeCell ref="D99:D100"/>
    <mergeCell ref="D111:D112"/>
    <mergeCell ref="A109:A110"/>
    <mergeCell ref="A105:A106"/>
    <mergeCell ref="A111:A112"/>
    <mergeCell ref="A95:A96"/>
    <mergeCell ref="B87:B88"/>
    <mergeCell ref="C87:C88"/>
    <mergeCell ref="D87:D88"/>
    <mergeCell ref="B123:B124"/>
    <mergeCell ref="C123:C124"/>
    <mergeCell ref="D123:D124"/>
    <mergeCell ref="D113:D114"/>
    <mergeCell ref="A128:C128"/>
    <mergeCell ref="D128:I128"/>
    <mergeCell ref="K128:M128"/>
    <mergeCell ref="O128:S128"/>
    <mergeCell ref="B119:B120"/>
    <mergeCell ref="C119:C120"/>
    <mergeCell ref="D119:D120"/>
    <mergeCell ref="U128:Z128"/>
    <mergeCell ref="D121:D122"/>
    <mergeCell ref="A119:A120"/>
    <mergeCell ref="B105:B106"/>
    <mergeCell ref="A113:A114"/>
    <mergeCell ref="C121:C122"/>
    <mergeCell ref="A123:A124"/>
    <mergeCell ref="A125:A126"/>
    <mergeCell ref="B125:B126"/>
    <mergeCell ref="C125:C126"/>
    <mergeCell ref="A115:A116"/>
    <mergeCell ref="B115:B116"/>
    <mergeCell ref="C115:C116"/>
    <mergeCell ref="D115:D116"/>
    <mergeCell ref="AJ125:AJ126"/>
    <mergeCell ref="A117:A118"/>
    <mergeCell ref="A121:A122"/>
    <mergeCell ref="AJ121:AJ122"/>
    <mergeCell ref="B121:B122"/>
    <mergeCell ref="AJ111:AJ112"/>
    <mergeCell ref="AJ109:AJ110"/>
    <mergeCell ref="AK109:AK110"/>
    <mergeCell ref="K130:M130"/>
    <mergeCell ref="O130:S130"/>
    <mergeCell ref="U130:Z130"/>
    <mergeCell ref="AJ117:AJ118"/>
    <mergeCell ref="AK117:AK118"/>
    <mergeCell ref="AK111:AK112"/>
    <mergeCell ref="AT117:AT118"/>
    <mergeCell ref="AU117:AU118"/>
    <mergeCell ref="AV117:AV118"/>
    <mergeCell ref="AS125:AS126"/>
    <mergeCell ref="AT125:AT126"/>
    <mergeCell ref="AU125:AU126"/>
    <mergeCell ref="AV125:AV126"/>
    <mergeCell ref="B109:B110"/>
    <mergeCell ref="C109:C110"/>
    <mergeCell ref="AL111:AL112"/>
    <mergeCell ref="AL117:AL118"/>
    <mergeCell ref="AK121:AK122"/>
    <mergeCell ref="AL121:AL122"/>
    <mergeCell ref="B111:B112"/>
    <mergeCell ref="AL113:AL114"/>
    <mergeCell ref="B117:B118"/>
    <mergeCell ref="C117:C118"/>
    <mergeCell ref="D117:D118"/>
    <mergeCell ref="AX117:AX118"/>
    <mergeCell ref="AY117:AY118"/>
    <mergeCell ref="AM107:AM108"/>
    <mergeCell ref="AO107:AO108"/>
    <mergeCell ref="AP107:AP108"/>
    <mergeCell ref="AQ107:AQ108"/>
    <mergeCell ref="AQ111:AQ112"/>
    <mergeCell ref="AM111:AM112"/>
    <mergeCell ref="AW111:AW112"/>
    <mergeCell ref="AM105:AM106"/>
    <mergeCell ref="AS109:AS110"/>
    <mergeCell ref="AT109:AT110"/>
    <mergeCell ref="AU107:AU108"/>
    <mergeCell ref="AU109:AU110"/>
    <mergeCell ref="AV109:AV110"/>
    <mergeCell ref="AX109:AX110"/>
    <mergeCell ref="AM109:AM110"/>
    <mergeCell ref="AN109:AN110"/>
    <mergeCell ref="AR107:AR108"/>
    <mergeCell ref="AS107:AS108"/>
    <mergeCell ref="AP111:AP112"/>
    <mergeCell ref="AO109:AO110"/>
    <mergeCell ref="AM113:AM114"/>
    <mergeCell ref="AW109:AW110"/>
    <mergeCell ref="AS113:AS114"/>
    <mergeCell ref="AR113:AR114"/>
    <mergeCell ref="AQ113:AQ114"/>
    <mergeCell ref="AW105:AW106"/>
    <mergeCell ref="AW107:AW108"/>
    <mergeCell ref="AV111:AV112"/>
    <mergeCell ref="AV107:AV108"/>
    <mergeCell ref="AX107:AX108"/>
    <mergeCell ref="AX125:AX126"/>
    <mergeCell ref="AY125:AY126"/>
    <mergeCell ref="AM125:AM126"/>
    <mergeCell ref="AN125:AN126"/>
    <mergeCell ref="AO125:AO126"/>
    <mergeCell ref="AP125:AP126"/>
    <mergeCell ref="AQ125:AQ126"/>
    <mergeCell ref="AR125:AR126"/>
    <mergeCell ref="AZ123:AZ124"/>
    <mergeCell ref="AW123:AW124"/>
    <mergeCell ref="AW125:AW126"/>
    <mergeCell ref="AK125:AK126"/>
    <mergeCell ref="AL125:AL126"/>
    <mergeCell ref="AV123:AV124"/>
    <mergeCell ref="AX123:AX124"/>
    <mergeCell ref="AY123:AY124"/>
    <mergeCell ref="AU123:AU124"/>
    <mergeCell ref="AK113:AK114"/>
    <mergeCell ref="AJ113:AJ114"/>
    <mergeCell ref="AR117:AR118"/>
    <mergeCell ref="AP113:AP114"/>
    <mergeCell ref="AO113:AO114"/>
    <mergeCell ref="AN113:AN114"/>
    <mergeCell ref="AO117:AO118"/>
    <mergeCell ref="AP117:AP118"/>
    <mergeCell ref="AQ117:AQ118"/>
    <mergeCell ref="AN121:AN122"/>
    <mergeCell ref="AO121:AO122"/>
    <mergeCell ref="AR121:AR122"/>
    <mergeCell ref="AJ119:AJ120"/>
    <mergeCell ref="C95:C96"/>
    <mergeCell ref="D95:D96"/>
    <mergeCell ref="AZ99:AZ100"/>
    <mergeCell ref="AO99:AO100"/>
    <mergeCell ref="AP99:AP100"/>
    <mergeCell ref="AQ99:AQ100"/>
    <mergeCell ref="AR99:AR100"/>
    <mergeCell ref="AS99:AS100"/>
    <mergeCell ref="AT99:AT100"/>
    <mergeCell ref="AS101:AS102"/>
    <mergeCell ref="AT101:AT102"/>
    <mergeCell ref="AU101:AU102"/>
    <mergeCell ref="AV101:AV102"/>
    <mergeCell ref="AX101:AX102"/>
    <mergeCell ref="AY101:AY102"/>
    <mergeCell ref="AO101:AO102"/>
    <mergeCell ref="AP101:AP102"/>
    <mergeCell ref="AQ101:AQ102"/>
    <mergeCell ref="AW99:AW100"/>
    <mergeCell ref="AX99:AX100"/>
    <mergeCell ref="AJ99:AJ100"/>
    <mergeCell ref="AJ97:AJ98"/>
    <mergeCell ref="AK97:AK98"/>
    <mergeCell ref="AQ95:AQ96"/>
    <mergeCell ref="AL101:AL102"/>
    <mergeCell ref="D89:D90"/>
    <mergeCell ref="AU97:AU98"/>
    <mergeCell ref="AU91:AU92"/>
    <mergeCell ref="B91:B92"/>
    <mergeCell ref="C91:C92"/>
    <mergeCell ref="D91:D92"/>
    <mergeCell ref="AZ97:AZ98"/>
    <mergeCell ref="AN97:AN98"/>
    <mergeCell ref="AO97:AO98"/>
    <mergeCell ref="AP97:AP98"/>
    <mergeCell ref="AQ97:AQ98"/>
    <mergeCell ref="AR97:AR98"/>
    <mergeCell ref="AS97:AS98"/>
    <mergeCell ref="AT97:AT98"/>
    <mergeCell ref="AJ89:AJ90"/>
    <mergeCell ref="AR89:AR90"/>
    <mergeCell ref="AN89:AN90"/>
    <mergeCell ref="AO95:AO96"/>
    <mergeCell ref="AQ93:AQ94"/>
    <mergeCell ref="AW93:AW94"/>
    <mergeCell ref="AW95:AW96"/>
    <mergeCell ref="AS89:AS90"/>
    <mergeCell ref="AT89:AT90"/>
    <mergeCell ref="AR95:AR96"/>
    <mergeCell ref="AU95:AU96"/>
    <mergeCell ref="AJ95:AJ96"/>
    <mergeCell ref="AW97:AW98"/>
    <mergeCell ref="AS95:AS96"/>
    <mergeCell ref="A91:A92"/>
    <mergeCell ref="AV95:AV96"/>
    <mergeCell ref="AX95:AX96"/>
    <mergeCell ref="AY95:AY96"/>
    <mergeCell ref="AO91:AO92"/>
    <mergeCell ref="AP91:AP92"/>
    <mergeCell ref="AQ91:AQ92"/>
    <mergeCell ref="AR91:AR92"/>
    <mergeCell ref="A93:A94"/>
    <mergeCell ref="B93:B94"/>
    <mergeCell ref="AJ93:AJ94"/>
    <mergeCell ref="AK93:AK94"/>
    <mergeCell ref="C93:C94"/>
    <mergeCell ref="D93:D94"/>
    <mergeCell ref="AM93:AM94"/>
    <mergeCell ref="AN93:AN94"/>
    <mergeCell ref="AO93:AO94"/>
    <mergeCell ref="AP93:AP94"/>
    <mergeCell ref="AX97:AX98"/>
    <mergeCell ref="AY97:AY98"/>
    <mergeCell ref="AV91:AV92"/>
    <mergeCell ref="AY93:AY94"/>
    <mergeCell ref="AJ91:AJ92"/>
    <mergeCell ref="AK91:AK92"/>
    <mergeCell ref="AL91:AL92"/>
    <mergeCell ref="AM91:AM92"/>
    <mergeCell ref="AN91:AN92"/>
    <mergeCell ref="AP87:AP88"/>
    <mergeCell ref="AQ87:AQ88"/>
    <mergeCell ref="A85:A86"/>
    <mergeCell ref="AK89:AK90"/>
    <mergeCell ref="AL89:AL90"/>
    <mergeCell ref="AM89:AM90"/>
    <mergeCell ref="B85:B86"/>
    <mergeCell ref="C85:C86"/>
    <mergeCell ref="D85:D86"/>
    <mergeCell ref="AJ85:AJ86"/>
    <mergeCell ref="AQ89:AQ90"/>
    <mergeCell ref="A77:A78"/>
    <mergeCell ref="AM77:AM78"/>
    <mergeCell ref="B79:B80"/>
    <mergeCell ref="C79:C80"/>
    <mergeCell ref="AT79:AT80"/>
    <mergeCell ref="AK85:AK86"/>
    <mergeCell ref="AL85:AL86"/>
    <mergeCell ref="B89:B90"/>
    <mergeCell ref="AO89:AO90"/>
    <mergeCell ref="AP89:AP90"/>
    <mergeCell ref="C89:C90"/>
    <mergeCell ref="AM83:AM84"/>
    <mergeCell ref="B81:B82"/>
    <mergeCell ref="C81:C82"/>
    <mergeCell ref="D81:D82"/>
    <mergeCell ref="B83:B84"/>
    <mergeCell ref="A83:A84"/>
    <mergeCell ref="AJ83:AJ84"/>
    <mergeCell ref="C83:C84"/>
    <mergeCell ref="D83:D84"/>
    <mergeCell ref="A87:A88"/>
    <mergeCell ref="AJ87:AJ88"/>
    <mergeCell ref="AK87:AK88"/>
    <mergeCell ref="AL87:AL88"/>
    <mergeCell ref="AO83:AO84"/>
    <mergeCell ref="A81:A82"/>
    <mergeCell ref="AJ81:AJ82"/>
    <mergeCell ref="D79:D80"/>
    <mergeCell ref="AN79:AN80"/>
    <mergeCell ref="AO79:AO80"/>
    <mergeCell ref="A79:A80"/>
    <mergeCell ref="A89:A90"/>
    <mergeCell ref="B77:B78"/>
    <mergeCell ref="C77:C78"/>
    <mergeCell ref="D77:D78"/>
    <mergeCell ref="AJ77:AJ78"/>
    <mergeCell ref="AK77:AK78"/>
    <mergeCell ref="AO87:AO88"/>
    <mergeCell ref="AP83:AP84"/>
    <mergeCell ref="AP77:AP78"/>
    <mergeCell ref="AK83:AK84"/>
    <mergeCell ref="AT81:AT82"/>
    <mergeCell ref="AL81:AL82"/>
    <mergeCell ref="AM81:AM82"/>
    <mergeCell ref="AN81:AN82"/>
    <mergeCell ref="AO81:AO82"/>
    <mergeCell ref="AP81:AP82"/>
    <mergeCell ref="AQ81:AQ82"/>
    <mergeCell ref="AQ77:AQ78"/>
    <mergeCell ref="AR77:AR78"/>
    <mergeCell ref="AR81:AR82"/>
    <mergeCell ref="AS81:AS82"/>
    <mergeCell ref="AP79:AP80"/>
    <mergeCell ref="AM79:AM80"/>
    <mergeCell ref="AL79:AL80"/>
    <mergeCell ref="AL83:AL84"/>
    <mergeCell ref="AN77:AN78"/>
    <mergeCell ref="AO77:AO78"/>
    <mergeCell ref="AT77:AT78"/>
    <mergeCell ref="AR79:AR80"/>
    <mergeCell ref="AS79:AS80"/>
    <mergeCell ref="AS83:AS84"/>
    <mergeCell ref="AT83:AT84"/>
    <mergeCell ref="AL77:AL78"/>
    <mergeCell ref="A75:A76"/>
    <mergeCell ref="C75:C76"/>
    <mergeCell ref="D75:D76"/>
    <mergeCell ref="AM75:AM76"/>
    <mergeCell ref="AN75:AN76"/>
    <mergeCell ref="AV77:AV78"/>
    <mergeCell ref="A73:A74"/>
    <mergeCell ref="AM51:AM52"/>
    <mergeCell ref="AO51:AO52"/>
    <mergeCell ref="AP51:AP52"/>
    <mergeCell ref="AR51:AR52"/>
    <mergeCell ref="AS51:AS52"/>
    <mergeCell ref="A57:A58"/>
    <mergeCell ref="AJ57:AJ58"/>
    <mergeCell ref="AK57:AK58"/>
    <mergeCell ref="AL57:AL58"/>
    <mergeCell ref="AL53:AL54"/>
    <mergeCell ref="AM53:AM54"/>
    <mergeCell ref="AJ51:AJ52"/>
    <mergeCell ref="AK51:AK52"/>
    <mergeCell ref="AL51:AL52"/>
    <mergeCell ref="B53:B54"/>
    <mergeCell ref="AM73:AM74"/>
    <mergeCell ref="AN73:AN74"/>
    <mergeCell ref="AO73:AO74"/>
    <mergeCell ref="A71:A72"/>
    <mergeCell ref="AR73:AR74"/>
    <mergeCell ref="AS73:AS74"/>
    <mergeCell ref="AK69:AK70"/>
    <mergeCell ref="AL69:AL70"/>
    <mergeCell ref="AM69:AM70"/>
    <mergeCell ref="C73:C74"/>
    <mergeCell ref="A69:A70"/>
    <mergeCell ref="A49:A50"/>
    <mergeCell ref="A51:A52"/>
    <mergeCell ref="AJ49:AJ50"/>
    <mergeCell ref="AQ51:AQ52"/>
    <mergeCell ref="B57:B58"/>
    <mergeCell ref="AL55:AL56"/>
    <mergeCell ref="AM55:AM56"/>
    <mergeCell ref="AN55:AN56"/>
    <mergeCell ref="AO55:AO56"/>
    <mergeCell ref="AP55:AP56"/>
    <mergeCell ref="AQ55:AQ56"/>
    <mergeCell ref="AR55:AR56"/>
    <mergeCell ref="AS55:AS56"/>
    <mergeCell ref="AN51:AN52"/>
    <mergeCell ref="A53:A54"/>
    <mergeCell ref="AS57:AS58"/>
    <mergeCell ref="AJ53:AJ54"/>
    <mergeCell ref="A55:A56"/>
    <mergeCell ref="D55:D56"/>
    <mergeCell ref="AJ55:AJ56"/>
    <mergeCell ref="AK55:AK56"/>
    <mergeCell ref="AM49:AM50"/>
    <mergeCell ref="B49:B50"/>
    <mergeCell ref="D49:D50"/>
    <mergeCell ref="C49:C50"/>
    <mergeCell ref="B51:B52"/>
    <mergeCell ref="C51:C52"/>
    <mergeCell ref="D51:D52"/>
    <mergeCell ref="D53:D54"/>
    <mergeCell ref="AN49:AN50"/>
    <mergeCell ref="AO49:AO50"/>
    <mergeCell ref="AP49:AP50"/>
    <mergeCell ref="AM41:AM42"/>
    <mergeCell ref="AU41:AU42"/>
    <mergeCell ref="AV41:AV42"/>
    <mergeCell ref="AU43:AU44"/>
    <mergeCell ref="AT43:AT44"/>
    <mergeCell ref="AV47:AV48"/>
    <mergeCell ref="AX47:AX48"/>
    <mergeCell ref="AZ63:AZ64"/>
    <mergeCell ref="AT53:AT54"/>
    <mergeCell ref="AU53:AU54"/>
    <mergeCell ref="AV53:AV54"/>
    <mergeCell ref="AN63:AN64"/>
    <mergeCell ref="AY59:AY60"/>
    <mergeCell ref="AZ59:AZ60"/>
    <mergeCell ref="AN59:AN60"/>
    <mergeCell ref="AO59:AO60"/>
    <mergeCell ref="AP59:AP60"/>
    <mergeCell ref="AQ59:AQ60"/>
    <mergeCell ref="AR59:AR60"/>
    <mergeCell ref="AS59:AS60"/>
    <mergeCell ref="AS63:AS64"/>
    <mergeCell ref="AT63:AT64"/>
    <mergeCell ref="AN57:AN58"/>
    <mergeCell ref="AO57:AO58"/>
    <mergeCell ref="AR53:AR54"/>
    <mergeCell ref="AS53:AS54"/>
    <mergeCell ref="AN53:AN54"/>
    <mergeCell ref="AO53:AO54"/>
    <mergeCell ref="AY63:AY64"/>
    <mergeCell ref="AO61:AO62"/>
    <mergeCell ref="AP61:AP62"/>
    <mergeCell ref="AJ41:AJ42"/>
    <mergeCell ref="AK41:AK42"/>
    <mergeCell ref="AL41:AL42"/>
    <mergeCell ref="AN41:AN42"/>
    <mergeCell ref="AQ43:AQ44"/>
    <mergeCell ref="AW49:AW50"/>
    <mergeCell ref="AY49:AY50"/>
    <mergeCell ref="AQ49:AQ50"/>
    <mergeCell ref="AR49:AR50"/>
    <mergeCell ref="AS49:AS50"/>
    <mergeCell ref="AL49:AL50"/>
    <mergeCell ref="AX49:AX50"/>
    <mergeCell ref="AT49:AT50"/>
    <mergeCell ref="AU49:AU50"/>
    <mergeCell ref="AU59:AU60"/>
    <mergeCell ref="AL47:AL48"/>
    <mergeCell ref="AM47:AM48"/>
    <mergeCell ref="AN47:AN48"/>
    <mergeCell ref="AO47:AO48"/>
    <mergeCell ref="AV57:AV58"/>
    <mergeCell ref="AX57:AX58"/>
    <mergeCell ref="AY57:AY58"/>
    <mergeCell ref="AT51:AT52"/>
    <mergeCell ref="AP53:AP54"/>
    <mergeCell ref="AQ53:AQ54"/>
    <mergeCell ref="AP57:AP58"/>
    <mergeCell ref="AQ57:AQ58"/>
    <mergeCell ref="AU51:AU52"/>
    <mergeCell ref="AV51:AV52"/>
    <mergeCell ref="AL43:AL44"/>
    <mergeCell ref="AS41:AS42"/>
    <mergeCell ref="AT41:AT42"/>
    <mergeCell ref="A45:A46"/>
    <mergeCell ref="AJ45:AJ46"/>
    <mergeCell ref="AK45:AK46"/>
    <mergeCell ref="AL45:AL46"/>
    <mergeCell ref="AM45:AM46"/>
    <mergeCell ref="AN45:AN46"/>
    <mergeCell ref="A47:A48"/>
    <mergeCell ref="AJ47:AJ48"/>
    <mergeCell ref="B47:B48"/>
    <mergeCell ref="C47:C48"/>
    <mergeCell ref="D47:D48"/>
    <mergeCell ref="AP47:AP48"/>
    <mergeCell ref="AQ47:AQ48"/>
    <mergeCell ref="AK47:AK48"/>
    <mergeCell ref="AN37:AN38"/>
    <mergeCell ref="AU31:AU32"/>
    <mergeCell ref="C41:C42"/>
    <mergeCell ref="D41:D42"/>
    <mergeCell ref="A43:A44"/>
    <mergeCell ref="AM37:AM38"/>
    <mergeCell ref="B37:B38"/>
    <mergeCell ref="C37:C38"/>
    <mergeCell ref="A41:A42"/>
    <mergeCell ref="AQ33:AQ34"/>
    <mergeCell ref="AR33:AR34"/>
    <mergeCell ref="AS33:AS34"/>
    <mergeCell ref="AT33:AT34"/>
    <mergeCell ref="AU33:AU34"/>
    <mergeCell ref="A31:A32"/>
    <mergeCell ref="D43:D44"/>
    <mergeCell ref="AJ43:AJ44"/>
    <mergeCell ref="AK43:AK44"/>
    <mergeCell ref="B27:B28"/>
    <mergeCell ref="AN43:AN44"/>
    <mergeCell ref="AO43:AO44"/>
    <mergeCell ref="AP43:AP44"/>
    <mergeCell ref="AO27:AO28"/>
    <mergeCell ref="AJ31:AJ32"/>
    <mergeCell ref="AO31:AO32"/>
    <mergeCell ref="AP31:AP32"/>
    <mergeCell ref="B45:B46"/>
    <mergeCell ref="C45:C46"/>
    <mergeCell ref="AK37:AK38"/>
    <mergeCell ref="AL37:AL38"/>
    <mergeCell ref="C27:C28"/>
    <mergeCell ref="B33:B34"/>
    <mergeCell ref="D45:D46"/>
    <mergeCell ref="D35:D36"/>
    <mergeCell ref="B43:B44"/>
    <mergeCell ref="C43:C44"/>
    <mergeCell ref="AO41:AO42"/>
    <mergeCell ref="AP41:AP42"/>
    <mergeCell ref="B41:B42"/>
    <mergeCell ref="AM43:AM44"/>
    <mergeCell ref="AO45:AO46"/>
    <mergeCell ref="AN33:AN34"/>
    <mergeCell ref="AO33:AO34"/>
    <mergeCell ref="AP33:AP34"/>
    <mergeCell ref="C31:C32"/>
    <mergeCell ref="D31:D32"/>
    <mergeCell ref="B29:B30"/>
    <mergeCell ref="C29:C30"/>
    <mergeCell ref="D29:D30"/>
    <mergeCell ref="B31:B32"/>
    <mergeCell ref="AJ27:AJ28"/>
    <mergeCell ref="AQ35:AQ36"/>
    <mergeCell ref="AR35:AR36"/>
    <mergeCell ref="AS35:AS36"/>
    <mergeCell ref="AT35:AT36"/>
    <mergeCell ref="AU35:AU36"/>
    <mergeCell ref="AV35:AV36"/>
    <mergeCell ref="AM35:AM36"/>
    <mergeCell ref="AM27:AM28"/>
    <mergeCell ref="AN27:AN28"/>
    <mergeCell ref="AK27:AK28"/>
    <mergeCell ref="AL27:AL28"/>
    <mergeCell ref="AS31:AS32"/>
    <mergeCell ref="AT31:AT32"/>
    <mergeCell ref="AJ35:AJ36"/>
    <mergeCell ref="AK35:AK36"/>
    <mergeCell ref="AL35:AL36"/>
    <mergeCell ref="AJ29:AJ30"/>
    <mergeCell ref="AK29:AK30"/>
    <mergeCell ref="AM31:AM32"/>
    <mergeCell ref="AN31:AN32"/>
    <mergeCell ref="AK31:AK32"/>
    <mergeCell ref="AL31:AL32"/>
    <mergeCell ref="AN29:AN30"/>
    <mergeCell ref="AO29:AO30"/>
    <mergeCell ref="AP29:AP30"/>
    <mergeCell ref="AQ29:AQ30"/>
    <mergeCell ref="AQ31:AQ32"/>
    <mergeCell ref="AL29:AL30"/>
    <mergeCell ref="AM29:AM30"/>
    <mergeCell ref="AV33:AV34"/>
    <mergeCell ref="A29:A30"/>
    <mergeCell ref="C33:C34"/>
    <mergeCell ref="D33:D34"/>
    <mergeCell ref="AJ33:AJ34"/>
    <mergeCell ref="AK33:AK34"/>
    <mergeCell ref="AL33:AL34"/>
    <mergeCell ref="AM33:AM34"/>
    <mergeCell ref="AN35:AN36"/>
    <mergeCell ref="AO35:AO36"/>
    <mergeCell ref="AP35:AP36"/>
    <mergeCell ref="AZ29:AZ30"/>
    <mergeCell ref="AZ31:AZ32"/>
    <mergeCell ref="AY27:AY28"/>
    <mergeCell ref="AZ27:AZ28"/>
    <mergeCell ref="AR29:AR30"/>
    <mergeCell ref="AS29:AS30"/>
    <mergeCell ref="AT29:AT30"/>
    <mergeCell ref="AU29:AU30"/>
    <mergeCell ref="AV29:AV30"/>
    <mergeCell ref="AX29:AX30"/>
    <mergeCell ref="AU27:AU28"/>
    <mergeCell ref="AV27:AV28"/>
    <mergeCell ref="AX27:AX28"/>
    <mergeCell ref="AP27:AP28"/>
    <mergeCell ref="AQ27:AQ28"/>
    <mergeCell ref="AR27:AR28"/>
    <mergeCell ref="AS27:AS28"/>
    <mergeCell ref="AT27:AT28"/>
    <mergeCell ref="AY31:AY32"/>
    <mergeCell ref="AY29:AY30"/>
    <mergeCell ref="AW27:AW28"/>
    <mergeCell ref="AW29:AW30"/>
    <mergeCell ref="AW31:AW32"/>
    <mergeCell ref="AV31:AV32"/>
    <mergeCell ref="AX31:AX32"/>
    <mergeCell ref="AR31:AR32"/>
    <mergeCell ref="AL25:AL26"/>
    <mergeCell ref="AY23:AY24"/>
    <mergeCell ref="AZ23:AZ24"/>
    <mergeCell ref="AO23:AO24"/>
    <mergeCell ref="AP23:AP24"/>
    <mergeCell ref="AQ23:AQ24"/>
    <mergeCell ref="AR23:AR24"/>
    <mergeCell ref="AS23:AS24"/>
    <mergeCell ref="AT23:AT24"/>
    <mergeCell ref="AS25:AS26"/>
    <mergeCell ref="AT25:AT26"/>
    <mergeCell ref="AU25:AU26"/>
    <mergeCell ref="AV25:AV26"/>
    <mergeCell ref="AX25:AX26"/>
    <mergeCell ref="AY25:AY26"/>
    <mergeCell ref="AO25:AO26"/>
    <mergeCell ref="AP25:AP26"/>
    <mergeCell ref="AQ25:AQ26"/>
    <mergeCell ref="AZ25:AZ26"/>
    <mergeCell ref="AR25:AR26"/>
    <mergeCell ref="AM25:AM26"/>
    <mergeCell ref="AW23:AW24"/>
    <mergeCell ref="AW25:AW26"/>
    <mergeCell ref="AL23:AL24"/>
    <mergeCell ref="AN23:AN24"/>
    <mergeCell ref="B21:B22"/>
    <mergeCell ref="C21:C22"/>
    <mergeCell ref="AU23:AU24"/>
    <mergeCell ref="AV23:AV24"/>
    <mergeCell ref="AX23:AX24"/>
    <mergeCell ref="AR17:AR18"/>
    <mergeCell ref="AS17:AS18"/>
    <mergeCell ref="AT17:AT18"/>
    <mergeCell ref="AU17:AU18"/>
    <mergeCell ref="AQ17:AQ18"/>
    <mergeCell ref="B17:B18"/>
    <mergeCell ref="C17:C18"/>
    <mergeCell ref="AK23:AK24"/>
    <mergeCell ref="AL21:AL22"/>
    <mergeCell ref="D17:D18"/>
    <mergeCell ref="D21:D22"/>
    <mergeCell ref="AT21:AT22"/>
    <mergeCell ref="AV21:AV22"/>
    <mergeCell ref="AJ17:AJ18"/>
    <mergeCell ref="AK17:AK18"/>
    <mergeCell ref="AJ21:AJ22"/>
    <mergeCell ref="AK21:AK22"/>
    <mergeCell ref="AW17:AW18"/>
    <mergeCell ref="AW19:AW20"/>
    <mergeCell ref="AW21:AW22"/>
    <mergeCell ref="AX21:AX22"/>
    <mergeCell ref="E13:E15"/>
    <mergeCell ref="F13:F15"/>
    <mergeCell ref="G13:G15"/>
    <mergeCell ref="AW13:AW15"/>
    <mergeCell ref="AS19:AS20"/>
    <mergeCell ref="AT19:AT20"/>
    <mergeCell ref="AU19:AU20"/>
    <mergeCell ref="AV19:AV20"/>
    <mergeCell ref="AX19:AX20"/>
    <mergeCell ref="AY19:AY20"/>
    <mergeCell ref="AM19:AM20"/>
    <mergeCell ref="AN19:AN20"/>
    <mergeCell ref="AO19:AO20"/>
    <mergeCell ref="AP19:AP20"/>
    <mergeCell ref="AQ19:AQ20"/>
    <mergeCell ref="AR19:AR20"/>
    <mergeCell ref="AZ19:AZ20"/>
    <mergeCell ref="P13:P15"/>
    <mergeCell ref="AV17:AV18"/>
    <mergeCell ref="AX17:AX18"/>
    <mergeCell ref="AL17:AL18"/>
    <mergeCell ref="AS13:AS15"/>
    <mergeCell ref="AT13:AT15"/>
    <mergeCell ref="AO17:AO18"/>
    <mergeCell ref="AP17:AP18"/>
    <mergeCell ref="AY13:AY15"/>
    <mergeCell ref="AG13:AG15"/>
    <mergeCell ref="AH13:AH15"/>
    <mergeCell ref="AI13:AI15"/>
    <mergeCell ref="AJ13:AJ15"/>
    <mergeCell ref="AK13:AO13"/>
    <mergeCell ref="AR13:AR15"/>
    <mergeCell ref="AA13:AA15"/>
    <mergeCell ref="AB13:AB15"/>
    <mergeCell ref="AC13:AC15"/>
    <mergeCell ref="AD13:AD15"/>
    <mergeCell ref="AE13:AE15"/>
    <mergeCell ref="AP12:AP15"/>
    <mergeCell ref="AQ12:AQ15"/>
    <mergeCell ref="AF13:AF15"/>
    <mergeCell ref="AZ17:AZ18"/>
    <mergeCell ref="AY21:AY22"/>
    <mergeCell ref="AZ21:AZ22"/>
    <mergeCell ref="AN21:AN22"/>
    <mergeCell ref="AO21:AO22"/>
    <mergeCell ref="AP21:AP22"/>
    <mergeCell ref="AQ21:AQ22"/>
    <mergeCell ref="AR21:AR22"/>
    <mergeCell ref="AS21:AS22"/>
    <mergeCell ref="AM21:AM22"/>
    <mergeCell ref="J13:J15"/>
    <mergeCell ref="K13:K15"/>
    <mergeCell ref="D27:D28"/>
    <mergeCell ref="A17:A18"/>
    <mergeCell ref="B23:B24"/>
    <mergeCell ref="AN25:AN26"/>
    <mergeCell ref="AK25:AK26"/>
    <mergeCell ref="AU21:AU22"/>
    <mergeCell ref="AZ13:AZ15"/>
    <mergeCell ref="AK14:AK15"/>
    <mergeCell ref="AL14:AO14"/>
    <mergeCell ref="AJ37:AJ38"/>
    <mergeCell ref="D37:D38"/>
    <mergeCell ref="AO37:AO38"/>
    <mergeCell ref="AP37:AP38"/>
    <mergeCell ref="A33:A34"/>
    <mergeCell ref="A37:A38"/>
    <mergeCell ref="B19:B20"/>
    <mergeCell ref="A27:A28"/>
    <mergeCell ref="AM23:AM24"/>
    <mergeCell ref="C23:C24"/>
    <mergeCell ref="D23:D24"/>
    <mergeCell ref="A23:A24"/>
    <mergeCell ref="AX33:AX34"/>
    <mergeCell ref="AW33:AW34"/>
    <mergeCell ref="A35:A36"/>
    <mergeCell ref="B35:B36"/>
    <mergeCell ref="C35:C36"/>
    <mergeCell ref="AY17:AY18"/>
    <mergeCell ref="AU13:AU15"/>
    <mergeCell ref="AV13:AV15"/>
    <mergeCell ref="AX13:AX15"/>
    <mergeCell ref="A2:N2"/>
    <mergeCell ref="W2:AB2"/>
    <mergeCell ref="AE2:AJ2"/>
    <mergeCell ref="W3:Y3"/>
    <mergeCell ref="Z3:AB3"/>
    <mergeCell ref="AE3:AG3"/>
    <mergeCell ref="AH3:AJ3"/>
    <mergeCell ref="Q13:Q15"/>
    <mergeCell ref="R13:R15"/>
    <mergeCell ref="S13:S15"/>
    <mergeCell ref="T13:T15"/>
    <mergeCell ref="AJ12:AO12"/>
    <mergeCell ref="A19:A20"/>
    <mergeCell ref="AJ19:AJ20"/>
    <mergeCell ref="AK19:AK20"/>
    <mergeCell ref="AL19:AL20"/>
    <mergeCell ref="A8:B8"/>
    <mergeCell ref="C8:F8"/>
    <mergeCell ref="W8:Y8"/>
    <mergeCell ref="Z8:AB8"/>
    <mergeCell ref="E16:AI16"/>
    <mergeCell ref="C19:C20"/>
    <mergeCell ref="D19:D20"/>
    <mergeCell ref="U13:U15"/>
    <mergeCell ref="V13:V15"/>
    <mergeCell ref="AK16:AO16"/>
    <mergeCell ref="W13:W15"/>
    <mergeCell ref="X13:X15"/>
    <mergeCell ref="Y13:Y15"/>
    <mergeCell ref="Z13:Z15"/>
    <mergeCell ref="AM17:AM18"/>
    <mergeCell ref="AN17:AN18"/>
    <mergeCell ref="AE8:AG8"/>
    <mergeCell ref="AH8:AJ8"/>
    <mergeCell ref="W4:Y4"/>
    <mergeCell ref="Z4:AB4"/>
    <mergeCell ref="AE4:AG4"/>
    <mergeCell ref="AH4:AJ4"/>
    <mergeCell ref="A5:N5"/>
    <mergeCell ref="A6:N6"/>
    <mergeCell ref="W6:Y7"/>
    <mergeCell ref="Z6:AB7"/>
    <mergeCell ref="AE6:AG7"/>
    <mergeCell ref="AH6:AJ7"/>
    <mergeCell ref="A25:A26"/>
    <mergeCell ref="AJ25:AJ26"/>
    <mergeCell ref="H9:S9"/>
    <mergeCell ref="D10:P10"/>
    <mergeCell ref="A12:A15"/>
    <mergeCell ref="B12:B15"/>
    <mergeCell ref="C12:C15"/>
    <mergeCell ref="D12:D15"/>
    <mergeCell ref="E12:AI12"/>
    <mergeCell ref="L13:L15"/>
    <mergeCell ref="M13:M15"/>
    <mergeCell ref="N13:N15"/>
    <mergeCell ref="B25:B26"/>
    <mergeCell ref="AJ23:AJ24"/>
    <mergeCell ref="O13:O15"/>
    <mergeCell ref="A21:A22"/>
    <mergeCell ref="C25:C26"/>
    <mergeCell ref="D25:D26"/>
    <mergeCell ref="H13:H15"/>
    <mergeCell ref="I13:I15"/>
    <mergeCell ref="E141:Q141"/>
    <mergeCell ref="AJ123:AJ124"/>
    <mergeCell ref="AK123:AK124"/>
    <mergeCell ref="AN119:AN120"/>
    <mergeCell ref="AO119:AO120"/>
    <mergeCell ref="AP119:AP120"/>
    <mergeCell ref="AQ119:AQ120"/>
    <mergeCell ref="AR119:AR120"/>
    <mergeCell ref="AK119:AK120"/>
    <mergeCell ref="AL119:AL120"/>
    <mergeCell ref="AT121:AT122"/>
    <mergeCell ref="AU121:AU122"/>
    <mergeCell ref="D131:I131"/>
    <mergeCell ref="AL123:AL124"/>
    <mergeCell ref="AM123:AM124"/>
    <mergeCell ref="AN123:AN124"/>
    <mergeCell ref="AO123:AO124"/>
    <mergeCell ref="AP123:AP124"/>
    <mergeCell ref="AQ123:AQ124"/>
    <mergeCell ref="AR123:AR124"/>
    <mergeCell ref="AS123:AS124"/>
    <mergeCell ref="AP121:AP122"/>
    <mergeCell ref="AQ121:AQ122"/>
    <mergeCell ref="AT123:AT124"/>
    <mergeCell ref="K131:M131"/>
    <mergeCell ref="O131:S131"/>
    <mergeCell ref="D129:I129"/>
    <mergeCell ref="K129:M129"/>
    <mergeCell ref="AS121:AS122"/>
    <mergeCell ref="O129:S129"/>
    <mergeCell ref="D130:I130"/>
    <mergeCell ref="AM121:AM122"/>
    <mergeCell ref="E140:Q140"/>
    <mergeCell ref="AX79:AX80"/>
    <mergeCell ref="AY79:AY80"/>
    <mergeCell ref="AJ79:AJ80"/>
    <mergeCell ref="AV81:AV82"/>
    <mergeCell ref="AX81:AX82"/>
    <mergeCell ref="AS117:AS118"/>
    <mergeCell ref="AT113:AT114"/>
    <mergeCell ref="AW113:AW114"/>
    <mergeCell ref="AW121:AW122"/>
    <mergeCell ref="AV121:AV122"/>
    <mergeCell ref="AX119:AX120"/>
    <mergeCell ref="AW119:AW120"/>
    <mergeCell ref="AW117:AW118"/>
    <mergeCell ref="AL109:AL110"/>
    <mergeCell ref="AZ125:AZ126"/>
    <mergeCell ref="AW91:AW92"/>
    <mergeCell ref="AW103:AW104"/>
    <mergeCell ref="AZ93:AZ94"/>
    <mergeCell ref="AZ95:AZ96"/>
    <mergeCell ref="AR93:AR94"/>
    <mergeCell ref="AS93:AS94"/>
    <mergeCell ref="AT93:AT94"/>
    <mergeCell ref="AU93:AU94"/>
    <mergeCell ref="AV93:AV94"/>
    <mergeCell ref="AX93:AX94"/>
    <mergeCell ref="AN85:AN86"/>
    <mergeCell ref="AO85:AO86"/>
    <mergeCell ref="AP85:AP86"/>
    <mergeCell ref="AQ85:AQ86"/>
    <mergeCell ref="AZ101:AZ102"/>
    <mergeCell ref="AU99:AU100"/>
    <mergeCell ref="AW83:AW84"/>
    <mergeCell ref="AQ61:AQ62"/>
    <mergeCell ref="AX63:AX64"/>
    <mergeCell ref="AS69:AS70"/>
    <mergeCell ref="AT73:AT74"/>
    <mergeCell ref="AU73:AU74"/>
    <mergeCell ref="AZ61:AZ62"/>
    <mergeCell ref="AX75:AX76"/>
    <mergeCell ref="AY73:AY74"/>
    <mergeCell ref="AZ65:AZ66"/>
    <mergeCell ref="AX91:AX92"/>
    <mergeCell ref="AY85:AY86"/>
    <mergeCell ref="AY87:AY88"/>
    <mergeCell ref="AZ87:AZ88"/>
    <mergeCell ref="AT91:AT92"/>
    <mergeCell ref="AZ77:AZ78"/>
    <mergeCell ref="AX71:AX72"/>
    <mergeCell ref="AY71:AY72"/>
    <mergeCell ref="AZ71:AZ72"/>
    <mergeCell ref="AV85:AV86"/>
    <mergeCell ref="AR71:AR72"/>
    <mergeCell ref="AV73:AV74"/>
    <mergeCell ref="AS71:AS72"/>
    <mergeCell ref="AZ81:AZ82"/>
    <mergeCell ref="AZ85:AZ86"/>
    <mergeCell ref="AT87:AT88"/>
    <mergeCell ref="AY89:AY90"/>
    <mergeCell ref="AU79:AU80"/>
    <mergeCell ref="AU81:AU82"/>
    <mergeCell ref="AY83:AY84"/>
    <mergeCell ref="AX77:AX78"/>
    <mergeCell ref="AY77:AY78"/>
    <mergeCell ref="AS119:AS120"/>
    <mergeCell ref="AT119:AT120"/>
    <mergeCell ref="AU119:AU120"/>
    <mergeCell ref="AV119:AV120"/>
    <mergeCell ref="AQ79:AQ80"/>
    <mergeCell ref="AT85:AT86"/>
    <mergeCell ref="AR87:AR88"/>
    <mergeCell ref="AS87:AS88"/>
    <mergeCell ref="AS91:AS92"/>
    <mergeCell ref="AZ83:AZ84"/>
    <mergeCell ref="AZ89:AZ90"/>
    <mergeCell ref="AZ91:AZ92"/>
    <mergeCell ref="AY91:AY92"/>
    <mergeCell ref="AZ67:AZ68"/>
    <mergeCell ref="AX69:AX70"/>
    <mergeCell ref="AZ79:AZ80"/>
    <mergeCell ref="AW69:AW70"/>
    <mergeCell ref="AU75:AU76"/>
    <mergeCell ref="AV75:AV76"/>
    <mergeCell ref="AZ73:AZ74"/>
    <mergeCell ref="AZ75:AZ76"/>
    <mergeCell ref="AY75:AY76"/>
    <mergeCell ref="AR67:AR68"/>
    <mergeCell ref="AW73:AW74"/>
    <mergeCell ref="AT71:AT72"/>
    <mergeCell ref="AR75:AR76"/>
    <mergeCell ref="AW75:AW76"/>
    <mergeCell ref="AW77:AW78"/>
    <mergeCell ref="AS77:AS78"/>
    <mergeCell ref="AU77:AU78"/>
    <mergeCell ref="AW89:AW90"/>
    <mergeCell ref="AT95:AT96"/>
    <mergeCell ref="AZ33:AZ34"/>
    <mergeCell ref="AW35:AW36"/>
    <mergeCell ref="AX35:AX36"/>
    <mergeCell ref="AY35:AY36"/>
    <mergeCell ref="AZ35:AZ36"/>
    <mergeCell ref="AR43:AR44"/>
    <mergeCell ref="AS43:AS44"/>
    <mergeCell ref="AX43:AX44"/>
    <mergeCell ref="AY43:AY44"/>
    <mergeCell ref="AZ43:AZ44"/>
    <mergeCell ref="AZ45:AZ46"/>
    <mergeCell ref="AX39:AX40"/>
    <mergeCell ref="AW39:AW40"/>
    <mergeCell ref="AR37:AR38"/>
    <mergeCell ref="AS37:AS38"/>
    <mergeCell ref="AT37:AT38"/>
    <mergeCell ref="AR47:AR48"/>
    <mergeCell ref="AT45:AT46"/>
    <mergeCell ref="AW45:AW46"/>
    <mergeCell ref="AX37:AX38"/>
    <mergeCell ref="AY37:AY38"/>
    <mergeCell ref="AZ37:AZ38"/>
    <mergeCell ref="AW37:AW38"/>
    <mergeCell ref="AU37:AU38"/>
    <mergeCell ref="AV37:AV38"/>
    <mergeCell ref="AZ47:AZ48"/>
    <mergeCell ref="AV39:AV40"/>
    <mergeCell ref="AX59:AX60"/>
    <mergeCell ref="AS65:AS66"/>
    <mergeCell ref="AT65:AT66"/>
    <mergeCell ref="AW71:AW72"/>
    <mergeCell ref="AW53:AW54"/>
    <mergeCell ref="AW55:AW56"/>
    <mergeCell ref="AW41:AW42"/>
    <mergeCell ref="AY33:AY34"/>
    <mergeCell ref="AZ39:AZ40"/>
    <mergeCell ref="AR57:AR58"/>
    <mergeCell ref="AQ45:AQ46"/>
    <mergeCell ref="AY47:AY48"/>
    <mergeCell ref="AX41:AX42"/>
    <mergeCell ref="AV43:AV44"/>
    <mergeCell ref="AS47:AS48"/>
    <mergeCell ref="AT47:AT48"/>
    <mergeCell ref="AU47:AU48"/>
    <mergeCell ref="AY51:AY52"/>
    <mergeCell ref="AX55:AX56"/>
    <mergeCell ref="AT57:AT58"/>
    <mergeCell ref="AU57:AU58"/>
    <mergeCell ref="AZ49:AZ50"/>
    <mergeCell ref="AT55:AT56"/>
    <mergeCell ref="AR63:AR64"/>
    <mergeCell ref="AY55:AY56"/>
    <mergeCell ref="AY39:AY40"/>
    <mergeCell ref="AQ37:AQ38"/>
    <mergeCell ref="AW43:AW44"/>
    <mergeCell ref="AW47:AW48"/>
    <mergeCell ref="AV45:AV46"/>
    <mergeCell ref="AR45:AR46"/>
    <mergeCell ref="AS45:AS46"/>
    <mergeCell ref="AQ41:AQ42"/>
    <mergeCell ref="AR41:AR42"/>
    <mergeCell ref="AV49:AV50"/>
    <mergeCell ref="AU55:AU56"/>
    <mergeCell ref="AV55:AV56"/>
    <mergeCell ref="AZ51:AZ52"/>
    <mergeCell ref="AZ57:AZ58"/>
    <mergeCell ref="AY53:AY54"/>
    <mergeCell ref="AP45:AP46"/>
    <mergeCell ref="AU45:AU46"/>
    <mergeCell ref="AX53:AX54"/>
    <mergeCell ref="AQ71:AQ72"/>
    <mergeCell ref="AZ121:AZ122"/>
    <mergeCell ref="AZ119:AZ120"/>
    <mergeCell ref="AY119:AY120"/>
    <mergeCell ref="AM119:AM120"/>
    <mergeCell ref="AX121:AX122"/>
    <mergeCell ref="AY121:AY122"/>
    <mergeCell ref="AZ41:AZ42"/>
    <mergeCell ref="AY41:AY42"/>
    <mergeCell ref="AX45:AX46"/>
    <mergeCell ref="AY45:AY46"/>
    <mergeCell ref="AX51:AX52"/>
    <mergeCell ref="AW51:AW52"/>
    <mergeCell ref="AZ113:AZ114"/>
    <mergeCell ref="AY113:AY114"/>
    <mergeCell ref="AX113:AX114"/>
    <mergeCell ref="AV113:AV114"/>
    <mergeCell ref="AU113:AU114"/>
    <mergeCell ref="AX73:AX74"/>
    <mergeCell ref="AY69:AY70"/>
    <mergeCell ref="AZ69:AZ70"/>
  </mergeCells>
  <conditionalFormatting sqref="E17">
    <cfRule type="expression" dxfId="1298" priority="73" stopIfTrue="1">
      <formula>(E17="Р")</formula>
    </cfRule>
    <cfRule type="expression" dxfId="1297" priority="74" stopIfTrue="1">
      <formula>(E17="ВЧ")</formula>
    </cfRule>
    <cfRule type="expression" dxfId="1296" priority="75" stopIfTrue="1">
      <formula>(E17="ВЧ1")</formula>
    </cfRule>
    <cfRule type="expression" dxfId="1295" priority="76" stopIfTrue="1">
      <formula>(E17="ВЧ2")</formula>
    </cfRule>
    <cfRule type="expression" dxfId="1294" priority="77" stopIfTrue="1">
      <formula>(E17="РН")</formula>
    </cfRule>
    <cfRule type="expression" dxfId="1293" priority="78" stopIfTrue="1">
      <formula>(E17="НУ")</formula>
    </cfRule>
    <cfRule type="expression" dxfId="1292" priority="79" stopIfTrue="1">
      <formula>(E17="Р1")</formula>
    </cfRule>
    <cfRule type="expression" dxfId="1291" priority="80" stopIfTrue="1">
      <formula>(E17="Р2")</formula>
    </cfRule>
    <cfRule type="expression" dxfId="1290" priority="81" stopIfTrue="1">
      <formula>(E17="Р1/РВ")</formula>
    </cfRule>
    <cfRule type="expression" dxfId="1289" priority="82" stopIfTrue="1">
      <formula>(E17="Р2/РВ")</formula>
    </cfRule>
    <cfRule type="expression" dxfId="1288" priority="83" stopIfTrue="1">
      <formula>(E17="ВЧ/РВ")</formula>
    </cfRule>
    <cfRule type="expression" priority="84" stopIfTrue="1">
      <formula>(E17="РН/РВ")</formula>
    </cfRule>
  </conditionalFormatting>
  <conditionalFormatting sqref="F17:AI17">
    <cfRule type="expression" dxfId="1287" priority="61" stopIfTrue="1">
      <formula>(F17="Р")</formula>
    </cfRule>
    <cfRule type="expression" dxfId="1286" priority="62" stopIfTrue="1">
      <formula>(F17="ВЧ")</formula>
    </cfRule>
    <cfRule type="expression" dxfId="1285" priority="63" stopIfTrue="1">
      <formula>(F17="ВЧ1")</formula>
    </cfRule>
    <cfRule type="expression" dxfId="1284" priority="64" stopIfTrue="1">
      <formula>(F17="ВЧ2")</formula>
    </cfRule>
    <cfRule type="expression" dxfId="1283" priority="65" stopIfTrue="1">
      <formula>(F17="РН")</formula>
    </cfRule>
    <cfRule type="expression" dxfId="1282" priority="66" stopIfTrue="1">
      <formula>(F17="НУ")</formula>
    </cfRule>
    <cfRule type="expression" dxfId="1281" priority="67" stopIfTrue="1">
      <formula>(F17="Р1")</formula>
    </cfRule>
    <cfRule type="expression" dxfId="1280" priority="68" stopIfTrue="1">
      <formula>(F17="Р2")</formula>
    </cfRule>
    <cfRule type="expression" dxfId="1279" priority="69" stopIfTrue="1">
      <formula>(F17="Р1/РВ")</formula>
    </cfRule>
    <cfRule type="expression" dxfId="1278" priority="70" stopIfTrue="1">
      <formula>(F17="Р2/РВ")</formula>
    </cfRule>
    <cfRule type="expression" dxfId="1277" priority="71" stopIfTrue="1">
      <formula>(F17="ВЧ/РВ")</formula>
    </cfRule>
    <cfRule type="expression" priority="72" stopIfTrue="1">
      <formula>(F17="РН/РВ")</formula>
    </cfRule>
  </conditionalFormatting>
  <conditionalFormatting sqref="E18">
    <cfRule type="expression" dxfId="1276" priority="85" stopIfTrue="1">
      <formula>(E17="ВД")</formula>
    </cfRule>
    <cfRule type="expression" dxfId="1275" priority="86" stopIfTrue="1">
      <formula>(E17="В")</formula>
    </cfRule>
    <cfRule type="expression" dxfId="1274" priority="87" stopIfTrue="1">
      <formula>(E17="ВП")</formula>
    </cfRule>
    <cfRule type="expression" dxfId="1273" priority="88" stopIfTrue="1">
      <formula>(E17="ДД")</formula>
    </cfRule>
    <cfRule type="expression" dxfId="1272" priority="89" stopIfTrue="1">
      <formula>(E17="НА")</formula>
    </cfRule>
    <cfRule type="expression" dxfId="1271" priority="90" stopIfTrue="1">
      <formula>(E17="Ч")</formula>
    </cfRule>
    <cfRule type="expression" dxfId="1270" priority="91" stopIfTrue="1">
      <formula>(E17="Н")</formula>
    </cfRule>
    <cfRule type="expression" dxfId="1269" priority="92" stopIfTrue="1">
      <formula>(E17="ТН")</formula>
    </cfRule>
    <cfRule type="expression" dxfId="1268" priority="93" stopIfTrue="1">
      <formula>(E17="ДО")</formula>
    </cfRule>
    <cfRule type="expression" dxfId="1267" priority="94" stopIfTrue="1">
      <formula>(E17="ІН")</formula>
    </cfRule>
    <cfRule type="expression" dxfId="1266" priority="95" stopIfTrue="1">
      <formula>(E17="РВ")</formula>
    </cfRule>
    <cfRule type="expression" dxfId="1265" priority="96" stopIfTrue="1">
      <formula>(E17="ВБ")</formula>
    </cfRule>
  </conditionalFormatting>
  <conditionalFormatting sqref="F18:AI18">
    <cfRule type="expression" dxfId="1264" priority="49" stopIfTrue="1">
      <formula>(F17="ВД")</formula>
    </cfRule>
    <cfRule type="expression" dxfId="1263" priority="50" stopIfTrue="1">
      <formula>(F17="В")</formula>
    </cfRule>
    <cfRule type="expression" dxfId="1262" priority="51" stopIfTrue="1">
      <formula>(F17="ВП")</formula>
    </cfRule>
    <cfRule type="expression" dxfId="1261" priority="52" stopIfTrue="1">
      <formula>(F17="ДД")</formula>
    </cfRule>
    <cfRule type="expression" dxfId="1260" priority="53" stopIfTrue="1">
      <formula>(F17="НА")</formula>
    </cfRule>
    <cfRule type="expression" dxfId="1259" priority="54" stopIfTrue="1">
      <formula>(F17="Ч")</formula>
    </cfRule>
    <cfRule type="expression" dxfId="1258" priority="55" stopIfTrue="1">
      <formula>(F17="Н")</formula>
    </cfRule>
    <cfRule type="expression" dxfId="1257" priority="56" stopIfTrue="1">
      <formula>(F17="ТН")</formula>
    </cfRule>
    <cfRule type="expression" dxfId="1256" priority="57" stopIfTrue="1">
      <formula>(F17="ДО")</formula>
    </cfRule>
    <cfRule type="expression" dxfId="1255" priority="58" stopIfTrue="1">
      <formula>(F17="ІН")</formula>
    </cfRule>
    <cfRule type="expression" dxfId="1254" priority="59" stopIfTrue="1">
      <formula>(F17="РВ")</formula>
    </cfRule>
    <cfRule type="expression" dxfId="1253" priority="60" stopIfTrue="1">
      <formula>(F17="ВБ")</formula>
    </cfRule>
  </conditionalFormatting>
  <conditionalFormatting sqref="E19 E21 E23 E25 E27 E29 E31 E33 E35 E37 E39 E41 E43 E45 E49 E51 E53 E55 E57 E59 E61 E63 E65 E67 E69 E71 E73 E75 E77 E79 E81 E83 E85 E87 E89 E91 E93 E95 E97 E99 E101 E103 E105 E107 E109 E111 E113 E115 E117 E119 E121 E123 E47:I47">
    <cfRule type="expression" dxfId="1252" priority="25" stopIfTrue="1">
      <formula>(E19="Р")</formula>
    </cfRule>
    <cfRule type="expression" dxfId="1251" priority="26" stopIfTrue="1">
      <formula>(E19="ВЧ")</formula>
    </cfRule>
    <cfRule type="expression" dxfId="1250" priority="27" stopIfTrue="1">
      <formula>(E19="ВЧ1")</formula>
    </cfRule>
    <cfRule type="expression" dxfId="1249" priority="28" stopIfTrue="1">
      <formula>(E19="ВЧ2")</formula>
    </cfRule>
    <cfRule type="expression" dxfId="1248" priority="29" stopIfTrue="1">
      <formula>(E19="РН")</formula>
    </cfRule>
    <cfRule type="expression" dxfId="1247" priority="30" stopIfTrue="1">
      <formula>(E19="НУ")</formula>
    </cfRule>
    <cfRule type="expression" dxfId="1246" priority="31" stopIfTrue="1">
      <formula>(E19="Р1")</formula>
    </cfRule>
    <cfRule type="expression" dxfId="1245" priority="32" stopIfTrue="1">
      <formula>(E19="Р2")</formula>
    </cfRule>
    <cfRule type="expression" dxfId="1244" priority="33" stopIfTrue="1">
      <formula>(E19="Р1/РВ")</formula>
    </cfRule>
    <cfRule type="expression" dxfId="1243" priority="34" stopIfTrue="1">
      <formula>(E19="Р2/РВ")</formula>
    </cfRule>
    <cfRule type="expression" dxfId="1242" priority="35" stopIfTrue="1">
      <formula>(E19="ВЧ/РВ")</formula>
    </cfRule>
    <cfRule type="expression" priority="36" stopIfTrue="1">
      <formula>(E19="РН/РВ")</formula>
    </cfRule>
  </conditionalFormatting>
  <conditionalFormatting sqref="F19:AI19 F21:AI21 F23:AI23 F25:AI25 F27:AI27 F29:AI29 F31:AI31 F33:AI33 F35:AI35 F37:AI37 F39:AI39 F41:AI41 F43:AI43 F45:AI45 J47:AI47 F49:AI49 F51:AI51 F53:AI53 F55:AI55 F57:AI57 F59:AI59 F61:AI61 F63:AI63 F65:AI65 F67:AI67 F69:AI69 F71:AI71 F73:AI73 F75:AI75 F77:AI77 F79:AI79 F81:AI81 F83:AI83 F85:AI85 F87:AI87 F89:AI89 F91:AI91 F93:AI93 F95:AI95 F97:AI97 F99:AI99 F101:AI101 F103:AI103 F105:AI105 F107:AI107 F109:AI109 F111:AI111 F113:AI113 F115:AI115 F117:AI117 F119:AI119 F121:AI121 F123:AI123">
    <cfRule type="expression" dxfId="1241" priority="13" stopIfTrue="1">
      <formula>(F19="Р")</formula>
    </cfRule>
    <cfRule type="expression" dxfId="1240" priority="14" stopIfTrue="1">
      <formula>(F19="ВЧ")</formula>
    </cfRule>
    <cfRule type="expression" dxfId="1239" priority="15" stopIfTrue="1">
      <formula>(F19="ВЧ1")</formula>
    </cfRule>
    <cfRule type="expression" dxfId="1238" priority="16" stopIfTrue="1">
      <formula>(F19="ВЧ2")</formula>
    </cfRule>
    <cfRule type="expression" dxfId="1237" priority="17" stopIfTrue="1">
      <formula>(F19="РН")</formula>
    </cfRule>
    <cfRule type="expression" dxfId="1236" priority="18" stopIfTrue="1">
      <formula>(F19="НУ")</formula>
    </cfRule>
    <cfRule type="expression" dxfId="1235" priority="19" stopIfTrue="1">
      <formula>(F19="Р1")</formula>
    </cfRule>
    <cfRule type="expression" dxfId="1234" priority="20" stopIfTrue="1">
      <formula>(F19="Р2")</formula>
    </cfRule>
    <cfRule type="expression" dxfId="1233" priority="21" stopIfTrue="1">
      <formula>(F19="Р1/РВ")</formula>
    </cfRule>
    <cfRule type="expression" dxfId="1232" priority="22" stopIfTrue="1">
      <formula>(F19="Р2/РВ")</formula>
    </cfRule>
    <cfRule type="expression" dxfId="1231" priority="23" stopIfTrue="1">
      <formula>(F19="ВЧ/РВ")</formula>
    </cfRule>
    <cfRule type="expression" priority="24" stopIfTrue="1">
      <formula>(F19="РН/РВ")</formula>
    </cfRule>
  </conditionalFormatting>
  <conditionalFormatting sqref="E20 E22 E24 E26 E28 E30 E32 E34 E36 E38 E40 E42 E44 E46 E48 E50 E52 E54 E56 E58 E60 E62 E64 E66 E68 E70 E72 E74 E76 E78 E80 E82 E84 E86 E88 E90 E92 E94 E96 E98 E100 E102 E104 E106 E108 E110 E112 E114 E116 E118 E120 E122 E124">
    <cfRule type="expression" dxfId="1230" priority="37" stopIfTrue="1">
      <formula>(E19="ВД")</formula>
    </cfRule>
    <cfRule type="expression" dxfId="1229" priority="38" stopIfTrue="1">
      <formula>(E19="В")</formula>
    </cfRule>
    <cfRule type="expression" dxfId="1228" priority="39" stopIfTrue="1">
      <formula>(E19="ВП")</formula>
    </cfRule>
    <cfRule type="expression" dxfId="1227" priority="40" stopIfTrue="1">
      <formula>(E19="ДД")</formula>
    </cfRule>
    <cfRule type="expression" dxfId="1226" priority="41" stopIfTrue="1">
      <formula>(E19="НА")</formula>
    </cfRule>
    <cfRule type="expression" dxfId="1225" priority="42" stopIfTrue="1">
      <formula>(E19="Ч")</formula>
    </cfRule>
    <cfRule type="expression" dxfId="1224" priority="43" stopIfTrue="1">
      <formula>(E19="Н")</formula>
    </cfRule>
    <cfRule type="expression" dxfId="1223" priority="44" stopIfTrue="1">
      <formula>(E19="ТН")</formula>
    </cfRule>
    <cfRule type="expression" dxfId="1222" priority="45" stopIfTrue="1">
      <formula>(E19="ДО")</formula>
    </cfRule>
    <cfRule type="expression" dxfId="1221" priority="46" stopIfTrue="1">
      <formula>(E19="ІН")</formula>
    </cfRule>
    <cfRule type="expression" dxfId="1220" priority="47" stopIfTrue="1">
      <formula>(E19="РВ")</formula>
    </cfRule>
    <cfRule type="expression" dxfId="1219" priority="48" stopIfTrue="1">
      <formula>(E19="ВБ")</formula>
    </cfRule>
  </conditionalFormatting>
  <conditionalFormatting sqref="F20:AI20 F22:AI22 F24:AI24 F26:AI26 F28:AI28 F30:AI30 F32:AI32 F34:AI34 F36:AI36 F38:AI38 F40:AI40 F42:AI42 F44:AI44 F46:AI46 F48:AI48 F50:AI50 F52:AI52 F54:AI54 F56:AI56 F58:AI58 F60:AI60 F62:AI62 F64:AI64 F66:AI66 F68:AI68 F70:AI70 F72:AI72 F74:AI74 F76:AI76 F78:AI78 F80:AI80 F82:AI82 F84:AI84 F86:AI86 F88:AI88 F90:AI90 F92:AI92 F94:AI94 F96:AI96 F98:AI98 F100:AI100 F102:AI102 F104:AI104 F106:AI106 F108:AI108 F110:AI110 F112:AI112 F114:AI114 F116:AI116 F118:AI118 F120:AI120 F122:AI122 F124:AI124">
    <cfRule type="expression" dxfId="1218" priority="1" stopIfTrue="1">
      <formula>(F19="ВД")</formula>
    </cfRule>
    <cfRule type="expression" dxfId="1217" priority="2" stopIfTrue="1">
      <formula>(F19="В")</formula>
    </cfRule>
    <cfRule type="expression" dxfId="1216" priority="3" stopIfTrue="1">
      <formula>(F19="ВП")</formula>
    </cfRule>
    <cfRule type="expression" dxfId="1215" priority="4" stopIfTrue="1">
      <formula>(F19="ДД")</formula>
    </cfRule>
    <cfRule type="expression" dxfId="1214" priority="5" stopIfTrue="1">
      <formula>(F19="НА")</formula>
    </cfRule>
    <cfRule type="expression" dxfId="1213" priority="6" stopIfTrue="1">
      <formula>(F19="Ч")</formula>
    </cfRule>
    <cfRule type="expression" dxfId="1212" priority="7" stopIfTrue="1">
      <formula>(F19="Н")</formula>
    </cfRule>
    <cfRule type="expression" dxfId="1211" priority="8" stopIfTrue="1">
      <formula>(F19="ТН")</formula>
    </cfRule>
    <cfRule type="expression" dxfId="1210" priority="9" stopIfTrue="1">
      <formula>(F19="ДО")</formula>
    </cfRule>
    <cfRule type="expression" dxfId="1209" priority="10" stopIfTrue="1">
      <formula>(F19="ІН")</formula>
    </cfRule>
    <cfRule type="expression" dxfId="1208" priority="11" stopIfTrue="1">
      <formula>(F19="РВ")</formula>
    </cfRule>
    <cfRule type="expression" dxfId="1207" priority="12" stopIfTrue="1">
      <formula>(F19="ВБ")</formula>
    </cfRule>
  </conditionalFormatting>
  <printOptions horizontalCentered="1"/>
  <pageMargins left="0.39370078740157483" right="0.39370078740157483" top="0.78740157480314965" bottom="0.78740157480314965" header="0.39370078740157483" footer="0.39370078740157483"/>
  <pageSetup paperSize="8" scale="81"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628" r:id="rId4" name="Button 4">
              <controlPr defaultSize="0" print="0" autoFill="0" autoPict="0" macro="[0]!Макрос1">
                <anchor moveWithCells="1" sizeWithCells="1">
                  <from>
                    <xdr:col>23</xdr:col>
                    <xdr:colOff>200025</xdr:colOff>
                    <xdr:row>0</xdr:row>
                    <xdr:rowOff>142875</xdr:rowOff>
                  </from>
                  <to>
                    <xdr:col>28</xdr:col>
                    <xdr:colOff>200025</xdr:colOff>
                    <xdr:row>2</xdr:row>
                    <xdr:rowOff>57150</xdr:rowOff>
                  </to>
                </anchor>
              </controlPr>
            </control>
          </mc:Choice>
        </mc:AlternateContent>
        <mc:AlternateContent xmlns:mc="http://schemas.openxmlformats.org/markup-compatibility/2006">
          <mc:Choice Requires="x14">
            <control shapeId="26629" r:id="rId5" name="Button 5">
              <controlPr defaultSize="0" print="0" autoFill="0" autoPict="0" macro="[0]!Макрос2">
                <anchor moveWithCells="1" sizeWithCells="1">
                  <from>
                    <xdr:col>23</xdr:col>
                    <xdr:colOff>200025</xdr:colOff>
                    <xdr:row>3</xdr:row>
                    <xdr:rowOff>28575</xdr:rowOff>
                  </from>
                  <to>
                    <xdr:col>28</xdr:col>
                    <xdr:colOff>209550</xdr:colOff>
                    <xdr:row>4</xdr:row>
                    <xdr:rowOff>66675</xdr:rowOff>
                  </to>
                </anchor>
              </controlPr>
            </control>
          </mc:Choice>
        </mc:AlternateContent>
        <mc:AlternateContent xmlns:mc="http://schemas.openxmlformats.org/markup-compatibility/2006">
          <mc:Choice Requires="x14">
            <control shapeId="26630" r:id="rId6" name="Button 6">
              <controlPr defaultSize="0" print="0" autoFill="0" autoPict="0" macro="[0]!Макрос3">
                <anchor moveWithCells="1" sizeWithCells="1">
                  <from>
                    <xdr:col>22</xdr:col>
                    <xdr:colOff>47625</xdr:colOff>
                    <xdr:row>5</xdr:row>
                    <xdr:rowOff>66675</xdr:rowOff>
                  </from>
                  <to>
                    <xdr:col>28</xdr:col>
                    <xdr:colOff>209550</xdr:colOff>
                    <xdr:row>6</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7">
    <pageSetUpPr fitToPage="1"/>
  </sheetPr>
  <dimension ref="A2:AZ47"/>
  <sheetViews>
    <sheetView showZeros="0" topLeftCell="D1" zoomScale="90" zoomScaleNormal="90" zoomScaleSheetLayoutView="80" workbookViewId="0">
      <pane ySplit="15" topLeftCell="A25" activePane="bottomLeft" state="frozen"/>
      <selection pane="bottomLeft" activeCell="AX31" sqref="AX31:AX32"/>
    </sheetView>
  </sheetViews>
  <sheetFormatPr defaultColWidth="9.140625" defaultRowHeight="12.75" x14ac:dyDescent="0.2"/>
  <cols>
    <col min="1" max="1" width="5.28515625" style="1" customWidth="1"/>
    <col min="2" max="2" width="25.85546875" style="1" customWidth="1"/>
    <col min="3" max="3" width="5.85546875" style="13" customWidth="1"/>
    <col min="4" max="18" width="3.7109375" style="1" customWidth="1"/>
    <col min="19" max="19" width="5.28515625" style="1" customWidth="1"/>
    <col min="20" max="35" width="3.7109375" style="1" customWidth="1"/>
    <col min="36" max="36" width="4.7109375" style="1" customWidth="1"/>
    <col min="37" max="37" width="6.85546875" style="1" customWidth="1"/>
    <col min="38" max="42" width="4.7109375" style="1" customWidth="1"/>
    <col min="43" max="43" width="5.85546875" style="1" customWidth="1"/>
    <col min="44" max="44" width="5.5703125" style="1" customWidth="1"/>
    <col min="45" max="48" width="4.7109375" style="1" customWidth="1"/>
    <col min="49" max="49" width="4.7109375" style="131" customWidth="1"/>
    <col min="50" max="50" width="5.7109375" style="1" customWidth="1"/>
    <col min="51" max="52" width="4.7109375" style="1" customWidth="1"/>
    <col min="53" max="16384" width="9.140625" style="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82</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83</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2"/>
      <c r="U9" s="42"/>
      <c r="V9" s="42"/>
      <c r="W9" s="42"/>
      <c r="X9" s="42"/>
      <c r="Y9" s="42"/>
      <c r="Z9" s="42"/>
      <c r="AA9" s="42"/>
      <c r="AB9" s="42"/>
      <c r="AC9" s="42"/>
      <c r="AD9" s="42"/>
      <c r="AE9" s="42"/>
      <c r="AF9" s="42"/>
      <c r="AG9" s="42"/>
      <c r="AH9" s="42"/>
      <c r="AI9" s="42"/>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67">
        <v>1</v>
      </c>
      <c r="B16" s="66">
        <v>2</v>
      </c>
      <c r="C16" s="71">
        <v>3</v>
      </c>
      <c r="D16" s="71" t="s">
        <v>27</v>
      </c>
      <c r="E16" s="232">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43">
        <v>6</v>
      </c>
      <c r="AK16" s="233">
        <v>7</v>
      </c>
      <c r="AL16" s="232"/>
      <c r="AM16" s="232"/>
      <c r="AN16" s="232"/>
      <c r="AO16" s="234"/>
      <c r="AP16" s="43">
        <v>8</v>
      </c>
      <c r="AQ16" s="27">
        <v>9</v>
      </c>
      <c r="AR16" s="28"/>
      <c r="AS16" s="28"/>
      <c r="AT16" s="28"/>
      <c r="AU16" s="28"/>
      <c r="AV16" s="28"/>
      <c r="AW16" s="28"/>
      <c r="AX16" s="28"/>
      <c r="AY16" s="29"/>
      <c r="AZ16" s="30"/>
    </row>
    <row r="17" spans="1:52" ht="20.100000000000001" customHeight="1" x14ac:dyDescent="0.2">
      <c r="A17" s="305">
        <v>1</v>
      </c>
      <c r="B17" s="307" t="s">
        <v>202</v>
      </c>
      <c r="C17" s="309">
        <v>2073</v>
      </c>
      <c r="D17" s="309" t="s">
        <v>65</v>
      </c>
      <c r="E17" s="185" t="s">
        <v>142</v>
      </c>
      <c r="F17" s="191" t="s">
        <v>142</v>
      </c>
      <c r="G17" s="191" t="s">
        <v>4</v>
      </c>
      <c r="H17" s="191" t="s">
        <v>4</v>
      </c>
      <c r="I17" s="191" t="s">
        <v>4</v>
      </c>
      <c r="J17" s="191" t="s">
        <v>4</v>
      </c>
      <c r="K17" s="191" t="s">
        <v>4</v>
      </c>
      <c r="L17" s="191" t="s">
        <v>142</v>
      </c>
      <c r="M17" s="191" t="s">
        <v>142</v>
      </c>
      <c r="N17" s="191" t="s">
        <v>4</v>
      </c>
      <c r="O17" s="191" t="s">
        <v>4</v>
      </c>
      <c r="P17" s="191" t="s">
        <v>4</v>
      </c>
      <c r="Q17" s="191" t="s">
        <v>4</v>
      </c>
      <c r="R17" s="191" t="s">
        <v>4</v>
      </c>
      <c r="S17" s="191" t="s">
        <v>142</v>
      </c>
      <c r="T17" s="191" t="s">
        <v>142</v>
      </c>
      <c r="U17" s="191" t="s">
        <v>4</v>
      </c>
      <c r="V17" s="191" t="s">
        <v>4</v>
      </c>
      <c r="W17" s="191" t="s">
        <v>4</v>
      </c>
      <c r="X17" s="191" t="s">
        <v>4</v>
      </c>
      <c r="Y17" s="191" t="s">
        <v>4</v>
      </c>
      <c r="Z17" s="191" t="s">
        <v>142</v>
      </c>
      <c r="AA17" s="191" t="s">
        <v>142</v>
      </c>
      <c r="AB17" s="191" t="s">
        <v>4</v>
      </c>
      <c r="AC17" s="191" t="s">
        <v>4</v>
      </c>
      <c r="AD17" s="191" t="s">
        <v>4</v>
      </c>
      <c r="AE17" s="191" t="s">
        <v>4</v>
      </c>
      <c r="AF17" s="191" t="s">
        <v>4</v>
      </c>
      <c r="AG17" s="191" t="s">
        <v>142</v>
      </c>
      <c r="AH17" s="191" t="s">
        <v>142</v>
      </c>
      <c r="AI17" s="191" t="s">
        <v>4</v>
      </c>
      <c r="AJ17" s="213">
        <f>IFERROR(COUNTIF(E17:AI17,"=Р")+COUNTIF(E17:AI17,"=Р1")+COUNTIF(E17:AI17,"=ВЧ")+COUNTIF(E17:AI17,"=РН")+COUNTIF(E17:AI17,"=Р2")+COUNTIF(E17:AI17,"=Р1/РВ")+COUNTIF(E17:AI17,"=Р2/РВ")+COUNTIF(E17:AI17,"=ВЧ/РВ")+COUNTIF(E17:AI17,"=РН/РВ"),0)</f>
        <v>21</v>
      </c>
      <c r="AK17" s="202">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167.99999999999997</v>
      </c>
      <c r="AL17" s="202">
        <f>IFERROR(SUMIF(E17:AI17,"=НУ",E18:AI18),0)</f>
        <v>0</v>
      </c>
      <c r="AM17" s="202">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02">
        <f>IFERROR(SUMIF(E17:AI17,"=РВ",E18:AI18)+SUMIF(E17:AI17,"=ВЧ/РВ",E18:AI18)+SUMIF(E17:AI17,"=РН/РВ",E18:AI18)+SUMIF(E17:AI17,"=Р1/РВ",E18:AI18)+SUMIF(E17:AI17,"=ВЧ2/РВ",E18:AI18)+SUMIF(E17:AI17,"=Р2/РВ",E18:AI18),0)</f>
        <v>0</v>
      </c>
      <c r="AP17" s="202">
        <f>IFERROR(COUNTIF(E17:AI17,"=ВВ")+COUNTIF(E17:AI17,"=Р1/ВВ")+COUNTIF(E17:AI17,"=РН/ВВ")+COUNTIF(E17:AI17,"=ВЧ/ВВ"),0)</f>
        <v>10</v>
      </c>
      <c r="AQ17" s="202">
        <f>SUM(AR17:AZ17)</f>
        <v>0</v>
      </c>
      <c r="AR17" s="202">
        <f>IFERROR(SUMIF(E17:AI17,"=В",E18:AI18)+SUMIF(E17:AI17,"=Ч",E18:AI18)+SUMIF(E17:AI17,"=ВБ",E18:AI18),0)</f>
        <v>0</v>
      </c>
      <c r="AS17" s="202">
        <f>IFERROR(SUMIF(E17:AI17,"=Н",E18:AI18),0)</f>
        <v>0</v>
      </c>
      <c r="AT17" s="202">
        <f>IFERROR(SUMIF(E17:AI17,"=НА",E18:AI18),0)</f>
        <v>0</v>
      </c>
      <c r="AU17" s="202">
        <f>IFERROR(SUMIF(E17:AI17,"=ВП",E18:AI18),0)</f>
        <v>0</v>
      </c>
      <c r="AV17" s="202">
        <f>IFERROR(SUMIF(E17:AI17,"=ДД",E18:AI18),0)</f>
        <v>0</v>
      </c>
      <c r="AW17" s="202">
        <f>IFERROR(SUMIF(E17:AI17,"=ДО",E18:AI18),0)</f>
        <v>0</v>
      </c>
      <c r="AX17" s="202">
        <f>IFERROR(SUMIF(E17:AI17,"=ТН",E18:AI18),0)</f>
        <v>0</v>
      </c>
      <c r="AY17" s="202">
        <f>IFERROR(SUMIF(E17:AI17,"=ВД",E18:AI18),0)</f>
        <v>0</v>
      </c>
      <c r="AZ17" s="200">
        <f>IFERROR(SUMIF(E17:AI17,"=ІН",E18:AI18),0)+SUMIF(E17:AI17,"=НЗ",E18:AI18)</f>
        <v>0</v>
      </c>
    </row>
    <row r="18" spans="1:52" ht="20.100000000000001" customHeight="1" thickBot="1" x14ac:dyDescent="0.25">
      <c r="A18" s="306"/>
      <c r="B18" s="308"/>
      <c r="C18" s="304"/>
      <c r="D18" s="304"/>
      <c r="E18" s="186"/>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c r="AH18" s="192"/>
      <c r="AI18" s="192">
        <v>8.1999999999999993</v>
      </c>
      <c r="AJ18" s="214"/>
      <c r="AK18" s="203"/>
      <c r="AL18" s="203"/>
      <c r="AM18" s="203"/>
      <c r="AN18" s="212"/>
      <c r="AO18" s="203"/>
      <c r="AP18" s="203"/>
      <c r="AQ18" s="203"/>
      <c r="AR18" s="203"/>
      <c r="AS18" s="203"/>
      <c r="AT18" s="203"/>
      <c r="AU18" s="203"/>
      <c r="AV18" s="203"/>
      <c r="AW18" s="203"/>
      <c r="AX18" s="203"/>
      <c r="AY18" s="203"/>
      <c r="AZ18" s="201"/>
    </row>
    <row r="19" spans="1:52" s="122" customFormat="1" ht="20.100000000000001" customHeight="1" x14ac:dyDescent="0.2">
      <c r="A19" s="305">
        <v>2</v>
      </c>
      <c r="B19" s="307" t="s">
        <v>305</v>
      </c>
      <c r="C19" s="309">
        <v>2224</v>
      </c>
      <c r="D19" s="309" t="s">
        <v>65</v>
      </c>
      <c r="E19" s="191" t="s">
        <v>142</v>
      </c>
      <c r="F19" s="191" t="s">
        <v>142</v>
      </c>
      <c r="G19" s="191" t="s">
        <v>51</v>
      </c>
      <c r="H19" s="191" t="s">
        <v>4</v>
      </c>
      <c r="I19" s="191" t="s">
        <v>4</v>
      </c>
      <c r="J19" s="191" t="s">
        <v>4</v>
      </c>
      <c r="K19" s="191" t="s">
        <v>4</v>
      </c>
      <c r="L19" s="191" t="s">
        <v>142</v>
      </c>
      <c r="M19" s="191" t="s">
        <v>142</v>
      </c>
      <c r="N19" s="191" t="s">
        <v>4</v>
      </c>
      <c r="O19" s="191" t="s">
        <v>4</v>
      </c>
      <c r="P19" s="191" t="s">
        <v>4</v>
      </c>
      <c r="Q19" s="191" t="s">
        <v>4</v>
      </c>
      <c r="R19" s="191" t="s">
        <v>4</v>
      </c>
      <c r="S19" s="191" t="s">
        <v>142</v>
      </c>
      <c r="T19" s="191" t="s">
        <v>142</v>
      </c>
      <c r="U19" s="191" t="s">
        <v>4</v>
      </c>
      <c r="V19" s="191" t="s">
        <v>4</v>
      </c>
      <c r="W19" s="191" t="s">
        <v>4</v>
      </c>
      <c r="X19" s="191" t="s">
        <v>4</v>
      </c>
      <c r="Y19" s="191" t="s">
        <v>4</v>
      </c>
      <c r="Z19" s="191" t="s">
        <v>142</v>
      </c>
      <c r="AA19" s="191" t="s">
        <v>142</v>
      </c>
      <c r="AB19" s="191" t="s">
        <v>4</v>
      </c>
      <c r="AC19" s="191" t="s">
        <v>4</v>
      </c>
      <c r="AD19" s="191" t="s">
        <v>4</v>
      </c>
      <c r="AE19" s="191" t="s">
        <v>4</v>
      </c>
      <c r="AF19" s="191" t="s">
        <v>4</v>
      </c>
      <c r="AG19" s="191" t="s">
        <v>142</v>
      </c>
      <c r="AH19" s="191" t="s">
        <v>142</v>
      </c>
      <c r="AI19" s="191" t="s">
        <v>4</v>
      </c>
      <c r="AJ19" s="213">
        <f>IFERROR(COUNTIF(E19:AI19,"=Р")+COUNTIF(E19:AI19,"=Р1")+COUNTIF(E19:AI19,"=ВЧ")+COUNTIF(E19:AI19,"=РН")+COUNTIF(E19:AI19,"=Р2")+COUNTIF(E19:AI19,"=Р1/РВ")+COUNTIF(E19:AI19,"=Р2/РВ")+COUNTIF(E19:AI19,"=ВЧ/РВ")+COUNTIF(E19:AI19,"=РН/РВ"),0)</f>
        <v>20</v>
      </c>
      <c r="AK19" s="202">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159.79999999999998</v>
      </c>
      <c r="AL19" s="202">
        <f>IFERROR(SUMIF(E19:AI19,"=НУ",E20:AI20),0)</f>
        <v>0</v>
      </c>
      <c r="AM19" s="202">
        <f>IFERROR(SUMIF(E19:AI19,"=РН",E20:AI20)+SUMIF(E19:AI19,"=РН/РВ",E20:AI20)+SUMIFS(E20:AI20,E19:AI19,"=Р2",E20:AI20,"=8"),0)</f>
        <v>0</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0</v>
      </c>
      <c r="AO19" s="202">
        <f>IFERROR(SUMIF(E19:AI19,"=РВ",E20:AI20)+SUMIF(E19:AI19,"=ВЧ/РВ",E20:AI20)+SUMIF(E19:AI19,"=РН/РВ",E20:AI20)+SUMIF(E19:AI19,"=Р1/РВ",E20:AI20)+SUMIF(E19:AI19,"=ВЧ2/РВ",E20:AI20)+SUMIF(E19:AI19,"=Р2/РВ",E20:AI20),0)</f>
        <v>0</v>
      </c>
      <c r="AP19" s="202">
        <f>IFERROR(COUNTIF(E19:AI19,"=ВВ")+COUNTIF(E19:AI19,"=Р1/ВВ")+COUNTIF(E19:AI19,"=РН/ВВ")+COUNTIF(E19:AI19,"=ВЧ/ВВ"),0)</f>
        <v>10</v>
      </c>
      <c r="AQ19" s="202">
        <f>SUM(AR19:AZ19)</f>
        <v>8.1999999999999993</v>
      </c>
      <c r="AR19" s="202">
        <f>IFERROR(SUMIF(E19:AI19,"=В",E20:AI20)+SUMIF(E19:AI19,"=Ч",E20:AI20)+SUMIF(E19:AI19,"=ВБ",E20:AI20),0)</f>
        <v>0</v>
      </c>
      <c r="AS19" s="202">
        <f>IFERROR(SUMIF(E19:AI19,"=Н",E20:AI20),0)</f>
        <v>0</v>
      </c>
      <c r="AT19" s="202">
        <f>IFERROR(SUMIF(E19:AI19,"=НА",E20:AI20),0)</f>
        <v>8.1999999999999993</v>
      </c>
      <c r="AU19" s="202">
        <f>IFERROR(SUMIF(E19:AI19,"=ВП",E20:AI20),0)</f>
        <v>0</v>
      </c>
      <c r="AV19" s="202">
        <f>IFERROR(SUMIF(E19:AI19,"=ДД",E20:AI20),0)</f>
        <v>0</v>
      </c>
      <c r="AW19" s="202">
        <f>IFERROR(SUMIF(E19:AI19,"=ДО",E20:AI20),0)</f>
        <v>0</v>
      </c>
      <c r="AX19" s="202">
        <f>IFERROR(SUMIF(E19:AI19,"=ТН",E20:AI20),0)</f>
        <v>0</v>
      </c>
      <c r="AY19" s="202">
        <f>IFERROR(SUMIF(E19:AI19,"=ВД",E20:AI20),0)</f>
        <v>0</v>
      </c>
      <c r="AZ19" s="200">
        <f>IFERROR(SUMIF(E19:AI19,"=ІН",E20:AI20),0)+SUMIF(E19:AI19,"=НЗ",E20:AI20)</f>
        <v>0</v>
      </c>
    </row>
    <row r="20" spans="1:52" s="122" customFormat="1" ht="20.100000000000001" customHeight="1" thickBot="1" x14ac:dyDescent="0.25">
      <c r="A20" s="306"/>
      <c r="B20" s="308"/>
      <c r="C20" s="304"/>
      <c r="D20" s="304"/>
      <c r="E20" s="192"/>
      <c r="F20" s="192"/>
      <c r="G20" s="192">
        <v>8.1999999999999993</v>
      </c>
      <c r="H20" s="192">
        <v>8.1999999999999993</v>
      </c>
      <c r="I20" s="192">
        <v>8.1999999999999993</v>
      </c>
      <c r="J20" s="192">
        <v>8.1999999999999993</v>
      </c>
      <c r="K20" s="192">
        <v>7</v>
      </c>
      <c r="L20" s="192"/>
      <c r="M20" s="192"/>
      <c r="N20" s="192">
        <v>8.1999999999999993</v>
      </c>
      <c r="O20" s="192">
        <v>8.1999999999999993</v>
      </c>
      <c r="P20" s="192">
        <v>8.1999999999999993</v>
      </c>
      <c r="Q20" s="192">
        <v>8.1999999999999993</v>
      </c>
      <c r="R20" s="192">
        <v>7.2</v>
      </c>
      <c r="S20" s="192"/>
      <c r="T20" s="192"/>
      <c r="U20" s="192">
        <v>8.1999999999999993</v>
      </c>
      <c r="V20" s="192">
        <v>8.1999999999999993</v>
      </c>
      <c r="W20" s="192">
        <v>8.1999999999999993</v>
      </c>
      <c r="X20" s="192">
        <v>8.1999999999999993</v>
      </c>
      <c r="Y20" s="192">
        <v>7.2</v>
      </c>
      <c r="Z20" s="192"/>
      <c r="AA20" s="192"/>
      <c r="AB20" s="192">
        <v>8.1999999999999993</v>
      </c>
      <c r="AC20" s="192">
        <v>8.1999999999999993</v>
      </c>
      <c r="AD20" s="192">
        <v>8.1999999999999993</v>
      </c>
      <c r="AE20" s="192">
        <v>8.1999999999999993</v>
      </c>
      <c r="AF20" s="192">
        <v>7.2</v>
      </c>
      <c r="AG20" s="192"/>
      <c r="AH20" s="192"/>
      <c r="AI20" s="192">
        <v>8.1999999999999993</v>
      </c>
      <c r="AJ20" s="214"/>
      <c r="AK20" s="203"/>
      <c r="AL20" s="203"/>
      <c r="AM20" s="203"/>
      <c r="AN20" s="212"/>
      <c r="AO20" s="203"/>
      <c r="AP20" s="203"/>
      <c r="AQ20" s="203"/>
      <c r="AR20" s="203"/>
      <c r="AS20" s="203"/>
      <c r="AT20" s="203"/>
      <c r="AU20" s="203"/>
      <c r="AV20" s="203"/>
      <c r="AW20" s="203"/>
      <c r="AX20" s="203"/>
      <c r="AY20" s="203"/>
      <c r="AZ20" s="201"/>
    </row>
    <row r="21" spans="1:52" ht="20.100000000000001" customHeight="1" x14ac:dyDescent="0.2">
      <c r="A21" s="305">
        <v>3</v>
      </c>
      <c r="B21" s="228" t="s">
        <v>85</v>
      </c>
      <c r="C21" s="279">
        <v>1733</v>
      </c>
      <c r="D21" s="279" t="s">
        <v>65</v>
      </c>
      <c r="E21" s="191" t="s">
        <v>68</v>
      </c>
      <c r="F21" s="191" t="s">
        <v>68</v>
      </c>
      <c r="G21" s="191" t="s">
        <v>68</v>
      </c>
      <c r="H21" s="191" t="s">
        <v>68</v>
      </c>
      <c r="I21" s="191" t="s">
        <v>68</v>
      </c>
      <c r="J21" s="191" t="s">
        <v>68</v>
      </c>
      <c r="K21" s="191" t="s">
        <v>68</v>
      </c>
      <c r="L21" s="191" t="s">
        <v>68</v>
      </c>
      <c r="M21" s="191" t="s">
        <v>68</v>
      </c>
      <c r="N21" s="191" t="s">
        <v>68</v>
      </c>
      <c r="O21" s="191" t="s">
        <v>68</v>
      </c>
      <c r="P21" s="191" t="s">
        <v>68</v>
      </c>
      <c r="Q21" s="191" t="s">
        <v>68</v>
      </c>
      <c r="R21" s="191" t="s">
        <v>68</v>
      </c>
      <c r="S21" s="191" t="s">
        <v>68</v>
      </c>
      <c r="T21" s="191" t="s">
        <v>68</v>
      </c>
      <c r="U21" s="191" t="s">
        <v>68</v>
      </c>
      <c r="V21" s="191" t="s">
        <v>68</v>
      </c>
      <c r="W21" s="191" t="s">
        <v>3</v>
      </c>
      <c r="X21" s="191" t="s">
        <v>3</v>
      </c>
      <c r="Y21" s="191" t="s">
        <v>3</v>
      </c>
      <c r="Z21" s="191" t="s">
        <v>3</v>
      </c>
      <c r="AA21" s="191" t="s">
        <v>3</v>
      </c>
      <c r="AB21" s="191" t="s">
        <v>3</v>
      </c>
      <c r="AC21" s="191" t="s">
        <v>3</v>
      </c>
      <c r="AD21" s="191" t="s">
        <v>3</v>
      </c>
      <c r="AE21" s="191" t="s">
        <v>3</v>
      </c>
      <c r="AF21" s="191" t="s">
        <v>3</v>
      </c>
      <c r="AG21" s="191" t="s">
        <v>3</v>
      </c>
      <c r="AH21" s="191" t="s">
        <v>3</v>
      </c>
      <c r="AI21" s="191" t="s">
        <v>3</v>
      </c>
      <c r="AJ21" s="213">
        <f>IFERROR(COUNTIF(E21:AI21,"=Р")+COUNTIF(E21:AI21,"=Р1")+COUNTIF(E21:AI21,"=ВЧ")+COUNTIF(E21:AI21,"=РН")+COUNTIF(E21:AI21,"=Р2")+COUNTIF(E21:AI21,"=Р1/РВ")+COUNTIF(E21:AI21,"=Р2/РВ")+COUNTIF(E21:AI21,"=ВЧ/РВ")+COUNTIF(E21:AI21,"=РН/РВ"),0)</f>
        <v>0</v>
      </c>
      <c r="AK21" s="202">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0</v>
      </c>
      <c r="AL21" s="202">
        <f>IFERROR(SUMIF(E21:AI21,"=НУ",E22:AI22),0)</f>
        <v>0</v>
      </c>
      <c r="AM21" s="202">
        <f>IFERROR(SUMIF(E21:AI21,"=РН",E22:AI22)+SUMIF(E21:AI21,"=РН/РВ",E22:AI22)+SUMIFS(E22:AI22,E21:AI21,"=Р2",E22:AI22,"=8"),0)</f>
        <v>0</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0</v>
      </c>
      <c r="AO21" s="202">
        <f>IFERROR(SUMIF(E21:AI21,"=РВ",E22:AI22)+SUMIF(E21:AI21,"=ВЧ/РВ",E22:AI22)+SUMIF(E21:AI21,"=РН/РВ",E22:AI22)+SUMIF(E21:AI21,"=Р1/РВ",E22:AI22)+SUMIF(E21:AI21,"=ВЧ2/РВ",E22:AI22)+SUMIF(E21:AI21,"=Р2/РВ",E22:AI22),0)</f>
        <v>0</v>
      </c>
      <c r="AP21" s="202">
        <f>IFERROR(COUNTIF(E21:AI21,"=ВВ")+COUNTIF(E21:AI21,"=Р1/ВВ")+COUNTIF(E21:AI21,"=РН/ВВ")+COUNTIF(E21:AI21,"=ВЧ/ВВ"),0)</f>
        <v>0</v>
      </c>
      <c r="AQ21" s="202">
        <f>SUM(AR21:AZ21)</f>
        <v>168.00000000000003</v>
      </c>
      <c r="AR21" s="202">
        <f>IFERROR(SUMIF(E21:AI21,"=В",E22:AI22)+SUMIF(E21:AI21,"=Ч",E22:AI22)+SUMIF(E21:AI21,"=ВБ",E22:AI22),0)</f>
        <v>71.800000000000011</v>
      </c>
      <c r="AS21" s="202">
        <f>IFERROR(SUMIF(E21:AI21,"=Н",E22:AI22),0)</f>
        <v>0</v>
      </c>
      <c r="AT21" s="202">
        <f>IFERROR(SUMIF(E21:AI21,"=НА",E22:AI22),0)</f>
        <v>0</v>
      </c>
      <c r="AU21" s="202">
        <f>IFERROR(SUMIF(E21:AI21,"=ВП",E22:AI22),0)</f>
        <v>0</v>
      </c>
      <c r="AV21" s="202">
        <f>IFERROR(SUMIF(E21:AI21,"=ДД",E22:AI22),0)</f>
        <v>0</v>
      </c>
      <c r="AW21" s="202">
        <f>IFERROR(SUMIF(E21:AI21,"=ДО",E22:AI22),0)</f>
        <v>0</v>
      </c>
      <c r="AX21" s="202">
        <f>IFERROR(SUMIF(E21:AI21,"=ТН",E22:AI22),0)</f>
        <v>0</v>
      </c>
      <c r="AY21" s="202">
        <f>IFERROR(SUMIF(E21:AI21,"=ВД",E22:AI22),0)</f>
        <v>0</v>
      </c>
      <c r="AZ21" s="200">
        <f>IFERROR(SUMIF(E21:AI21,"=ІН",E22:AI22),0)+SUMIF(E21:AI21,"=НЗ",E22:AI22)</f>
        <v>96.200000000000017</v>
      </c>
    </row>
    <row r="22" spans="1:52" ht="20.100000000000001" customHeight="1" thickBot="1" x14ac:dyDescent="0.25">
      <c r="A22" s="306"/>
      <c r="B22" s="229"/>
      <c r="C22" s="280"/>
      <c r="D22" s="280"/>
      <c r="E22" s="192"/>
      <c r="F22" s="192"/>
      <c r="G22" s="192">
        <v>8.1999999999999993</v>
      </c>
      <c r="H22" s="192">
        <v>8.1999999999999993</v>
      </c>
      <c r="I22" s="192">
        <v>8.1999999999999993</v>
      </c>
      <c r="J22" s="192">
        <v>8.1999999999999993</v>
      </c>
      <c r="K22" s="192">
        <v>7</v>
      </c>
      <c r="L22" s="192"/>
      <c r="M22" s="192"/>
      <c r="N22" s="192">
        <v>8.1999999999999993</v>
      </c>
      <c r="O22" s="192">
        <v>8.1999999999999993</v>
      </c>
      <c r="P22" s="192">
        <v>8.1999999999999993</v>
      </c>
      <c r="Q22" s="192">
        <v>8.1999999999999993</v>
      </c>
      <c r="R22" s="192">
        <v>7.2</v>
      </c>
      <c r="S22" s="192"/>
      <c r="T22" s="192"/>
      <c r="U22" s="192">
        <v>8.1999999999999993</v>
      </c>
      <c r="V22" s="192">
        <v>8.1999999999999993</v>
      </c>
      <c r="W22" s="192">
        <v>8.1999999999999993</v>
      </c>
      <c r="X22" s="192">
        <v>8.1999999999999993</v>
      </c>
      <c r="Y22" s="192">
        <v>7.2</v>
      </c>
      <c r="Z22" s="192"/>
      <c r="AA22" s="192"/>
      <c r="AB22" s="192">
        <v>8.1999999999999993</v>
      </c>
      <c r="AC22" s="192">
        <v>8.1999999999999993</v>
      </c>
      <c r="AD22" s="192">
        <v>8.1999999999999993</v>
      </c>
      <c r="AE22" s="192">
        <v>8.1999999999999993</v>
      </c>
      <c r="AF22" s="192">
        <v>7.2</v>
      </c>
      <c r="AG22" s="192"/>
      <c r="AH22" s="192"/>
      <c r="AI22" s="192">
        <v>8.1999999999999993</v>
      </c>
      <c r="AJ22" s="214"/>
      <c r="AK22" s="203"/>
      <c r="AL22" s="203"/>
      <c r="AM22" s="203"/>
      <c r="AN22" s="212"/>
      <c r="AO22" s="203"/>
      <c r="AP22" s="203"/>
      <c r="AQ22" s="203"/>
      <c r="AR22" s="203"/>
      <c r="AS22" s="203"/>
      <c r="AT22" s="203"/>
      <c r="AU22" s="203"/>
      <c r="AV22" s="203"/>
      <c r="AW22" s="203"/>
      <c r="AX22" s="203"/>
      <c r="AY22" s="203"/>
      <c r="AZ22" s="201"/>
    </row>
    <row r="23" spans="1:52" ht="20.100000000000001" customHeight="1" x14ac:dyDescent="0.2">
      <c r="A23" s="305">
        <v>4</v>
      </c>
      <c r="B23" s="228" t="s">
        <v>84</v>
      </c>
      <c r="C23" s="279">
        <v>1738</v>
      </c>
      <c r="D23" s="279" t="s">
        <v>65</v>
      </c>
      <c r="E23" s="191" t="s">
        <v>142</v>
      </c>
      <c r="F23" s="191" t="s">
        <v>142</v>
      </c>
      <c r="G23" s="191" t="s">
        <v>4</v>
      </c>
      <c r="H23" s="191" t="s">
        <v>4</v>
      </c>
      <c r="I23" s="191" t="s">
        <v>4</v>
      </c>
      <c r="J23" s="191" t="s">
        <v>4</v>
      </c>
      <c r="K23" s="191" t="s">
        <v>4</v>
      </c>
      <c r="L23" s="191" t="s">
        <v>142</v>
      </c>
      <c r="M23" s="191" t="s">
        <v>142</v>
      </c>
      <c r="N23" s="191" t="s">
        <v>4</v>
      </c>
      <c r="O23" s="191" t="s">
        <v>4</v>
      </c>
      <c r="P23" s="191" t="s">
        <v>4</v>
      </c>
      <c r="Q23" s="191" t="s">
        <v>52</v>
      </c>
      <c r="R23" s="191" t="s">
        <v>52</v>
      </c>
      <c r="S23" s="191" t="s">
        <v>52</v>
      </c>
      <c r="T23" s="191" t="s">
        <v>52</v>
      </c>
      <c r="U23" s="191" t="s">
        <v>52</v>
      </c>
      <c r="V23" s="191" t="s">
        <v>52</v>
      </c>
      <c r="W23" s="191" t="s">
        <v>52</v>
      </c>
      <c r="X23" s="191" t="s">
        <v>52</v>
      </c>
      <c r="Y23" s="191" t="s">
        <v>52</v>
      </c>
      <c r="Z23" s="191" t="s">
        <v>52</v>
      </c>
      <c r="AA23" s="191" t="s">
        <v>52</v>
      </c>
      <c r="AB23" s="191" t="s">
        <v>52</v>
      </c>
      <c r="AC23" s="191" t="s">
        <v>4</v>
      </c>
      <c r="AD23" s="191" t="s">
        <v>4</v>
      </c>
      <c r="AE23" s="191" t="s">
        <v>4</v>
      </c>
      <c r="AF23" s="191" t="s">
        <v>4</v>
      </c>
      <c r="AG23" s="191" t="s">
        <v>142</v>
      </c>
      <c r="AH23" s="191" t="s">
        <v>142</v>
      </c>
      <c r="AI23" s="191" t="s">
        <v>4</v>
      </c>
      <c r="AJ23" s="213">
        <f>IFERROR(COUNTIF(E23:AI23,"=Р")+COUNTIF(E23:AI23,"=Р1")+COUNTIF(E23:AI23,"=ВЧ")+COUNTIF(E23:AI23,"=РН")+COUNTIF(E23:AI23,"=Р2")+COUNTIF(E23:AI23,"=Р1/РВ")+COUNTIF(E23:AI23,"=Р2/РВ")+COUNTIF(E23:AI23,"=ВЧ/РВ")+COUNTIF(E23:AI23,"=РН/РВ"),0)</f>
        <v>13</v>
      </c>
      <c r="AK23" s="202">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104.40000000000002</v>
      </c>
      <c r="AL23" s="202">
        <f>IFERROR(SUMIF(E23:AI23,"=НУ",E24:AI24),0)</f>
        <v>0</v>
      </c>
      <c r="AM23" s="202">
        <f>IFERROR(SUMIF(E23:AI23,"=РН",E24:AI24)+SUMIF(E23:AI23,"=РН/РВ",E24:AI24)+SUMIFS(E24:AI24,E23:AI23,"=Р2",E24:AI24,"=8"),0)</f>
        <v>0</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0</v>
      </c>
      <c r="AO23" s="202">
        <f>IFERROR(SUMIF(E23:AI23,"=РВ",E24:AI24)+SUMIF(E23:AI23,"=ВЧ/РВ",E24:AI24)+SUMIF(E23:AI23,"=РН/РВ",E24:AI24)+SUMIF(E23:AI23,"=Р1/РВ",E24:AI24)+SUMIF(E23:AI23,"=ВЧ2/РВ",E24:AI24)+SUMIF(E23:AI23,"=Р2/РВ",E24:AI24),0)</f>
        <v>0</v>
      </c>
      <c r="AP23" s="202">
        <f>IFERROR(COUNTIF(E23:AI23,"=ВВ")+COUNTIF(E23:AI23,"=Р1/ВВ")+COUNTIF(E23:AI23,"=РН/ВВ")+COUNTIF(E23:AI23,"=ВЧ/ВВ"),0)</f>
        <v>6</v>
      </c>
      <c r="AQ23" s="202">
        <f>SUM(AR23:AZ23)</f>
        <v>63.600000000000009</v>
      </c>
      <c r="AR23" s="202">
        <f>IFERROR(SUMIF(E23:AI23,"=В",E24:AI24)+SUMIF(E23:AI23,"=Ч",E24:AI24)+SUMIF(E23:AI23,"=ВБ",E24:AI24),0)</f>
        <v>0</v>
      </c>
      <c r="AS23" s="202">
        <f>IFERROR(SUMIF(E23:AI23,"=Н",E24:AI24),0)</f>
        <v>0</v>
      </c>
      <c r="AT23" s="202">
        <f>IFERROR(SUMIF(E23:AI23,"=НА",E24:AI24),0)</f>
        <v>0</v>
      </c>
      <c r="AU23" s="202">
        <f>IFERROR(SUMIF(E23:AI23,"=ВП",E24:AI24),0)</f>
        <v>0</v>
      </c>
      <c r="AV23" s="202">
        <f>IFERROR(SUMIF(E23:AI23,"=ДД",E24:AI24),0)</f>
        <v>0</v>
      </c>
      <c r="AW23" s="202">
        <f>IFERROR(SUMIF(E23:AI23,"=ДО",E24:AI24),0)</f>
        <v>0</v>
      </c>
      <c r="AX23" s="202">
        <f>IFERROR(SUMIF(E23:AI23,"=ТН",E24:AI24),0)</f>
        <v>63.600000000000009</v>
      </c>
      <c r="AY23" s="202">
        <f>IFERROR(SUMIF(E23:AI23,"=ВД",E24:AI24),0)</f>
        <v>0</v>
      </c>
      <c r="AZ23" s="200">
        <f>IFERROR(SUMIF(E23:AI23,"=ІН",E24:AI24),0)+SUMIF(E23:AI23,"=НЗ",E24:AI24)</f>
        <v>0</v>
      </c>
    </row>
    <row r="24" spans="1:52" ht="20.100000000000001" customHeight="1" thickBot="1" x14ac:dyDescent="0.25">
      <c r="A24" s="306"/>
      <c r="B24" s="229"/>
      <c r="C24" s="280"/>
      <c r="D24" s="280"/>
      <c r="E24" s="192"/>
      <c r="F24" s="192"/>
      <c r="G24" s="192">
        <v>8.1999999999999993</v>
      </c>
      <c r="H24" s="192">
        <v>8.1999999999999993</v>
      </c>
      <c r="I24" s="192">
        <v>8.1999999999999993</v>
      </c>
      <c r="J24" s="192">
        <v>8.1999999999999993</v>
      </c>
      <c r="K24" s="192">
        <v>7</v>
      </c>
      <c r="L24" s="192"/>
      <c r="M24" s="192"/>
      <c r="N24" s="192">
        <v>8.1999999999999993</v>
      </c>
      <c r="O24" s="192">
        <v>8.1999999999999993</v>
      </c>
      <c r="P24" s="192">
        <v>8.1999999999999993</v>
      </c>
      <c r="Q24" s="192">
        <v>8.1999999999999993</v>
      </c>
      <c r="R24" s="192">
        <v>7.2</v>
      </c>
      <c r="S24" s="192"/>
      <c r="T24" s="192"/>
      <c r="U24" s="192">
        <v>8.1999999999999993</v>
      </c>
      <c r="V24" s="192">
        <v>8.1999999999999993</v>
      </c>
      <c r="W24" s="192">
        <v>8.1999999999999993</v>
      </c>
      <c r="X24" s="192">
        <v>8.1999999999999993</v>
      </c>
      <c r="Y24" s="192">
        <v>7.2</v>
      </c>
      <c r="Z24" s="192"/>
      <c r="AA24" s="192"/>
      <c r="AB24" s="192">
        <v>8.1999999999999993</v>
      </c>
      <c r="AC24" s="192">
        <v>8.1999999999999993</v>
      </c>
      <c r="AD24" s="192">
        <v>8.1999999999999993</v>
      </c>
      <c r="AE24" s="192">
        <v>8.1999999999999993</v>
      </c>
      <c r="AF24" s="192">
        <v>7.2</v>
      </c>
      <c r="AG24" s="192"/>
      <c r="AH24" s="192"/>
      <c r="AI24" s="192">
        <v>8.1999999999999993</v>
      </c>
      <c r="AJ24" s="214"/>
      <c r="AK24" s="203"/>
      <c r="AL24" s="203"/>
      <c r="AM24" s="203"/>
      <c r="AN24" s="212"/>
      <c r="AO24" s="203"/>
      <c r="AP24" s="203"/>
      <c r="AQ24" s="203"/>
      <c r="AR24" s="203"/>
      <c r="AS24" s="203"/>
      <c r="AT24" s="203"/>
      <c r="AU24" s="203"/>
      <c r="AV24" s="203"/>
      <c r="AW24" s="203"/>
      <c r="AX24" s="203"/>
      <c r="AY24" s="203"/>
      <c r="AZ24" s="201"/>
    </row>
    <row r="25" spans="1:52" ht="20.100000000000001" customHeight="1" x14ac:dyDescent="0.2">
      <c r="A25" s="305">
        <v>5</v>
      </c>
      <c r="B25" s="228" t="s">
        <v>203</v>
      </c>
      <c r="C25" s="279">
        <v>1859</v>
      </c>
      <c r="D25" s="279" t="s">
        <v>65</v>
      </c>
      <c r="E25" s="191" t="s">
        <v>142</v>
      </c>
      <c r="F25" s="191" t="s">
        <v>142</v>
      </c>
      <c r="G25" s="191" t="s">
        <v>4</v>
      </c>
      <c r="H25" s="191" t="s">
        <v>4</v>
      </c>
      <c r="I25" s="191" t="s">
        <v>4</v>
      </c>
      <c r="J25" s="191" t="s">
        <v>4</v>
      </c>
      <c r="K25" s="191" t="s">
        <v>4</v>
      </c>
      <c r="L25" s="191" t="s">
        <v>142</v>
      </c>
      <c r="M25" s="191" t="s">
        <v>142</v>
      </c>
      <c r="N25" s="191" t="s">
        <v>4</v>
      </c>
      <c r="O25" s="191" t="s">
        <v>4</v>
      </c>
      <c r="P25" s="191" t="s">
        <v>52</v>
      </c>
      <c r="Q25" s="191" t="s">
        <v>52</v>
      </c>
      <c r="R25" s="191" t="s">
        <v>52</v>
      </c>
      <c r="S25" s="191" t="s">
        <v>52</v>
      </c>
      <c r="T25" s="191" t="s">
        <v>52</v>
      </c>
      <c r="U25" s="191" t="s">
        <v>52</v>
      </c>
      <c r="V25" s="191" t="s">
        <v>52</v>
      </c>
      <c r="W25" s="191" t="s">
        <v>52</v>
      </c>
      <c r="X25" s="191" t="s">
        <v>52</v>
      </c>
      <c r="Y25" s="191" t="s">
        <v>52</v>
      </c>
      <c r="Z25" s="191" t="s">
        <v>142</v>
      </c>
      <c r="AA25" s="191" t="s">
        <v>142</v>
      </c>
      <c r="AB25" s="191" t="s">
        <v>4</v>
      </c>
      <c r="AC25" s="191" t="s">
        <v>4</v>
      </c>
      <c r="AD25" s="191" t="s">
        <v>4</v>
      </c>
      <c r="AE25" s="191" t="s">
        <v>4</v>
      </c>
      <c r="AF25" s="191" t="s">
        <v>4</v>
      </c>
      <c r="AG25" s="191" t="s">
        <v>142</v>
      </c>
      <c r="AH25" s="191" t="s">
        <v>142</v>
      </c>
      <c r="AI25" s="191" t="s">
        <v>4</v>
      </c>
      <c r="AJ25" s="213">
        <f>IFERROR(COUNTIF(E25:AI25,"=Р")+COUNTIF(E25:AI25,"=Р1")+COUNTIF(E25:AI25,"=ВЧ")+COUNTIF(E25:AI25,"=РН")+COUNTIF(E25:AI25,"=Р2")+COUNTIF(E25:AI25,"=Р1/РВ")+COUNTIF(E25:AI25,"=Р2/РВ")+COUNTIF(E25:AI25,"=ВЧ/РВ")+COUNTIF(E25:AI25,"=РН/РВ"),0)</f>
        <v>13</v>
      </c>
      <c r="AK25" s="202">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104.40000000000002</v>
      </c>
      <c r="AL25" s="202">
        <f>IFERROR(SUMIF(E25:AI25,"=НУ",E26:AI26),0)</f>
        <v>0</v>
      </c>
      <c r="AM25" s="202">
        <f>IFERROR(SUMIF(E25:AI25,"=РН",E26:AI26)+SUMIF(E25:AI25,"=РН/РВ",E26:AI26)+SUMIFS(E26:AI26,E25:AI25,"=Р2",E26:AI26,"=8"),0)</f>
        <v>0</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0</v>
      </c>
      <c r="AO25" s="202">
        <f>IFERROR(SUMIF(E25:AI25,"=РВ",E26:AI26)+SUMIF(E25:AI25,"=ВЧ/РВ",E26:AI26)+SUMIF(E25:AI25,"=РН/РВ",E26:AI26)+SUMIF(E25:AI25,"=Р1/РВ",E26:AI26)+SUMIF(E25:AI25,"=ВЧ2/РВ",E26:AI26)+SUMIF(E25:AI25,"=Р2/РВ",E26:AI26),0)</f>
        <v>0</v>
      </c>
      <c r="AP25" s="202">
        <f>IFERROR(COUNTIF(E25:AI25,"=ВВ")+COUNTIF(E25:AI25,"=Р1/ВВ")+COUNTIF(E25:AI25,"=РН/ВВ")+COUNTIF(E25:AI25,"=ВЧ/ВВ"),0)</f>
        <v>8</v>
      </c>
      <c r="AQ25" s="202">
        <f>SUM(AR25:AZ25)</f>
        <v>63.600000000000009</v>
      </c>
      <c r="AR25" s="202">
        <f>IFERROR(SUMIF(E25:AI25,"=В",E26:AI26)+SUMIF(E25:AI25,"=Ч",E26:AI26)+SUMIF(E25:AI25,"=ВБ",E26:AI26),0)</f>
        <v>0</v>
      </c>
      <c r="AS25" s="202">
        <f>IFERROR(SUMIF(E25:AI25,"=Н",E26:AI26),0)</f>
        <v>0</v>
      </c>
      <c r="AT25" s="202">
        <f>IFERROR(SUMIF(E25:AI25,"=НА",E26:AI26),0)</f>
        <v>0</v>
      </c>
      <c r="AU25" s="202">
        <f>IFERROR(SUMIF(E25:AI25,"=ВП",E26:AI26),0)</f>
        <v>0</v>
      </c>
      <c r="AV25" s="202">
        <f>IFERROR(SUMIF(E25:AI25,"=ДД",E26:AI26),0)</f>
        <v>0</v>
      </c>
      <c r="AW25" s="202">
        <f>IFERROR(SUMIF(E25:AI25,"=ДО",E26:AI26),0)</f>
        <v>0</v>
      </c>
      <c r="AX25" s="202">
        <f>IFERROR(SUMIF(E25:AI25,"=ТН",E26:AI26),0)</f>
        <v>63.600000000000009</v>
      </c>
      <c r="AY25" s="202">
        <f>IFERROR(SUMIF(E25:AI25,"=ВД",E26:AI26),0)</f>
        <v>0</v>
      </c>
      <c r="AZ25" s="200">
        <f>IFERROR(SUMIF(E25:AI25,"=ІН",E26:AI26),0)+SUMIF(E25:AI25,"=НЗ",E26:AI26)</f>
        <v>0</v>
      </c>
    </row>
    <row r="26" spans="1:52" ht="20.100000000000001" customHeight="1" thickBot="1" x14ac:dyDescent="0.25">
      <c r="A26" s="306"/>
      <c r="B26" s="229"/>
      <c r="C26" s="280"/>
      <c r="D26" s="280"/>
      <c r="E26" s="192"/>
      <c r="F26" s="192"/>
      <c r="G26" s="192">
        <v>8.1999999999999993</v>
      </c>
      <c r="H26" s="192">
        <v>8.1999999999999993</v>
      </c>
      <c r="I26" s="192">
        <v>8.1999999999999993</v>
      </c>
      <c r="J26" s="192">
        <v>8.1999999999999993</v>
      </c>
      <c r="K26" s="192">
        <v>7</v>
      </c>
      <c r="L26" s="192"/>
      <c r="M26" s="192"/>
      <c r="N26" s="192">
        <v>8.1999999999999993</v>
      </c>
      <c r="O26" s="192">
        <v>8.1999999999999993</v>
      </c>
      <c r="P26" s="192">
        <v>8.1999999999999993</v>
      </c>
      <c r="Q26" s="192">
        <v>8.1999999999999993</v>
      </c>
      <c r="R26" s="192">
        <v>7.2</v>
      </c>
      <c r="S26" s="192"/>
      <c r="T26" s="192"/>
      <c r="U26" s="192">
        <v>8.1999999999999993</v>
      </c>
      <c r="V26" s="192">
        <v>8.1999999999999993</v>
      </c>
      <c r="W26" s="192">
        <v>8.1999999999999993</v>
      </c>
      <c r="X26" s="192">
        <v>8.1999999999999993</v>
      </c>
      <c r="Y26" s="192">
        <v>7.2</v>
      </c>
      <c r="Z26" s="192"/>
      <c r="AA26" s="192"/>
      <c r="AB26" s="192">
        <v>8.1999999999999993</v>
      </c>
      <c r="AC26" s="192">
        <v>8.1999999999999993</v>
      </c>
      <c r="AD26" s="192">
        <v>8.1999999999999993</v>
      </c>
      <c r="AE26" s="192">
        <v>8.1999999999999993</v>
      </c>
      <c r="AF26" s="192">
        <v>7.2</v>
      </c>
      <c r="AG26" s="192"/>
      <c r="AH26" s="192"/>
      <c r="AI26" s="192">
        <v>8.1999999999999993</v>
      </c>
      <c r="AJ26" s="214"/>
      <c r="AK26" s="203"/>
      <c r="AL26" s="203"/>
      <c r="AM26" s="203"/>
      <c r="AN26" s="212"/>
      <c r="AO26" s="203"/>
      <c r="AP26" s="203"/>
      <c r="AQ26" s="203"/>
      <c r="AR26" s="203"/>
      <c r="AS26" s="203"/>
      <c r="AT26" s="203"/>
      <c r="AU26" s="203"/>
      <c r="AV26" s="203"/>
      <c r="AW26" s="203"/>
      <c r="AX26" s="203"/>
      <c r="AY26" s="203"/>
      <c r="AZ26" s="201"/>
    </row>
    <row r="27" spans="1:52" s="107" customFormat="1" ht="20.100000000000001" customHeight="1" x14ac:dyDescent="0.2">
      <c r="A27" s="305">
        <v>6</v>
      </c>
      <c r="B27" s="228" t="s">
        <v>310</v>
      </c>
      <c r="C27" s="279">
        <v>1940</v>
      </c>
      <c r="D27" s="279" t="s">
        <v>65</v>
      </c>
      <c r="E27" s="191" t="s">
        <v>142</v>
      </c>
      <c r="F27" s="191" t="s">
        <v>142</v>
      </c>
      <c r="G27" s="191" t="s">
        <v>4</v>
      </c>
      <c r="H27" s="191" t="s">
        <v>4</v>
      </c>
      <c r="I27" s="191" t="s">
        <v>4</v>
      </c>
      <c r="J27" s="191" t="s">
        <v>4</v>
      </c>
      <c r="K27" s="191" t="s">
        <v>4</v>
      </c>
      <c r="L27" s="191" t="s">
        <v>142</v>
      </c>
      <c r="M27" s="191" t="s">
        <v>142</v>
      </c>
      <c r="N27" s="191" t="s">
        <v>4</v>
      </c>
      <c r="O27" s="191" t="s">
        <v>4</v>
      </c>
      <c r="P27" s="191" t="s">
        <v>4</v>
      </c>
      <c r="Q27" s="191" t="s">
        <v>4</v>
      </c>
      <c r="R27" s="191" t="s">
        <v>4</v>
      </c>
      <c r="S27" s="191" t="s">
        <v>142</v>
      </c>
      <c r="T27" s="191" t="s">
        <v>142</v>
      </c>
      <c r="U27" s="191" t="s">
        <v>4</v>
      </c>
      <c r="V27" s="191" t="s">
        <v>4</v>
      </c>
      <c r="W27" s="191" t="s">
        <v>4</v>
      </c>
      <c r="X27" s="191" t="s">
        <v>4</v>
      </c>
      <c r="Y27" s="191" t="s">
        <v>4</v>
      </c>
      <c r="Z27" s="191" t="s">
        <v>142</v>
      </c>
      <c r="AA27" s="191" t="s">
        <v>142</v>
      </c>
      <c r="AB27" s="191" t="s">
        <v>4</v>
      </c>
      <c r="AC27" s="191" t="s">
        <v>4</v>
      </c>
      <c r="AD27" s="191" t="s">
        <v>4</v>
      </c>
      <c r="AE27" s="191" t="s">
        <v>4</v>
      </c>
      <c r="AF27" s="191" t="s">
        <v>4</v>
      </c>
      <c r="AG27" s="191" t="s">
        <v>142</v>
      </c>
      <c r="AH27" s="191" t="s">
        <v>142</v>
      </c>
      <c r="AI27" s="191" t="s">
        <v>4</v>
      </c>
      <c r="AJ27" s="213">
        <f>IFERROR(COUNTIF(E27:AI27,"=Р")+COUNTIF(E27:AI27,"=Р1")+COUNTIF(E27:AI27,"=ВЧ")+COUNTIF(E27:AI27,"=РН")+COUNTIF(E27:AI27,"=Р2")+COUNTIF(E27:AI27,"=Р1/РВ")+COUNTIF(E27:AI27,"=Р2/РВ")+COUNTIF(E27:AI27,"=ВЧ/РВ")+COUNTIF(E27:AI27,"=РН/РВ"),0)</f>
        <v>21</v>
      </c>
      <c r="AK27" s="202">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167.99999999999997</v>
      </c>
      <c r="AL27" s="202">
        <f>IFERROR(SUMIF(E27:AI27,"=НУ",E28:AI28),0)</f>
        <v>0</v>
      </c>
      <c r="AM27" s="202">
        <f>IFERROR(SUMIF(E27:AI27,"=РН",E28:AI28)+SUMIF(E27:AI27,"=РН/РВ",E28:AI28)+SUMIFS(E28:AI28,E27:AI27,"=Р2",E28:AI28,"=8"),0)</f>
        <v>0</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0</v>
      </c>
      <c r="AO27" s="202">
        <f>IFERROR(SUMIF(E27:AI27,"=РВ",E28:AI28)+SUMIF(E27:AI27,"=ВЧ/РВ",E28:AI28)+SUMIF(E27:AI27,"=РН/РВ",E28:AI28)+SUMIF(E27:AI27,"=Р1/РВ",E28:AI28)+SUMIF(E27:AI27,"=ВЧ2/РВ",E28:AI28)+SUMIF(E27:AI27,"=Р2/РВ",E28:AI28),0)</f>
        <v>0</v>
      </c>
      <c r="AP27" s="202">
        <f>IFERROR(COUNTIF(E27:AI27,"=ВВ")+COUNTIF(E27:AI27,"=Р1/ВВ")+COUNTIF(E27:AI27,"=РН/ВВ")+COUNTIF(E27:AI27,"=ВЧ/ВВ"),0)</f>
        <v>10</v>
      </c>
      <c r="AQ27" s="202">
        <f>SUM(AR27:AZ27)</f>
        <v>0</v>
      </c>
      <c r="AR27" s="202">
        <f>IFERROR(SUMIF(E27:AI27,"=В",E28:AI28)+SUMIF(E27:AI27,"=Ч",E28:AI28)+SUMIF(E27:AI27,"=ВБ",E28:AI28),0)</f>
        <v>0</v>
      </c>
      <c r="AS27" s="202">
        <f>IFERROR(SUMIF(E27:AI27,"=Н",E28:AI28),0)</f>
        <v>0</v>
      </c>
      <c r="AT27" s="202">
        <f>IFERROR(SUMIF(E27:AI27,"=НА",E28:AI28),0)</f>
        <v>0</v>
      </c>
      <c r="AU27" s="202">
        <f>IFERROR(SUMIF(E27:AI27,"=ВП",E28:AI28),0)</f>
        <v>0</v>
      </c>
      <c r="AV27" s="202">
        <f>IFERROR(SUMIF(E27:AI27,"=ДД",E28:AI28),0)</f>
        <v>0</v>
      </c>
      <c r="AW27" s="202">
        <f>IFERROR(SUMIF(E27:AI27,"=ДО",E28:AI28),0)</f>
        <v>0</v>
      </c>
      <c r="AX27" s="202">
        <f>IFERROR(SUMIF(E27:AI27,"=ТН",E28:AI28),0)</f>
        <v>0</v>
      </c>
      <c r="AY27" s="202">
        <f>IFERROR(SUMIF(E27:AI27,"=ВД",E28:AI28),0)</f>
        <v>0</v>
      </c>
      <c r="AZ27" s="200">
        <f>IFERROR(SUMIF(E27:AI27,"=ІН",E28:AI28),0)+SUMIF(E27:AI27,"=НЗ",E28:AI28)</f>
        <v>0</v>
      </c>
    </row>
    <row r="28" spans="1:52" s="107" customFormat="1" ht="20.100000000000001" customHeight="1" thickBot="1" x14ac:dyDescent="0.25">
      <c r="A28" s="306"/>
      <c r="B28" s="229"/>
      <c r="C28" s="280"/>
      <c r="D28" s="280"/>
      <c r="E28" s="192"/>
      <c r="F28" s="192"/>
      <c r="G28" s="192">
        <v>8.1999999999999993</v>
      </c>
      <c r="H28" s="192">
        <v>8.1999999999999993</v>
      </c>
      <c r="I28" s="192">
        <v>8.1999999999999993</v>
      </c>
      <c r="J28" s="192">
        <v>8.1999999999999993</v>
      </c>
      <c r="K28" s="192">
        <v>7</v>
      </c>
      <c r="L28" s="192"/>
      <c r="M28" s="192"/>
      <c r="N28" s="192">
        <v>8.1999999999999993</v>
      </c>
      <c r="O28" s="192">
        <v>8.1999999999999993</v>
      </c>
      <c r="P28" s="192">
        <v>8.1999999999999993</v>
      </c>
      <c r="Q28" s="192">
        <v>8.1999999999999993</v>
      </c>
      <c r="R28" s="192">
        <v>7.2</v>
      </c>
      <c r="S28" s="192"/>
      <c r="T28" s="192"/>
      <c r="U28" s="192">
        <v>8.1999999999999993</v>
      </c>
      <c r="V28" s="192">
        <v>8.1999999999999993</v>
      </c>
      <c r="W28" s="192">
        <v>8.1999999999999993</v>
      </c>
      <c r="X28" s="192">
        <v>8.1999999999999993</v>
      </c>
      <c r="Y28" s="192">
        <v>7.2</v>
      </c>
      <c r="Z28" s="192"/>
      <c r="AA28" s="192"/>
      <c r="AB28" s="192">
        <v>8.1999999999999993</v>
      </c>
      <c r="AC28" s="192">
        <v>8.1999999999999993</v>
      </c>
      <c r="AD28" s="192">
        <v>8.1999999999999993</v>
      </c>
      <c r="AE28" s="192">
        <v>8.1999999999999993</v>
      </c>
      <c r="AF28" s="192">
        <v>7.2</v>
      </c>
      <c r="AG28" s="192"/>
      <c r="AH28" s="192"/>
      <c r="AI28" s="192">
        <v>8.1999999999999993</v>
      </c>
      <c r="AJ28" s="214"/>
      <c r="AK28" s="203"/>
      <c r="AL28" s="203"/>
      <c r="AM28" s="203"/>
      <c r="AN28" s="212"/>
      <c r="AO28" s="203"/>
      <c r="AP28" s="203"/>
      <c r="AQ28" s="203"/>
      <c r="AR28" s="203"/>
      <c r="AS28" s="203"/>
      <c r="AT28" s="203"/>
      <c r="AU28" s="203"/>
      <c r="AV28" s="203"/>
      <c r="AW28" s="203"/>
      <c r="AX28" s="203"/>
      <c r="AY28" s="203"/>
      <c r="AZ28" s="201"/>
    </row>
    <row r="29" spans="1:52" ht="20.100000000000001" customHeight="1" x14ac:dyDescent="0.2">
      <c r="A29" s="305">
        <v>7</v>
      </c>
      <c r="B29" s="228" t="s">
        <v>204</v>
      </c>
      <c r="C29" s="279">
        <v>2055</v>
      </c>
      <c r="D29" s="279" t="s">
        <v>65</v>
      </c>
      <c r="E29" s="191" t="s">
        <v>142</v>
      </c>
      <c r="F29" s="191" t="s">
        <v>142</v>
      </c>
      <c r="G29" s="191" t="s">
        <v>4</v>
      </c>
      <c r="H29" s="191" t="s">
        <v>4</v>
      </c>
      <c r="I29" s="191" t="s">
        <v>4</v>
      </c>
      <c r="J29" s="191" t="s">
        <v>4</v>
      </c>
      <c r="K29" s="191" t="s">
        <v>4</v>
      </c>
      <c r="L29" s="191" t="s">
        <v>142</v>
      </c>
      <c r="M29" s="191" t="s">
        <v>142</v>
      </c>
      <c r="N29" s="191" t="s">
        <v>4</v>
      </c>
      <c r="O29" s="191" t="s">
        <v>4</v>
      </c>
      <c r="P29" s="191" t="s">
        <v>4</v>
      </c>
      <c r="Q29" s="191" t="s">
        <v>52</v>
      </c>
      <c r="R29" s="191" t="s">
        <v>52</v>
      </c>
      <c r="S29" s="191" t="s">
        <v>52</v>
      </c>
      <c r="T29" s="191" t="s">
        <v>52</v>
      </c>
      <c r="U29" s="191" t="s">
        <v>52</v>
      </c>
      <c r="V29" s="191" t="s">
        <v>52</v>
      </c>
      <c r="W29" s="191" t="s">
        <v>52</v>
      </c>
      <c r="X29" s="191" t="s">
        <v>52</v>
      </c>
      <c r="Y29" s="191" t="s">
        <v>52</v>
      </c>
      <c r="Z29" s="191" t="s">
        <v>142</v>
      </c>
      <c r="AA29" s="191" t="s">
        <v>142</v>
      </c>
      <c r="AB29" s="191" t="s">
        <v>4</v>
      </c>
      <c r="AC29" s="191" t="s">
        <v>4</v>
      </c>
      <c r="AD29" s="191" t="s">
        <v>4</v>
      </c>
      <c r="AE29" s="191" t="s">
        <v>4</v>
      </c>
      <c r="AF29" s="191" t="s">
        <v>4</v>
      </c>
      <c r="AG29" s="191" t="s">
        <v>142</v>
      </c>
      <c r="AH29" s="191" t="s">
        <v>142</v>
      </c>
      <c r="AI29" s="191" t="s">
        <v>4</v>
      </c>
      <c r="AJ29" s="213">
        <f>IFERROR(COUNTIF(E29:AI29,"=Р")+COUNTIF(E29:AI29,"=Р1")+COUNTIF(E29:AI29,"=ВЧ")+COUNTIF(E29:AI29,"=РН")+COUNTIF(E29:AI29,"=Р2")+COUNTIF(E29:AI29,"=Р1/РВ")+COUNTIF(E29:AI29,"=Р2/РВ")+COUNTIF(E29:AI29,"=ВЧ/РВ")+COUNTIF(E29:AI29,"=РН/РВ"),0)</f>
        <v>14</v>
      </c>
      <c r="AK29" s="202">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112.60000000000002</v>
      </c>
      <c r="AL29" s="202">
        <f>IFERROR(SUMIF(E29:AI29,"=НУ",E30:AI30),0)</f>
        <v>0</v>
      </c>
      <c r="AM29" s="202">
        <f>IFERROR(SUMIF(E29:AI29,"=РН",E30:AI30)+SUMIF(E29:AI29,"=РН/РВ",E30:AI30)+SUMIFS(E30:AI30,E29:AI29,"=Р2",E30:AI30,"=8"),0)</f>
        <v>0</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0</v>
      </c>
      <c r="AO29" s="202">
        <f>IFERROR(SUMIF(E29:AI29,"=РВ",E30:AI30)+SUMIF(E29:AI29,"=ВЧ/РВ",E30:AI30)+SUMIF(E29:AI29,"=РН/РВ",E30:AI30)+SUMIF(E29:AI29,"=Р1/РВ",E30:AI30)+SUMIF(E29:AI29,"=ВЧ2/РВ",E30:AI30)+SUMIF(E29:AI29,"=Р2/РВ",E30:AI30),0)</f>
        <v>0</v>
      </c>
      <c r="AP29" s="202">
        <f>IFERROR(COUNTIF(E29:AI29,"=ВВ")+COUNTIF(E29:AI29,"=Р1/ВВ")+COUNTIF(E29:AI29,"=РН/ВВ")+COUNTIF(E29:AI29,"=ВЧ/ВВ"),0)</f>
        <v>8</v>
      </c>
      <c r="AQ29" s="202">
        <f>SUM(AR29:AZ29)</f>
        <v>55.400000000000006</v>
      </c>
      <c r="AR29" s="202">
        <f>IFERROR(SUMIF(E29:AI29,"=В",E30:AI30)+SUMIF(E29:AI29,"=Ч",E30:AI30)+SUMIF(E29:AI29,"=ВБ",E30:AI30),0)</f>
        <v>0</v>
      </c>
      <c r="AS29" s="202">
        <f>IFERROR(SUMIF(E29:AI29,"=Н",E30:AI30),0)</f>
        <v>0</v>
      </c>
      <c r="AT29" s="202">
        <f>IFERROR(SUMIF(E29:AI29,"=НА",E30:AI30),0)</f>
        <v>0</v>
      </c>
      <c r="AU29" s="202">
        <f>IFERROR(SUMIF(E29:AI29,"=ВП",E30:AI30),0)</f>
        <v>0</v>
      </c>
      <c r="AV29" s="202">
        <f>IFERROR(SUMIF(E29:AI29,"=ДД",E30:AI30),0)</f>
        <v>0</v>
      </c>
      <c r="AW29" s="202">
        <f>IFERROR(SUMIF(E29:AI29,"=ДО",E30:AI30),0)</f>
        <v>0</v>
      </c>
      <c r="AX29" s="202">
        <f>IFERROR(SUMIF(E29:AI29,"=ТН",E30:AI30),0)</f>
        <v>55.400000000000006</v>
      </c>
      <c r="AY29" s="202">
        <f>IFERROR(SUMIF(E29:AI29,"=ВД",E30:AI30),0)</f>
        <v>0</v>
      </c>
      <c r="AZ29" s="200">
        <f>IFERROR(SUMIF(E29:AI29,"=ІН",E30:AI30),0)+SUMIF(E29:AI29,"=НЗ",E30:AI30)</f>
        <v>0</v>
      </c>
    </row>
    <row r="30" spans="1:52" ht="20.100000000000001" customHeight="1" thickBot="1" x14ac:dyDescent="0.25">
      <c r="A30" s="306"/>
      <c r="B30" s="229"/>
      <c r="C30" s="280"/>
      <c r="D30" s="280"/>
      <c r="E30" s="192"/>
      <c r="F30" s="192"/>
      <c r="G30" s="192">
        <v>8.1999999999999993</v>
      </c>
      <c r="H30" s="192">
        <v>8.1999999999999993</v>
      </c>
      <c r="I30" s="192">
        <v>8.1999999999999993</v>
      </c>
      <c r="J30" s="192">
        <v>8.1999999999999993</v>
      </c>
      <c r="K30" s="192">
        <v>7</v>
      </c>
      <c r="L30" s="192"/>
      <c r="M30" s="192"/>
      <c r="N30" s="192">
        <v>8.1999999999999993</v>
      </c>
      <c r="O30" s="192">
        <v>8.1999999999999993</v>
      </c>
      <c r="P30" s="192">
        <v>8.1999999999999993</v>
      </c>
      <c r="Q30" s="192">
        <v>8.1999999999999993</v>
      </c>
      <c r="R30" s="192">
        <v>7.2</v>
      </c>
      <c r="S30" s="192"/>
      <c r="T30" s="192"/>
      <c r="U30" s="192">
        <v>8.1999999999999993</v>
      </c>
      <c r="V30" s="192">
        <v>8.1999999999999993</v>
      </c>
      <c r="W30" s="192">
        <v>8.1999999999999993</v>
      </c>
      <c r="X30" s="192">
        <v>8.1999999999999993</v>
      </c>
      <c r="Y30" s="192">
        <v>7.2</v>
      </c>
      <c r="Z30" s="192"/>
      <c r="AA30" s="192"/>
      <c r="AB30" s="192">
        <v>8.1999999999999993</v>
      </c>
      <c r="AC30" s="192">
        <v>8.1999999999999993</v>
      </c>
      <c r="AD30" s="192">
        <v>8.1999999999999993</v>
      </c>
      <c r="AE30" s="192">
        <v>8.1999999999999993</v>
      </c>
      <c r="AF30" s="192">
        <v>7.2</v>
      </c>
      <c r="AG30" s="192"/>
      <c r="AH30" s="192"/>
      <c r="AI30" s="192">
        <v>8.1999999999999993</v>
      </c>
      <c r="AJ30" s="214"/>
      <c r="AK30" s="203"/>
      <c r="AL30" s="203"/>
      <c r="AM30" s="203"/>
      <c r="AN30" s="212"/>
      <c r="AO30" s="203"/>
      <c r="AP30" s="203"/>
      <c r="AQ30" s="203"/>
      <c r="AR30" s="203"/>
      <c r="AS30" s="203"/>
      <c r="AT30" s="203"/>
      <c r="AU30" s="203"/>
      <c r="AV30" s="203"/>
      <c r="AW30" s="203"/>
      <c r="AX30" s="203"/>
      <c r="AY30" s="203"/>
      <c r="AZ30" s="201"/>
    </row>
    <row r="31" spans="1:52" ht="14.25" customHeight="1" x14ac:dyDescent="0.2">
      <c r="A31" s="310">
        <v>0</v>
      </c>
      <c r="B31" s="284" t="s">
        <v>74</v>
      </c>
      <c r="C31" s="284">
        <v>0</v>
      </c>
      <c r="D31" s="284">
        <v>0</v>
      </c>
      <c r="E31" s="72">
        <v>0</v>
      </c>
      <c r="F31" s="72">
        <v>0</v>
      </c>
      <c r="G31" s="72">
        <v>0</v>
      </c>
      <c r="H31" s="72">
        <v>0</v>
      </c>
      <c r="I31" s="72">
        <v>0</v>
      </c>
      <c r="J31" s="72">
        <v>0</v>
      </c>
      <c r="K31" s="72">
        <v>0</v>
      </c>
      <c r="L31" s="72">
        <v>0</v>
      </c>
      <c r="M31" s="72">
        <v>0</v>
      </c>
      <c r="N31" s="72">
        <v>0</v>
      </c>
      <c r="O31" s="72">
        <v>0</v>
      </c>
      <c r="P31" s="72">
        <v>0</v>
      </c>
      <c r="Q31" s="72">
        <v>0</v>
      </c>
      <c r="R31" s="72">
        <v>0</v>
      </c>
      <c r="S31" s="72">
        <v>0</v>
      </c>
      <c r="T31" s="72"/>
      <c r="U31" s="72"/>
      <c r="V31" s="72"/>
      <c r="W31" s="72"/>
      <c r="X31" s="72"/>
      <c r="Y31" s="72"/>
      <c r="Z31" s="72"/>
      <c r="AA31" s="72"/>
      <c r="AB31" s="72"/>
      <c r="AC31" s="72"/>
      <c r="AD31" s="72"/>
      <c r="AE31" s="72"/>
      <c r="AF31" s="72"/>
      <c r="AG31" s="72"/>
      <c r="AH31" s="72"/>
      <c r="AI31" s="72"/>
      <c r="AJ31" s="217">
        <f t="shared" ref="AJ31:AZ31" si="0">SUM(AJ17:AJ30)</f>
        <v>102</v>
      </c>
      <c r="AK31" s="209">
        <f t="shared" si="0"/>
        <v>817.2</v>
      </c>
      <c r="AL31" s="209">
        <f t="shared" si="0"/>
        <v>0</v>
      </c>
      <c r="AM31" s="209">
        <f t="shared" si="0"/>
        <v>0</v>
      </c>
      <c r="AN31" s="209">
        <f t="shared" si="0"/>
        <v>0</v>
      </c>
      <c r="AO31" s="209">
        <f t="shared" si="0"/>
        <v>0</v>
      </c>
      <c r="AP31" s="209">
        <f t="shared" si="0"/>
        <v>52</v>
      </c>
      <c r="AQ31" s="209">
        <f t="shared" si="0"/>
        <v>358.80000000000007</v>
      </c>
      <c r="AR31" s="209">
        <f t="shared" si="0"/>
        <v>71.800000000000011</v>
      </c>
      <c r="AS31" s="209">
        <f t="shared" si="0"/>
        <v>0</v>
      </c>
      <c r="AT31" s="209">
        <f t="shared" si="0"/>
        <v>8.1999999999999993</v>
      </c>
      <c r="AU31" s="209">
        <f t="shared" si="0"/>
        <v>0</v>
      </c>
      <c r="AV31" s="209">
        <f t="shared" si="0"/>
        <v>0</v>
      </c>
      <c r="AW31" s="209">
        <f t="shared" si="0"/>
        <v>0</v>
      </c>
      <c r="AX31" s="209">
        <f t="shared" si="0"/>
        <v>182.60000000000002</v>
      </c>
      <c r="AY31" s="209">
        <f t="shared" si="0"/>
        <v>0</v>
      </c>
      <c r="AZ31" s="215">
        <f t="shared" si="0"/>
        <v>96.200000000000017</v>
      </c>
    </row>
    <row r="32" spans="1:52" ht="13.5" customHeight="1" thickBot="1" x14ac:dyDescent="0.25">
      <c r="A32" s="306"/>
      <c r="B32" s="280"/>
      <c r="C32" s="280"/>
      <c r="D32" s="280"/>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c r="AA32" s="73"/>
      <c r="AB32" s="73"/>
      <c r="AC32" s="73"/>
      <c r="AD32" s="73"/>
      <c r="AE32" s="73"/>
      <c r="AF32" s="73"/>
      <c r="AG32" s="73"/>
      <c r="AH32" s="73"/>
      <c r="AI32" s="73"/>
      <c r="AJ32" s="218"/>
      <c r="AK32" s="210"/>
      <c r="AL32" s="210"/>
      <c r="AM32" s="210"/>
      <c r="AN32" s="210"/>
      <c r="AO32" s="210"/>
      <c r="AP32" s="210"/>
      <c r="AQ32" s="210"/>
      <c r="AR32" s="210"/>
      <c r="AS32" s="210"/>
      <c r="AT32" s="210"/>
      <c r="AU32" s="210"/>
      <c r="AV32" s="210"/>
      <c r="AW32" s="210"/>
      <c r="AX32" s="210"/>
      <c r="AY32" s="210"/>
      <c r="AZ32" s="216"/>
    </row>
    <row r="33" spans="1:46" ht="14.25" customHeight="1" x14ac:dyDescent="0.2">
      <c r="C33" s="20"/>
      <c r="D33" s="8"/>
      <c r="AF33" s="53"/>
      <c r="AG33" s="53">
        <v>0</v>
      </c>
      <c r="AH33" s="53">
        <v>0</v>
      </c>
      <c r="AI33" s="53">
        <v>0</v>
      </c>
      <c r="AJ33" s="26"/>
    </row>
    <row r="34" spans="1:46" ht="12.75" customHeight="1" x14ac:dyDescent="0.2">
      <c r="A34" s="226" t="s">
        <v>32</v>
      </c>
      <c r="B34" s="226"/>
      <c r="C34" s="226"/>
      <c r="D34" s="227" t="s">
        <v>81</v>
      </c>
      <c r="E34" s="227"/>
      <c r="F34" s="227"/>
      <c r="G34" s="227"/>
      <c r="H34" s="227"/>
      <c r="I34" s="227"/>
      <c r="J34" s="69"/>
      <c r="K34" s="224"/>
      <c r="L34" s="224"/>
      <c r="M34" s="224"/>
      <c r="N34" s="69"/>
      <c r="O34" s="225" t="s">
        <v>278</v>
      </c>
      <c r="P34" s="225"/>
      <c r="Q34" s="225"/>
      <c r="R34" s="225"/>
      <c r="S34" s="225"/>
      <c r="T34" s="9"/>
      <c r="U34" s="283">
        <v>45747</v>
      </c>
      <c r="V34" s="283"/>
      <c r="W34" s="283"/>
      <c r="X34" s="283"/>
      <c r="Y34" s="283"/>
      <c r="Z34" s="283"/>
      <c r="AA34" s="69"/>
      <c r="AB34" s="69"/>
      <c r="AC34" s="69"/>
      <c r="AD34" s="69"/>
      <c r="AE34" s="69"/>
      <c r="AF34" s="69"/>
      <c r="AG34" s="69"/>
      <c r="AH34" s="69"/>
      <c r="AI34" s="69"/>
      <c r="AJ34" s="69"/>
      <c r="AK34" s="69"/>
      <c r="AL34" s="69"/>
      <c r="AM34" s="69"/>
      <c r="AN34" s="69"/>
      <c r="AO34" s="69"/>
      <c r="AP34" s="69"/>
      <c r="AQ34" s="69"/>
      <c r="AR34" s="69"/>
      <c r="AS34" s="69"/>
      <c r="AT34" s="69"/>
    </row>
    <row r="35" spans="1:46" x14ac:dyDescent="0.15">
      <c r="A35" s="13"/>
      <c r="B35" s="16"/>
      <c r="D35" s="222" t="s">
        <v>34</v>
      </c>
      <c r="E35" s="222"/>
      <c r="F35" s="222"/>
      <c r="G35" s="222"/>
      <c r="H35" s="222"/>
      <c r="I35" s="222"/>
      <c r="J35" s="13"/>
      <c r="K35" s="222" t="s">
        <v>35</v>
      </c>
      <c r="L35" s="222"/>
      <c r="M35" s="222"/>
      <c r="N35" s="13"/>
      <c r="O35" s="222" t="s">
        <v>36</v>
      </c>
      <c r="P35" s="222"/>
      <c r="Q35" s="222"/>
      <c r="R35" s="222"/>
      <c r="S35" s="222"/>
      <c r="T35" s="13"/>
      <c r="U35" s="13"/>
      <c r="V35" s="31"/>
      <c r="W35" s="13"/>
      <c r="X35" s="17"/>
      <c r="Y35" s="17"/>
      <c r="Z35" s="17"/>
      <c r="AA35" s="13"/>
      <c r="AB35" s="13"/>
      <c r="AC35" s="13"/>
      <c r="AD35" s="13"/>
      <c r="AE35" s="13"/>
      <c r="AF35" s="13"/>
      <c r="AG35" s="13"/>
      <c r="AH35" s="13"/>
      <c r="AI35" s="13"/>
      <c r="AJ35" s="13"/>
      <c r="AK35" s="13"/>
      <c r="AL35" s="13"/>
      <c r="AM35" s="13"/>
      <c r="AN35" s="13"/>
      <c r="AO35" s="13"/>
      <c r="AP35" s="13"/>
      <c r="AQ35" s="13"/>
      <c r="AR35" s="13"/>
      <c r="AS35" s="13"/>
      <c r="AT35" s="13"/>
    </row>
    <row r="36" spans="1:46" ht="12.75" customHeight="1" x14ac:dyDescent="0.2">
      <c r="A36" s="32" t="s">
        <v>33</v>
      </c>
      <c r="B36" s="32"/>
      <c r="C36" s="69"/>
      <c r="D36" s="223" t="s">
        <v>277</v>
      </c>
      <c r="E36" s="223"/>
      <c r="F36" s="223"/>
      <c r="G36" s="223"/>
      <c r="H36" s="223"/>
      <c r="I36" s="223"/>
      <c r="J36" s="69"/>
      <c r="K36" s="224"/>
      <c r="L36" s="224"/>
      <c r="M36" s="224"/>
      <c r="N36" s="69"/>
      <c r="O36" s="225" t="s">
        <v>279</v>
      </c>
      <c r="P36" s="225"/>
      <c r="Q36" s="225"/>
      <c r="R36" s="225"/>
      <c r="S36" s="225"/>
      <c r="T36" s="9"/>
      <c r="U36" s="283">
        <f>U34</f>
        <v>45747</v>
      </c>
      <c r="V36" s="283"/>
      <c r="W36" s="283"/>
      <c r="X36" s="283"/>
      <c r="Y36" s="283"/>
      <c r="Z36" s="283"/>
      <c r="AA36" s="69"/>
      <c r="AB36" s="69"/>
      <c r="AC36" s="69"/>
      <c r="AD36" s="69"/>
      <c r="AE36" s="69"/>
      <c r="AF36" s="69"/>
      <c r="AG36" s="69"/>
      <c r="AH36" s="69"/>
      <c r="AI36" s="69"/>
      <c r="AJ36" s="69"/>
      <c r="AK36" s="69"/>
      <c r="AL36" s="69"/>
      <c r="AM36" s="69"/>
      <c r="AN36" s="69"/>
      <c r="AO36" s="69"/>
      <c r="AP36" s="69"/>
      <c r="AQ36" s="69"/>
      <c r="AR36" s="69"/>
      <c r="AS36" s="69"/>
      <c r="AT36" s="69"/>
    </row>
    <row r="37" spans="1:46" x14ac:dyDescent="0.2">
      <c r="A37" s="13"/>
      <c r="B37" s="13"/>
      <c r="D37" s="222" t="s">
        <v>34</v>
      </c>
      <c r="E37" s="222"/>
      <c r="F37" s="222"/>
      <c r="G37" s="222"/>
      <c r="H37" s="222"/>
      <c r="I37" s="222"/>
      <c r="J37" s="13"/>
      <c r="K37" s="222" t="s">
        <v>35</v>
      </c>
      <c r="L37" s="222"/>
      <c r="M37" s="222"/>
      <c r="N37" s="13"/>
      <c r="O37" s="222" t="s">
        <v>36</v>
      </c>
      <c r="P37" s="222"/>
      <c r="Q37" s="222"/>
      <c r="R37" s="222"/>
      <c r="S37" s="222"/>
      <c r="T37" s="17"/>
      <c r="U37" s="17"/>
      <c r="V37" s="13"/>
      <c r="W37" s="17"/>
      <c r="X37" s="17"/>
      <c r="Y37" s="17"/>
      <c r="Z37" s="69"/>
      <c r="AA37" s="69"/>
      <c r="AB37" s="69"/>
      <c r="AC37" s="69"/>
      <c r="AD37" s="69"/>
      <c r="AE37" s="69"/>
      <c r="AF37" s="69"/>
      <c r="AG37" s="69"/>
      <c r="AH37" s="69"/>
      <c r="AI37" s="69"/>
      <c r="AJ37" s="69"/>
      <c r="AK37" s="69"/>
      <c r="AL37" s="69"/>
      <c r="AM37" s="69"/>
      <c r="AN37" s="69"/>
      <c r="AO37" s="69"/>
      <c r="AP37" s="69"/>
      <c r="AQ37" s="69"/>
      <c r="AR37" s="69"/>
      <c r="AS37" s="69"/>
      <c r="AT37" s="69"/>
    </row>
    <row r="38" spans="1:46" x14ac:dyDescent="0.2">
      <c r="A38" s="69"/>
      <c r="B38" s="69"/>
      <c r="C38" s="33" t="s">
        <v>39</v>
      </c>
      <c r="D38" s="70"/>
      <c r="E38" s="70"/>
      <c r="F38" s="70"/>
      <c r="G38" s="70"/>
      <c r="H38" s="70"/>
      <c r="I38" s="70"/>
      <c r="J38" s="70"/>
      <c r="K38" s="70"/>
      <c r="L38" s="70"/>
      <c r="M38" s="70"/>
      <c r="N38" s="70"/>
      <c r="O38" s="70"/>
      <c r="P38" s="70"/>
      <c r="Q38" s="70"/>
      <c r="R38" s="69"/>
      <c r="S38" s="69"/>
      <c r="T38" s="69"/>
      <c r="U38" s="69"/>
      <c r="V38" s="69"/>
      <c r="W38" s="69"/>
      <c r="X38" s="69"/>
      <c r="Y38" s="69"/>
      <c r="Z38" s="69"/>
      <c r="AA38" s="69"/>
      <c r="AB38" s="69"/>
      <c r="AC38" s="69"/>
      <c r="AD38" s="69"/>
      <c r="AE38" s="69"/>
      <c r="AF38" s="69"/>
      <c r="AG38" s="69"/>
      <c r="AH38" s="69"/>
      <c r="AI38" s="69"/>
      <c r="AJ38" s="69"/>
      <c r="AK38" s="69"/>
      <c r="AL38" s="69"/>
      <c r="AM38" s="69"/>
      <c r="AN38" s="69"/>
      <c r="AO38" s="69"/>
      <c r="AP38" s="69"/>
      <c r="AQ38" s="69"/>
      <c r="AR38" s="69"/>
      <c r="AS38" s="69"/>
      <c r="AT38" s="69"/>
    </row>
    <row r="39" spans="1:46" x14ac:dyDescent="0.2">
      <c r="A39" s="69"/>
      <c r="B39" s="69"/>
      <c r="C39" s="34" t="s">
        <v>4</v>
      </c>
      <c r="D39" s="35" t="s">
        <v>49</v>
      </c>
      <c r="E39" t="s">
        <v>5</v>
      </c>
      <c r="F39"/>
      <c r="G39"/>
      <c r="H39"/>
      <c r="I39"/>
      <c r="J39"/>
      <c r="K39"/>
      <c r="L39"/>
      <c r="M39"/>
      <c r="N39" s="36"/>
      <c r="O39" s="3"/>
      <c r="P39" s="37"/>
      <c r="Q39" s="37"/>
      <c r="R39" s="69"/>
      <c r="S39" s="69"/>
      <c r="T39" s="69"/>
      <c r="U39" s="21" t="s">
        <v>2</v>
      </c>
      <c r="V39" s="15" t="s">
        <v>49</v>
      </c>
      <c r="W39" t="s">
        <v>61</v>
      </c>
      <c r="X39"/>
      <c r="Y39" s="69"/>
      <c r="Z39" s="69"/>
      <c r="AA39" s="69"/>
      <c r="AB39" s="69"/>
      <c r="AC39" s="69"/>
      <c r="AD39" s="69"/>
      <c r="AE39" s="69"/>
      <c r="AF39" s="69"/>
      <c r="AG39" s="69"/>
      <c r="AH39" s="69"/>
      <c r="AI39" s="69"/>
      <c r="AJ39" s="69"/>
      <c r="AK39" s="69"/>
      <c r="AL39" s="69"/>
      <c r="AM39" s="69"/>
      <c r="AN39" s="69"/>
      <c r="AO39" s="69"/>
      <c r="AP39" s="69"/>
      <c r="AQ39" s="69"/>
      <c r="AR39" s="69"/>
      <c r="AS39" s="69"/>
      <c r="AT39" s="69"/>
    </row>
    <row r="40" spans="1:46" x14ac:dyDescent="0.2">
      <c r="A40" s="69"/>
      <c r="B40" s="69"/>
      <c r="C40" s="34" t="s">
        <v>41</v>
      </c>
      <c r="D40" s="35" t="s">
        <v>49</v>
      </c>
      <c r="E40" t="s">
        <v>40</v>
      </c>
      <c r="F40"/>
      <c r="G40"/>
      <c r="H40"/>
      <c r="I40"/>
      <c r="J40"/>
      <c r="K40"/>
      <c r="L40"/>
      <c r="M40"/>
      <c r="N40" s="36"/>
      <c r="O40" s="3"/>
      <c r="P40" s="37"/>
      <c r="Q40" s="37"/>
      <c r="R40" s="69"/>
      <c r="S40" s="69"/>
      <c r="T40" s="69"/>
      <c r="U40" s="21" t="s">
        <v>50</v>
      </c>
      <c r="V40" s="15" t="s">
        <v>49</v>
      </c>
      <c r="W40" t="s">
        <v>62</v>
      </c>
      <c r="X40"/>
      <c r="Y40" s="69"/>
      <c r="Z40" s="69"/>
      <c r="AA40" s="69"/>
      <c r="AB40" s="69"/>
      <c r="AC40" s="69"/>
      <c r="AD40" s="69"/>
      <c r="AE40" s="69"/>
      <c r="AF40" s="69"/>
      <c r="AG40" s="69"/>
      <c r="AH40" s="69"/>
      <c r="AI40" s="69"/>
      <c r="AJ40" s="69"/>
      <c r="AK40" s="69"/>
      <c r="AL40" s="69"/>
      <c r="AM40" s="69"/>
      <c r="AN40" s="69"/>
      <c r="AO40" s="69"/>
      <c r="AP40" s="69"/>
      <c r="AQ40" s="69"/>
      <c r="AR40" s="69"/>
      <c r="AS40" s="69"/>
      <c r="AT40" s="69"/>
    </row>
    <row r="41" spans="1:46" x14ac:dyDescent="0.2">
      <c r="A41" s="69"/>
      <c r="B41" s="69"/>
      <c r="C41" s="34" t="s">
        <v>43</v>
      </c>
      <c r="D41" s="35" t="s">
        <v>49</v>
      </c>
      <c r="E41" t="s">
        <v>42</v>
      </c>
      <c r="F41"/>
      <c r="G41"/>
      <c r="H41"/>
      <c r="I41"/>
      <c r="J41"/>
      <c r="K41"/>
      <c r="L41"/>
      <c r="M41"/>
      <c r="N41" s="36"/>
      <c r="O41" s="3"/>
      <c r="P41" s="37"/>
      <c r="Q41" s="37"/>
      <c r="R41" s="69"/>
      <c r="S41" s="69"/>
      <c r="T41" s="69"/>
      <c r="U41" s="21" t="s">
        <v>51</v>
      </c>
      <c r="V41" s="15" t="s">
        <v>49</v>
      </c>
      <c r="W41" t="s">
        <v>53</v>
      </c>
      <c r="X41"/>
      <c r="Y41" s="69"/>
      <c r="Z41" s="69"/>
      <c r="AA41" s="69"/>
      <c r="AB41" s="69"/>
      <c r="AC41" s="69"/>
      <c r="AD41" s="69"/>
      <c r="AE41" s="69"/>
      <c r="AF41" s="69"/>
      <c r="AG41" s="69"/>
      <c r="AH41" s="69"/>
      <c r="AI41" s="69"/>
      <c r="AJ41" s="69"/>
      <c r="AK41" s="69"/>
      <c r="AL41" s="69"/>
      <c r="AM41" s="69"/>
      <c r="AN41" s="69"/>
      <c r="AO41" s="69"/>
      <c r="AP41" s="69"/>
      <c r="AQ41" s="69"/>
      <c r="AR41" s="69"/>
      <c r="AS41" s="69"/>
      <c r="AT41" s="69"/>
    </row>
    <row r="42" spans="1:46" x14ac:dyDescent="0.2">
      <c r="A42" s="69"/>
      <c r="B42" s="69"/>
      <c r="C42" s="34" t="s">
        <v>45</v>
      </c>
      <c r="D42" s="35" t="s">
        <v>49</v>
      </c>
      <c r="E42" t="s">
        <v>44</v>
      </c>
      <c r="F42"/>
      <c r="G42"/>
      <c r="H42"/>
      <c r="I42"/>
      <c r="J42"/>
      <c r="K42"/>
      <c r="L42"/>
      <c r="M42"/>
      <c r="N42" s="3"/>
      <c r="O42" s="3"/>
      <c r="P42" s="37"/>
      <c r="Q42" s="37"/>
      <c r="R42" s="69"/>
      <c r="S42" s="69"/>
      <c r="T42" s="69"/>
      <c r="U42" s="15" t="s">
        <v>63</v>
      </c>
      <c r="V42" s="15" t="s">
        <v>49</v>
      </c>
      <c r="W42" t="s">
        <v>64</v>
      </c>
      <c r="X42"/>
      <c r="Y42" s="69"/>
      <c r="Z42" s="69"/>
      <c r="AA42" s="69"/>
      <c r="AB42" s="69"/>
      <c r="AC42" s="69"/>
      <c r="AD42" s="69"/>
      <c r="AE42" s="69"/>
      <c r="AF42" s="69"/>
      <c r="AG42" s="69"/>
      <c r="AH42" s="69"/>
      <c r="AI42" s="69"/>
      <c r="AJ42" s="69"/>
      <c r="AK42" s="69"/>
      <c r="AL42" s="69"/>
      <c r="AM42" s="69"/>
      <c r="AN42" s="69"/>
      <c r="AO42" s="69"/>
      <c r="AP42" s="69"/>
      <c r="AQ42" s="69"/>
      <c r="AR42" s="69"/>
      <c r="AS42" s="69"/>
      <c r="AT42" s="69"/>
    </row>
    <row r="43" spans="1:46" x14ac:dyDescent="0.2">
      <c r="A43" s="69"/>
      <c r="B43" s="69"/>
      <c r="C43" s="34" t="s">
        <v>47</v>
      </c>
      <c r="D43" s="35" t="s">
        <v>49</v>
      </c>
      <c r="E43" t="s">
        <v>46</v>
      </c>
      <c r="F43"/>
      <c r="G43"/>
      <c r="H43"/>
      <c r="I43"/>
      <c r="J43"/>
      <c r="K43"/>
      <c r="L43"/>
      <c r="M43"/>
      <c r="N43" s="3"/>
      <c r="O43" s="3"/>
      <c r="P43" s="37"/>
      <c r="Q43" s="37"/>
      <c r="R43" s="69"/>
      <c r="S43" s="69"/>
      <c r="T43" s="69"/>
      <c r="U43" s="15" t="s">
        <v>65</v>
      </c>
      <c r="V43" s="15" t="s">
        <v>49</v>
      </c>
      <c r="W43" t="s">
        <v>66</v>
      </c>
      <c r="X43"/>
      <c r="Y43" s="69"/>
      <c r="Z43" s="69"/>
      <c r="AA43" s="69"/>
      <c r="AB43" s="69"/>
      <c r="AC43" s="69"/>
      <c r="AD43" s="69"/>
      <c r="AE43" s="69"/>
      <c r="AF43" s="69"/>
      <c r="AG43" s="69"/>
      <c r="AH43" s="69"/>
      <c r="AI43" s="69"/>
      <c r="AJ43" s="69"/>
      <c r="AK43" s="69"/>
      <c r="AL43" s="69"/>
      <c r="AM43" s="69"/>
      <c r="AN43" s="69"/>
      <c r="AO43" s="69"/>
      <c r="AP43" s="69"/>
      <c r="AQ43" s="69"/>
      <c r="AR43" s="69"/>
      <c r="AS43" s="69"/>
      <c r="AT43" s="69"/>
    </row>
    <row r="44" spans="1:46" x14ac:dyDescent="0.2">
      <c r="A44" s="69"/>
      <c r="B44" s="69"/>
      <c r="C44" s="34" t="s">
        <v>48</v>
      </c>
      <c r="D44" s="35" t="s">
        <v>49</v>
      </c>
      <c r="E44" t="s">
        <v>29</v>
      </c>
      <c r="F44"/>
      <c r="G44"/>
      <c r="H44"/>
      <c r="I44"/>
      <c r="J44"/>
      <c r="K44"/>
      <c r="L44"/>
      <c r="M44"/>
      <c r="N44" s="36"/>
      <c r="O44" s="3"/>
      <c r="P44" s="37"/>
      <c r="Q44" s="37"/>
      <c r="R44" s="69"/>
      <c r="S44" s="69"/>
      <c r="T44" s="69"/>
      <c r="U44" s="21" t="s">
        <v>52</v>
      </c>
      <c r="V44" s="15" t="s">
        <v>49</v>
      </c>
      <c r="W44" t="s">
        <v>54</v>
      </c>
      <c r="X44"/>
      <c r="Y44" s="69"/>
      <c r="Z44" s="69"/>
      <c r="AA44" s="69"/>
      <c r="AB44" s="69"/>
      <c r="AC44" s="69"/>
      <c r="AD44" s="69"/>
      <c r="AE44" s="69"/>
      <c r="AF44" s="69"/>
      <c r="AG44" s="69"/>
      <c r="AH44" s="69"/>
      <c r="AI44" s="69"/>
      <c r="AJ44" s="69"/>
      <c r="AK44" s="69"/>
      <c r="AL44" s="69"/>
      <c r="AM44" s="69"/>
      <c r="AN44" s="69"/>
      <c r="AO44" s="69"/>
      <c r="AP44" s="69"/>
      <c r="AQ44" s="69"/>
      <c r="AR44" s="69"/>
      <c r="AS44" s="69"/>
      <c r="AT44" s="69"/>
    </row>
    <row r="45" spans="1:46" x14ac:dyDescent="0.2">
      <c r="A45" s="69"/>
      <c r="B45" s="69"/>
      <c r="C45" s="34" t="s">
        <v>3</v>
      </c>
      <c r="D45" s="35" t="s">
        <v>49</v>
      </c>
      <c r="E45" t="s">
        <v>67</v>
      </c>
      <c r="F45"/>
      <c r="G45"/>
      <c r="H45"/>
      <c r="I45"/>
      <c r="J45"/>
      <c r="K45"/>
      <c r="L45"/>
      <c r="M45"/>
      <c r="N45" s="36"/>
      <c r="O45" s="3"/>
      <c r="P45" s="37"/>
      <c r="Q45" s="37"/>
      <c r="R45" s="69"/>
      <c r="S45" s="69"/>
      <c r="T45" s="69"/>
      <c r="U45" s="21" t="s">
        <v>68</v>
      </c>
      <c r="V45" s="15" t="s">
        <v>49</v>
      </c>
      <c r="W45" t="s">
        <v>31</v>
      </c>
      <c r="X45"/>
      <c r="Y45" s="69"/>
      <c r="Z45" s="69"/>
      <c r="AA45" s="69"/>
      <c r="AB45" s="69"/>
      <c r="AC45" s="69"/>
      <c r="AD45" s="69"/>
      <c r="AE45" s="69"/>
      <c r="AF45" s="69"/>
      <c r="AG45" s="69"/>
      <c r="AH45" s="69"/>
      <c r="AI45" s="69"/>
      <c r="AJ45" s="69"/>
      <c r="AK45" s="69"/>
      <c r="AL45" s="69"/>
      <c r="AM45" s="69"/>
      <c r="AN45" s="69"/>
      <c r="AO45" s="69"/>
      <c r="AP45" s="69"/>
      <c r="AQ45" s="69"/>
      <c r="AR45" s="69"/>
      <c r="AS45" s="69"/>
      <c r="AT45" s="69"/>
    </row>
    <row r="46" spans="1:46" x14ac:dyDescent="0.2">
      <c r="A46" s="69"/>
      <c r="B46" s="69"/>
      <c r="C46" s="34" t="s">
        <v>73</v>
      </c>
      <c r="D46" s="35" t="s">
        <v>49</v>
      </c>
      <c r="E46" s="219" t="s">
        <v>75</v>
      </c>
      <c r="F46" s="220"/>
      <c r="G46" s="220"/>
      <c r="H46" s="220"/>
      <c r="I46" s="220"/>
      <c r="J46" s="220"/>
      <c r="K46" s="220"/>
      <c r="L46" s="220"/>
      <c r="M46" s="220"/>
      <c r="N46" s="220"/>
      <c r="O46" s="220"/>
      <c r="P46" s="220"/>
      <c r="Q46" s="220"/>
      <c r="R46" s="69"/>
      <c r="S46" s="69"/>
      <c r="T46" s="69"/>
      <c r="U46" s="21" t="s">
        <v>76</v>
      </c>
      <c r="V46" s="15" t="s">
        <v>49</v>
      </c>
      <c r="W46" t="s">
        <v>77</v>
      </c>
      <c r="X46" s="69"/>
      <c r="Y46" s="69"/>
      <c r="Z46" s="69"/>
      <c r="AA46" s="69"/>
      <c r="AB46" s="69"/>
      <c r="AC46" s="69"/>
      <c r="AD46" s="69"/>
      <c r="AE46" s="69"/>
      <c r="AF46" s="69"/>
      <c r="AG46" s="69"/>
      <c r="AH46" s="69"/>
      <c r="AI46" s="69"/>
      <c r="AJ46" s="69"/>
      <c r="AK46" s="69"/>
      <c r="AL46" s="69"/>
      <c r="AM46" s="69"/>
      <c r="AN46" s="69"/>
      <c r="AO46" s="69"/>
      <c r="AP46" s="69"/>
      <c r="AQ46" s="69"/>
      <c r="AR46" s="69"/>
      <c r="AS46" s="69"/>
      <c r="AT46" s="69"/>
    </row>
    <row r="47" spans="1:46" x14ac:dyDescent="0.2">
      <c r="A47" s="69"/>
      <c r="B47" s="69"/>
      <c r="C47" s="34" t="s">
        <v>142</v>
      </c>
      <c r="D47" s="35" t="s">
        <v>49</v>
      </c>
      <c r="E47" s="219" t="s">
        <v>143</v>
      </c>
      <c r="F47" s="220"/>
      <c r="G47" s="220"/>
      <c r="H47" s="220"/>
      <c r="I47" s="220"/>
      <c r="J47" s="220"/>
      <c r="K47" s="220"/>
      <c r="L47" s="220"/>
      <c r="M47" s="220"/>
      <c r="N47" s="220"/>
      <c r="O47" s="220"/>
      <c r="P47" s="220"/>
      <c r="Q47" s="220"/>
      <c r="R47" s="69"/>
      <c r="S47" s="69"/>
      <c r="T47" s="69"/>
      <c r="U47" s="69"/>
      <c r="V47" s="69"/>
      <c r="W47" s="69"/>
      <c r="X47" s="69"/>
      <c r="Y47" s="69"/>
      <c r="Z47" s="69"/>
      <c r="AA47" s="69"/>
      <c r="AB47" s="69"/>
      <c r="AC47" s="69"/>
      <c r="AD47" s="69"/>
      <c r="AE47" s="69"/>
      <c r="AF47" s="69"/>
      <c r="AG47" s="69"/>
      <c r="AH47" s="69"/>
      <c r="AI47" s="69"/>
      <c r="AJ47" s="69"/>
      <c r="AK47" s="69"/>
      <c r="AL47" s="69"/>
      <c r="AM47" s="69"/>
      <c r="AN47" s="69"/>
      <c r="AO47" s="69"/>
      <c r="AP47" s="69"/>
      <c r="AQ47" s="69"/>
      <c r="AR47" s="69"/>
      <c r="AS47" s="69"/>
      <c r="AT47" s="69"/>
    </row>
  </sheetData>
  <sheetProtection insertColumns="0" insertRows="0" deleteColumns="0" deleteRows="0" autoFilter="0"/>
  <mergeCells count="255">
    <mergeCell ref="A23:A24"/>
    <mergeCell ref="A25:A26"/>
    <mergeCell ref="A31:A32"/>
    <mergeCell ref="B31:B32"/>
    <mergeCell ref="C31:C32"/>
    <mergeCell ref="D31:D32"/>
    <mergeCell ref="AJ31:AJ32"/>
    <mergeCell ref="A29:A30"/>
    <mergeCell ref="B29:B30"/>
    <mergeCell ref="C29:C30"/>
    <mergeCell ref="B25:B26"/>
    <mergeCell ref="AJ29:AJ30"/>
    <mergeCell ref="D29:D30"/>
    <mergeCell ref="C25:C26"/>
    <mergeCell ref="D25:D26"/>
    <mergeCell ref="C27:C28"/>
    <mergeCell ref="D27:D28"/>
    <mergeCell ref="AJ25:AJ26"/>
    <mergeCell ref="AK25:AK26"/>
    <mergeCell ref="AL25:AL26"/>
    <mergeCell ref="AM25:AM26"/>
    <mergeCell ref="AN25:AN26"/>
    <mergeCell ref="AO25:AO26"/>
    <mergeCell ref="AP25:AP26"/>
    <mergeCell ref="AJ27:AJ28"/>
    <mergeCell ref="AK27:AK28"/>
    <mergeCell ref="AK29:AK30"/>
    <mergeCell ref="AL29:AL30"/>
    <mergeCell ref="AM29:AM30"/>
    <mergeCell ref="AN29:AN30"/>
    <mergeCell ref="AO27:AO28"/>
    <mergeCell ref="AP27:AP28"/>
    <mergeCell ref="AL27:AL28"/>
    <mergeCell ref="AM27:AM28"/>
    <mergeCell ref="AN27:AN28"/>
    <mergeCell ref="AO31:AO32"/>
    <mergeCell ref="AP31:AP32"/>
    <mergeCell ref="AX31:AX32"/>
    <mergeCell ref="AQ29:AQ30"/>
    <mergeCell ref="AR29:AR30"/>
    <mergeCell ref="AX29:AX30"/>
    <mergeCell ref="AU29:AU30"/>
    <mergeCell ref="AO29:AO30"/>
    <mergeCell ref="AK31:AK32"/>
    <mergeCell ref="AL31:AL32"/>
    <mergeCell ref="AM31:AM32"/>
    <mergeCell ref="AN31:AN32"/>
    <mergeCell ref="AP29:AP30"/>
    <mergeCell ref="AZ31:AZ32"/>
    <mergeCell ref="AU31:AU32"/>
    <mergeCell ref="AV31:AV32"/>
    <mergeCell ref="AS27:AS28"/>
    <mergeCell ref="AW27:AW28"/>
    <mergeCell ref="AQ31:AQ32"/>
    <mergeCell ref="AY29:AY30"/>
    <mergeCell ref="AZ29:AZ30"/>
    <mergeCell ref="AS29:AS30"/>
    <mergeCell ref="AT29:AT30"/>
    <mergeCell ref="AW29:AW30"/>
    <mergeCell ref="AW31:AW32"/>
    <mergeCell ref="AQ25:AQ26"/>
    <mergeCell ref="AT27:AT28"/>
    <mergeCell ref="AU27:AU28"/>
    <mergeCell ref="AV27:AV28"/>
    <mergeCell ref="AV29:AV30"/>
    <mergeCell ref="AR31:AR32"/>
    <mergeCell ref="AS31:AS32"/>
    <mergeCell ref="AT31:AT32"/>
    <mergeCell ref="AY31:AY32"/>
    <mergeCell ref="AQ27:AQ28"/>
    <mergeCell ref="AR27:AR28"/>
    <mergeCell ref="AW25:AW26"/>
    <mergeCell ref="AT25:AT26"/>
    <mergeCell ref="AU25:AU26"/>
    <mergeCell ref="AV25:AV26"/>
    <mergeCell ref="AR25:AR26"/>
    <mergeCell ref="AS25:AS26"/>
    <mergeCell ref="AJ17:AJ18"/>
    <mergeCell ref="AK17:AK18"/>
    <mergeCell ref="AL17:AL18"/>
    <mergeCell ref="AM17:AM18"/>
    <mergeCell ref="AN17:AN18"/>
    <mergeCell ref="B21:B22"/>
    <mergeCell ref="C23:C24"/>
    <mergeCell ref="AK21:AK22"/>
    <mergeCell ref="AL21:AL22"/>
    <mergeCell ref="AM21:AM22"/>
    <mergeCell ref="AN21:AN22"/>
    <mergeCell ref="B17:B18"/>
    <mergeCell ref="C17:C18"/>
    <mergeCell ref="D17:D18"/>
    <mergeCell ref="D23:D24"/>
    <mergeCell ref="AJ23:AJ24"/>
    <mergeCell ref="AK23:AK24"/>
    <mergeCell ref="C21:C22"/>
    <mergeCell ref="D21:D22"/>
    <mergeCell ref="AJ21:AJ22"/>
    <mergeCell ref="AL23:AL24"/>
    <mergeCell ref="AM23:AM24"/>
    <mergeCell ref="AN23:AN24"/>
    <mergeCell ref="AW21:AW22"/>
    <mergeCell ref="AW23:AW24"/>
    <mergeCell ref="AP21:AP22"/>
    <mergeCell ref="AQ21:AQ22"/>
    <mergeCell ref="AR21:AR22"/>
    <mergeCell ref="AY21:AY22"/>
    <mergeCell ref="AX23:AX24"/>
    <mergeCell ref="AP17:AP18"/>
    <mergeCell ref="AQ17:AQ18"/>
    <mergeCell ref="AR17:AR18"/>
    <mergeCell ref="AS17:AS18"/>
    <mergeCell ref="AU17:AU18"/>
    <mergeCell ref="AV17:AV18"/>
    <mergeCell ref="AX21:AX22"/>
    <mergeCell ref="AS21:AS22"/>
    <mergeCell ref="AT21:AT22"/>
    <mergeCell ref="AU21:AU22"/>
    <mergeCell ref="AV21:AV22"/>
    <mergeCell ref="AO21:AO22"/>
    <mergeCell ref="AO19:AO20"/>
    <mergeCell ref="AR23:AR24"/>
    <mergeCell ref="AU23:AU24"/>
    <mergeCell ref="AV23:AV24"/>
    <mergeCell ref="AP19:AP20"/>
    <mergeCell ref="AQ19:AQ20"/>
    <mergeCell ref="AR19:AR20"/>
    <mergeCell ref="AS19:AS20"/>
    <mergeCell ref="AT19:AT20"/>
    <mergeCell ref="AU19:AU20"/>
    <mergeCell ref="AV19:AV20"/>
    <mergeCell ref="AS23:AS24"/>
    <mergeCell ref="AT23:AT24"/>
    <mergeCell ref="AO23:AO24"/>
    <mergeCell ref="AP23:AP24"/>
    <mergeCell ref="AQ23:AQ24"/>
    <mergeCell ref="AJ12:AO12"/>
    <mergeCell ref="AP12:AP15"/>
    <mergeCell ref="AQ12:AQ15"/>
    <mergeCell ref="AC13:AC15"/>
    <mergeCell ref="AD13:AD15"/>
    <mergeCell ref="AE13:AE15"/>
    <mergeCell ref="AF13:AF15"/>
    <mergeCell ref="U13:U15"/>
    <mergeCell ref="V13:V15"/>
    <mergeCell ref="W13:W15"/>
    <mergeCell ref="X13:X15"/>
    <mergeCell ref="Y13:Y15"/>
    <mergeCell ref="Z13:Z15"/>
    <mergeCell ref="AA13:AA15"/>
    <mergeCell ref="AB13:AB15"/>
    <mergeCell ref="AK14:AK15"/>
    <mergeCell ref="AL14:AO14"/>
    <mergeCell ref="AG13:AG15"/>
    <mergeCell ref="AH13:AH15"/>
    <mergeCell ref="AI13:AI15"/>
    <mergeCell ref="AJ13:AJ15"/>
    <mergeCell ref="AK13:AO13"/>
    <mergeCell ref="A2:N2"/>
    <mergeCell ref="W2:AB2"/>
    <mergeCell ref="W3:Y3"/>
    <mergeCell ref="Z3:AB3"/>
    <mergeCell ref="W4:Y4"/>
    <mergeCell ref="Z4:AB4"/>
    <mergeCell ref="A12:A15"/>
    <mergeCell ref="B12:B15"/>
    <mergeCell ref="C12:C15"/>
    <mergeCell ref="D12:D15"/>
    <mergeCell ref="E12:AI12"/>
    <mergeCell ref="L13:L15"/>
    <mergeCell ref="M13:M15"/>
    <mergeCell ref="N13:N15"/>
    <mergeCell ref="A5:N5"/>
    <mergeCell ref="A6:N6"/>
    <mergeCell ref="W6:Y7"/>
    <mergeCell ref="T13:T15"/>
    <mergeCell ref="G13:G15"/>
    <mergeCell ref="H13:H15"/>
    <mergeCell ref="I13:I15"/>
    <mergeCell ref="J13:J15"/>
    <mergeCell ref="K13:K15"/>
    <mergeCell ref="Z6:AB7"/>
    <mergeCell ref="A8:B8"/>
    <mergeCell ref="C8:F8"/>
    <mergeCell ref="W8:Y8"/>
    <mergeCell ref="Z8:AB8"/>
    <mergeCell ref="E13:E15"/>
    <mergeCell ref="F13:F15"/>
    <mergeCell ref="D37:I37"/>
    <mergeCell ref="K37:M37"/>
    <mergeCell ref="O37:S37"/>
    <mergeCell ref="H9:S9"/>
    <mergeCell ref="D10:P10"/>
    <mergeCell ref="O13:O15"/>
    <mergeCell ref="P13:P15"/>
    <mergeCell ref="Q13:Q15"/>
    <mergeCell ref="R13:R15"/>
    <mergeCell ref="S13:S15"/>
    <mergeCell ref="A21:A22"/>
    <mergeCell ref="B23:B24"/>
    <mergeCell ref="A17:A18"/>
    <mergeCell ref="A27:A28"/>
    <mergeCell ref="B27:B28"/>
    <mergeCell ref="E16:AI16"/>
    <mergeCell ref="U34:Z34"/>
    <mergeCell ref="U36:Z36"/>
    <mergeCell ref="E46:Q46"/>
    <mergeCell ref="E47:Q47"/>
    <mergeCell ref="A34:C34"/>
    <mergeCell ref="D34:I34"/>
    <mergeCell ref="K34:M34"/>
    <mergeCell ref="D35:I35"/>
    <mergeCell ref="K35:M35"/>
    <mergeCell ref="O35:S35"/>
    <mergeCell ref="D36:I36"/>
    <mergeCell ref="K36:M36"/>
    <mergeCell ref="O36:S36"/>
    <mergeCell ref="O34:S34"/>
    <mergeCell ref="A19:A20"/>
    <mergeCell ref="B19:B20"/>
    <mergeCell ref="C19:C20"/>
    <mergeCell ref="D19:D20"/>
    <mergeCell ref="AJ19:AJ20"/>
    <mergeCell ref="AK19:AK20"/>
    <mergeCell ref="AL19:AL20"/>
    <mergeCell ref="AM19:AM20"/>
    <mergeCell ref="AN19:AN20"/>
    <mergeCell ref="AK16:AO16"/>
    <mergeCell ref="AZ19:AZ20"/>
    <mergeCell ref="AZ13:AZ15"/>
    <mergeCell ref="AY17:AY18"/>
    <mergeCell ref="AX17:AX18"/>
    <mergeCell ref="AY13:AY15"/>
    <mergeCell ref="AW17:AW18"/>
    <mergeCell ref="AW19:AW20"/>
    <mergeCell ref="AO17:AO18"/>
    <mergeCell ref="AT17:AT18"/>
    <mergeCell ref="AS13:AS15"/>
    <mergeCell ref="AT13:AT15"/>
    <mergeCell ref="AU13:AU15"/>
    <mergeCell ref="AV13:AV15"/>
    <mergeCell ref="AX13:AX15"/>
    <mergeCell ref="AR13:AR15"/>
    <mergeCell ref="AW13:AW15"/>
    <mergeCell ref="AZ17:AZ18"/>
    <mergeCell ref="AZ23:AZ24"/>
    <mergeCell ref="AY23:AY24"/>
    <mergeCell ref="AX25:AX26"/>
    <mergeCell ref="AX27:AX28"/>
    <mergeCell ref="AY27:AY28"/>
    <mergeCell ref="AZ27:AZ28"/>
    <mergeCell ref="AZ25:AZ26"/>
    <mergeCell ref="AY25:AY26"/>
    <mergeCell ref="AX19:AX20"/>
    <mergeCell ref="AY19:AY20"/>
    <mergeCell ref="AZ21:AZ22"/>
  </mergeCells>
  <conditionalFormatting sqref="E17">
    <cfRule type="expression" dxfId="1206" priority="73" stopIfTrue="1">
      <formula>(E17="Р")</formula>
    </cfRule>
    <cfRule type="expression" dxfId="1205" priority="74" stopIfTrue="1">
      <formula>(E17="ВЧ")</formula>
    </cfRule>
    <cfRule type="expression" dxfId="1204" priority="75" stopIfTrue="1">
      <formula>(E17="ВЧ1")</formula>
    </cfRule>
    <cfRule type="expression" dxfId="1203" priority="76" stopIfTrue="1">
      <formula>(E17="ВЧ2")</formula>
    </cfRule>
    <cfRule type="expression" dxfId="1202" priority="77" stopIfTrue="1">
      <formula>(E17="РН")</formula>
    </cfRule>
    <cfRule type="expression" dxfId="1201" priority="78" stopIfTrue="1">
      <formula>(E17="НУ")</formula>
    </cfRule>
    <cfRule type="expression" dxfId="1200" priority="79" stopIfTrue="1">
      <formula>(E17="Р1")</formula>
    </cfRule>
    <cfRule type="expression" dxfId="1199" priority="80" stopIfTrue="1">
      <formula>(E17="Р2")</formula>
    </cfRule>
    <cfRule type="expression" dxfId="1198" priority="81" stopIfTrue="1">
      <formula>(E17="Р1/РВ")</formula>
    </cfRule>
    <cfRule type="expression" dxfId="1197" priority="82" stopIfTrue="1">
      <formula>(E17="Р2/РВ")</formula>
    </cfRule>
    <cfRule type="expression" dxfId="1196" priority="83" stopIfTrue="1">
      <formula>(E17="ВЧ/РВ")</formula>
    </cfRule>
    <cfRule type="expression" priority="84" stopIfTrue="1">
      <formula>(E17="РН/РВ")</formula>
    </cfRule>
  </conditionalFormatting>
  <conditionalFormatting sqref="F17:AI17">
    <cfRule type="expression" dxfId="1195" priority="61" stopIfTrue="1">
      <formula>(F17="Р")</formula>
    </cfRule>
    <cfRule type="expression" dxfId="1194" priority="62" stopIfTrue="1">
      <formula>(F17="ВЧ")</formula>
    </cfRule>
    <cfRule type="expression" dxfId="1193" priority="63" stopIfTrue="1">
      <formula>(F17="ВЧ1")</formula>
    </cfRule>
    <cfRule type="expression" dxfId="1192" priority="64" stopIfTrue="1">
      <formula>(F17="ВЧ2")</formula>
    </cfRule>
    <cfRule type="expression" dxfId="1191" priority="65" stopIfTrue="1">
      <formula>(F17="РН")</formula>
    </cfRule>
    <cfRule type="expression" dxfId="1190" priority="66" stopIfTrue="1">
      <formula>(F17="НУ")</formula>
    </cfRule>
    <cfRule type="expression" dxfId="1189" priority="67" stopIfTrue="1">
      <formula>(F17="Р1")</formula>
    </cfRule>
    <cfRule type="expression" dxfId="1188" priority="68" stopIfTrue="1">
      <formula>(F17="Р2")</formula>
    </cfRule>
    <cfRule type="expression" dxfId="1187" priority="69" stopIfTrue="1">
      <formula>(F17="Р1/РВ")</formula>
    </cfRule>
    <cfRule type="expression" dxfId="1186" priority="70" stopIfTrue="1">
      <formula>(F17="Р2/РВ")</formula>
    </cfRule>
    <cfRule type="expression" dxfId="1185" priority="71" stopIfTrue="1">
      <formula>(F17="ВЧ/РВ")</formula>
    </cfRule>
    <cfRule type="expression" priority="72" stopIfTrue="1">
      <formula>(F17="РН/РВ")</formula>
    </cfRule>
  </conditionalFormatting>
  <conditionalFormatting sqref="E18">
    <cfRule type="expression" dxfId="1184" priority="85" stopIfTrue="1">
      <formula>(E17="ВД")</formula>
    </cfRule>
    <cfRule type="expression" dxfId="1183" priority="86" stopIfTrue="1">
      <formula>(E17="В")</formula>
    </cfRule>
    <cfRule type="expression" dxfId="1182" priority="87" stopIfTrue="1">
      <formula>(E17="ВП")</formula>
    </cfRule>
    <cfRule type="expression" dxfId="1181" priority="88" stopIfTrue="1">
      <formula>(E17="ДД")</formula>
    </cfRule>
    <cfRule type="expression" dxfId="1180" priority="89" stopIfTrue="1">
      <formula>(E17="НА")</formula>
    </cfRule>
    <cfRule type="expression" dxfId="1179" priority="90" stopIfTrue="1">
      <formula>(E17="Ч")</formula>
    </cfRule>
    <cfRule type="expression" dxfId="1178" priority="91" stopIfTrue="1">
      <formula>(E17="Н")</formula>
    </cfRule>
    <cfRule type="expression" dxfId="1177" priority="92" stopIfTrue="1">
      <formula>(E17="ТН")</formula>
    </cfRule>
    <cfRule type="expression" dxfId="1176" priority="93" stopIfTrue="1">
      <formula>(E17="ДО")</formula>
    </cfRule>
    <cfRule type="expression" dxfId="1175" priority="94" stopIfTrue="1">
      <formula>(E17="ІН")</formula>
    </cfRule>
    <cfRule type="expression" dxfId="1174" priority="95" stopIfTrue="1">
      <formula>(E17="РВ")</formula>
    </cfRule>
    <cfRule type="expression" dxfId="1173" priority="96" stopIfTrue="1">
      <formula>(E17="ВБ")</formula>
    </cfRule>
  </conditionalFormatting>
  <conditionalFormatting sqref="F18:AI18">
    <cfRule type="expression" dxfId="1172" priority="49" stopIfTrue="1">
      <formula>(F17="ВД")</formula>
    </cfRule>
    <cfRule type="expression" dxfId="1171" priority="50" stopIfTrue="1">
      <formula>(F17="В")</formula>
    </cfRule>
    <cfRule type="expression" dxfId="1170" priority="51" stopIfTrue="1">
      <formula>(F17="ВП")</formula>
    </cfRule>
    <cfRule type="expression" dxfId="1169" priority="52" stopIfTrue="1">
      <formula>(F17="ДД")</formula>
    </cfRule>
    <cfRule type="expression" dxfId="1168" priority="53" stopIfTrue="1">
      <formula>(F17="НА")</formula>
    </cfRule>
    <cfRule type="expression" dxfId="1167" priority="54" stopIfTrue="1">
      <formula>(F17="Ч")</formula>
    </cfRule>
    <cfRule type="expression" dxfId="1166" priority="55" stopIfTrue="1">
      <formula>(F17="Н")</formula>
    </cfRule>
    <cfRule type="expression" dxfId="1165" priority="56" stopIfTrue="1">
      <formula>(F17="ТН")</formula>
    </cfRule>
    <cfRule type="expression" dxfId="1164" priority="57" stopIfTrue="1">
      <formula>(F17="ДО")</formula>
    </cfRule>
    <cfRule type="expression" dxfId="1163" priority="58" stopIfTrue="1">
      <formula>(F17="ІН")</formula>
    </cfRule>
    <cfRule type="expression" dxfId="1162" priority="59" stopIfTrue="1">
      <formula>(F17="РВ")</formula>
    </cfRule>
    <cfRule type="expression" dxfId="1161" priority="60" stopIfTrue="1">
      <formula>(F17="ВБ")</formula>
    </cfRule>
  </conditionalFormatting>
  <conditionalFormatting sqref="E19 E21 E23 E25 E27 E29">
    <cfRule type="expression" dxfId="1160" priority="25" stopIfTrue="1">
      <formula>(E19="Р")</formula>
    </cfRule>
    <cfRule type="expression" dxfId="1159" priority="26" stopIfTrue="1">
      <formula>(E19="ВЧ")</formula>
    </cfRule>
    <cfRule type="expression" dxfId="1158" priority="27" stopIfTrue="1">
      <formula>(E19="ВЧ1")</formula>
    </cfRule>
    <cfRule type="expression" dxfId="1157" priority="28" stopIfTrue="1">
      <formula>(E19="ВЧ2")</formula>
    </cfRule>
    <cfRule type="expression" dxfId="1156" priority="29" stopIfTrue="1">
      <formula>(E19="РН")</formula>
    </cfRule>
    <cfRule type="expression" dxfId="1155" priority="30" stopIfTrue="1">
      <formula>(E19="НУ")</formula>
    </cfRule>
    <cfRule type="expression" dxfId="1154" priority="31" stopIfTrue="1">
      <formula>(E19="Р1")</formula>
    </cfRule>
    <cfRule type="expression" dxfId="1153" priority="32" stopIfTrue="1">
      <formula>(E19="Р2")</formula>
    </cfRule>
    <cfRule type="expression" dxfId="1152" priority="33" stopIfTrue="1">
      <formula>(E19="Р1/РВ")</formula>
    </cfRule>
    <cfRule type="expression" dxfId="1151" priority="34" stopIfTrue="1">
      <formula>(E19="Р2/РВ")</formula>
    </cfRule>
    <cfRule type="expression" dxfId="1150" priority="35" stopIfTrue="1">
      <formula>(E19="ВЧ/РВ")</formula>
    </cfRule>
    <cfRule type="expression" priority="36" stopIfTrue="1">
      <formula>(E19="РН/РВ")</formula>
    </cfRule>
  </conditionalFormatting>
  <conditionalFormatting sqref="F19:AI19 F21:AI21 F23:AI23 F25:AI25 F27:AI27 F29:AI29">
    <cfRule type="expression" dxfId="1149" priority="13" stopIfTrue="1">
      <formula>(F19="Р")</formula>
    </cfRule>
    <cfRule type="expression" dxfId="1148" priority="14" stopIfTrue="1">
      <formula>(F19="ВЧ")</formula>
    </cfRule>
    <cfRule type="expression" dxfId="1147" priority="15" stopIfTrue="1">
      <formula>(F19="ВЧ1")</formula>
    </cfRule>
    <cfRule type="expression" dxfId="1146" priority="16" stopIfTrue="1">
      <formula>(F19="ВЧ2")</formula>
    </cfRule>
    <cfRule type="expression" dxfId="1145" priority="17" stopIfTrue="1">
      <formula>(F19="РН")</formula>
    </cfRule>
    <cfRule type="expression" dxfId="1144" priority="18" stopIfTrue="1">
      <formula>(F19="НУ")</formula>
    </cfRule>
    <cfRule type="expression" dxfId="1143" priority="19" stopIfTrue="1">
      <formula>(F19="Р1")</formula>
    </cfRule>
    <cfRule type="expression" dxfId="1142" priority="20" stopIfTrue="1">
      <formula>(F19="Р2")</formula>
    </cfRule>
    <cfRule type="expression" dxfId="1141" priority="21" stopIfTrue="1">
      <formula>(F19="Р1/РВ")</formula>
    </cfRule>
    <cfRule type="expression" dxfId="1140" priority="22" stopIfTrue="1">
      <formula>(F19="Р2/РВ")</formula>
    </cfRule>
    <cfRule type="expression" dxfId="1139" priority="23" stopIfTrue="1">
      <formula>(F19="ВЧ/РВ")</formula>
    </cfRule>
    <cfRule type="expression" priority="24" stopIfTrue="1">
      <formula>(F19="РН/РВ")</formula>
    </cfRule>
  </conditionalFormatting>
  <conditionalFormatting sqref="E20 E22 E24 E26 E28 E30">
    <cfRule type="expression" dxfId="1138" priority="37" stopIfTrue="1">
      <formula>(E19="ВД")</formula>
    </cfRule>
    <cfRule type="expression" dxfId="1137" priority="38" stopIfTrue="1">
      <formula>(E19="В")</formula>
    </cfRule>
    <cfRule type="expression" dxfId="1136" priority="39" stopIfTrue="1">
      <formula>(E19="ВП")</formula>
    </cfRule>
    <cfRule type="expression" dxfId="1135" priority="40" stopIfTrue="1">
      <formula>(E19="ДД")</formula>
    </cfRule>
    <cfRule type="expression" dxfId="1134" priority="41" stopIfTrue="1">
      <formula>(E19="НА")</formula>
    </cfRule>
    <cfRule type="expression" dxfId="1133" priority="42" stopIfTrue="1">
      <formula>(E19="Ч")</formula>
    </cfRule>
    <cfRule type="expression" dxfId="1132" priority="43" stopIfTrue="1">
      <formula>(E19="Н")</formula>
    </cfRule>
    <cfRule type="expression" dxfId="1131" priority="44" stopIfTrue="1">
      <formula>(E19="ТН")</formula>
    </cfRule>
    <cfRule type="expression" dxfId="1130" priority="45" stopIfTrue="1">
      <formula>(E19="ДО")</formula>
    </cfRule>
    <cfRule type="expression" dxfId="1129" priority="46" stopIfTrue="1">
      <formula>(E19="ІН")</formula>
    </cfRule>
    <cfRule type="expression" dxfId="1128" priority="47" stopIfTrue="1">
      <formula>(E19="РВ")</formula>
    </cfRule>
    <cfRule type="expression" dxfId="1127" priority="48" stopIfTrue="1">
      <formula>(E19="ВБ")</formula>
    </cfRule>
  </conditionalFormatting>
  <conditionalFormatting sqref="F20:AI20 F22:AI22 F24:AI24 F26:AI26 F28:AI28 F30:AI30">
    <cfRule type="expression" dxfId="1126" priority="1" stopIfTrue="1">
      <formula>(F19="ВД")</formula>
    </cfRule>
    <cfRule type="expression" dxfId="1125" priority="2" stopIfTrue="1">
      <formula>(F19="В")</formula>
    </cfRule>
    <cfRule type="expression" dxfId="1124" priority="3" stopIfTrue="1">
      <formula>(F19="ВП")</formula>
    </cfRule>
    <cfRule type="expression" dxfId="1123" priority="4" stopIfTrue="1">
      <formula>(F19="ДД")</formula>
    </cfRule>
    <cfRule type="expression" dxfId="1122" priority="5" stopIfTrue="1">
      <formula>(F19="НА")</formula>
    </cfRule>
    <cfRule type="expression" dxfId="1121" priority="6" stopIfTrue="1">
      <formula>(F19="Ч")</formula>
    </cfRule>
    <cfRule type="expression" dxfId="1120" priority="7" stopIfTrue="1">
      <formula>(F19="Н")</formula>
    </cfRule>
    <cfRule type="expression" dxfId="1119" priority="8" stopIfTrue="1">
      <formula>(F19="ТН")</formula>
    </cfRule>
    <cfRule type="expression" dxfId="1118" priority="9" stopIfTrue="1">
      <formula>(F19="ДО")</formula>
    </cfRule>
    <cfRule type="expression" dxfId="1117" priority="10" stopIfTrue="1">
      <formula>(F19="ІН")</formula>
    </cfRule>
    <cfRule type="expression" dxfId="1116" priority="11" stopIfTrue="1">
      <formula>(F19="РВ")</formula>
    </cfRule>
    <cfRule type="expression" dxfId="1115" priority="12" stopIfTrue="1">
      <formula>(F19="ВБ")</formula>
    </cfRule>
  </conditionalFormatting>
  <printOptions horizontalCentered="1"/>
  <pageMargins left="0.39370078740157483" right="0.39370078740157483" top="0.19685039370078741" bottom="0.19685039370078741" header="0" footer="0"/>
  <pageSetup paperSize="8" scale="84" fitToHeight="999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52" r:id="rId4" name="Button 4">
              <controlPr defaultSize="0" print="0" autoFill="0" autoPict="0" macro="[0]!Макрос1">
                <anchor moveWithCells="1" sizeWithCells="1">
                  <from>
                    <xdr:col>16</xdr:col>
                    <xdr:colOff>219075</xdr:colOff>
                    <xdr:row>1</xdr:row>
                    <xdr:rowOff>28575</xdr:rowOff>
                  </from>
                  <to>
                    <xdr:col>21</xdr:col>
                    <xdr:colOff>123825</xdr:colOff>
                    <xdr:row>2</xdr:row>
                    <xdr:rowOff>104775</xdr:rowOff>
                  </to>
                </anchor>
              </controlPr>
            </control>
          </mc:Choice>
        </mc:AlternateContent>
        <mc:AlternateContent xmlns:mc="http://schemas.openxmlformats.org/markup-compatibility/2006">
          <mc:Choice Requires="x14">
            <control shapeId="27653" r:id="rId5" name="Button 5">
              <controlPr defaultSize="0" print="0" autoFill="0" autoPict="0" macro="[0]!Макрос2">
                <anchor moveWithCells="1" sizeWithCells="1">
                  <from>
                    <xdr:col>16</xdr:col>
                    <xdr:colOff>219075</xdr:colOff>
                    <xdr:row>3</xdr:row>
                    <xdr:rowOff>85725</xdr:rowOff>
                  </from>
                  <to>
                    <xdr:col>21</xdr:col>
                    <xdr:colOff>133350</xdr:colOff>
                    <xdr:row>4</xdr:row>
                    <xdr:rowOff>123825</xdr:rowOff>
                  </to>
                </anchor>
              </controlPr>
            </control>
          </mc:Choice>
        </mc:AlternateContent>
        <mc:AlternateContent xmlns:mc="http://schemas.openxmlformats.org/markup-compatibility/2006">
          <mc:Choice Requires="x14">
            <control shapeId="27654" r:id="rId6" name="Button 6">
              <controlPr defaultSize="0" print="0" autoFill="0" autoPict="0" macro="[0]!Макрос3">
                <anchor moveWithCells="1" sizeWithCells="1">
                  <from>
                    <xdr:col>15</xdr:col>
                    <xdr:colOff>66675</xdr:colOff>
                    <xdr:row>5</xdr:row>
                    <xdr:rowOff>114300</xdr:rowOff>
                  </from>
                  <to>
                    <xdr:col>21</xdr:col>
                    <xdr:colOff>133350</xdr:colOff>
                    <xdr:row>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
    <pageSetUpPr fitToPage="1"/>
  </sheetPr>
  <dimension ref="A2:AZ47"/>
  <sheetViews>
    <sheetView showZeros="0" topLeftCell="D1" zoomScale="90" zoomScaleNormal="90" zoomScaleSheetLayoutView="80" workbookViewId="0">
      <pane ySplit="15" topLeftCell="A26" activePane="bottomLeft" state="frozen"/>
      <selection pane="bottomLeft" activeCell="E19" sqref="E19:AI30"/>
    </sheetView>
  </sheetViews>
  <sheetFormatPr defaultRowHeight="12.75" x14ac:dyDescent="0.2"/>
  <cols>
    <col min="1" max="1" width="5.28515625" style="1" customWidth="1"/>
    <col min="2" max="2" width="25.85546875" style="1" customWidth="1"/>
    <col min="3" max="3" width="5.85546875" style="13" customWidth="1"/>
    <col min="4" max="18" width="3.7109375" style="1" customWidth="1"/>
    <col min="19" max="19" width="5.28515625" style="1" customWidth="1"/>
    <col min="20" max="35" width="3.7109375" style="1" customWidth="1"/>
    <col min="36" max="36" width="4.7109375" style="1" customWidth="1"/>
    <col min="37" max="37" width="8.42578125" style="1" customWidth="1"/>
    <col min="38" max="42" width="4.7109375" style="1" customWidth="1"/>
    <col min="43" max="43" width="7.28515625" style="1" customWidth="1"/>
    <col min="44" max="44" width="5.85546875" style="1" customWidth="1"/>
    <col min="45" max="48" width="4.7109375" style="1" customWidth="1"/>
    <col min="49" max="49" width="4.7109375" style="131" customWidth="1"/>
    <col min="50" max="52" width="4.7109375" style="1" customWidth="1"/>
    <col min="53" max="16384" width="9.140625" style="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86</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87</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2"/>
      <c r="U9" s="42"/>
      <c r="V9" s="42"/>
      <c r="W9" s="42"/>
      <c r="X9" s="42"/>
      <c r="Y9" s="42"/>
      <c r="Z9" s="42"/>
      <c r="AA9" s="42"/>
      <c r="AB9" s="42"/>
      <c r="AC9" s="42"/>
      <c r="AD9" s="42"/>
      <c r="AE9" s="42"/>
      <c r="AF9" s="42"/>
      <c r="AG9" s="42"/>
      <c r="AH9" s="42"/>
      <c r="AI9" s="42"/>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67">
        <v>1</v>
      </c>
      <c r="B16" s="66">
        <v>2</v>
      </c>
      <c r="C16" s="71">
        <v>3</v>
      </c>
      <c r="D16" s="71" t="s">
        <v>27</v>
      </c>
      <c r="E16" s="232">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43">
        <v>6</v>
      </c>
      <c r="AK16" s="233">
        <v>7</v>
      </c>
      <c r="AL16" s="232"/>
      <c r="AM16" s="232"/>
      <c r="AN16" s="232"/>
      <c r="AO16" s="234"/>
      <c r="AP16" s="43">
        <v>8</v>
      </c>
      <c r="AQ16" s="27">
        <v>9</v>
      </c>
      <c r="AR16" s="28"/>
      <c r="AS16" s="28"/>
      <c r="AT16" s="28"/>
      <c r="AU16" s="28"/>
      <c r="AV16" s="28"/>
      <c r="AW16" s="28"/>
      <c r="AX16" s="28"/>
      <c r="AY16" s="29"/>
      <c r="AZ16" s="30"/>
    </row>
    <row r="17" spans="1:52" ht="20.100000000000001" customHeight="1" x14ac:dyDescent="0.2">
      <c r="A17" s="305">
        <v>1</v>
      </c>
      <c r="B17" s="228" t="s">
        <v>89</v>
      </c>
      <c r="C17" s="279">
        <v>2084</v>
      </c>
      <c r="D17" s="279" t="s">
        <v>65</v>
      </c>
      <c r="E17" s="185" t="s">
        <v>142</v>
      </c>
      <c r="F17" s="191" t="s">
        <v>142</v>
      </c>
      <c r="G17" s="191" t="s">
        <v>4</v>
      </c>
      <c r="H17" s="191" t="s">
        <v>4</v>
      </c>
      <c r="I17" s="191" t="s">
        <v>4</v>
      </c>
      <c r="J17" s="191" t="s">
        <v>4</v>
      </c>
      <c r="K17" s="191" t="s">
        <v>4</v>
      </c>
      <c r="L17" s="191" t="s">
        <v>142</v>
      </c>
      <c r="M17" s="191" t="s">
        <v>142</v>
      </c>
      <c r="N17" s="191" t="s">
        <v>4</v>
      </c>
      <c r="O17" s="191" t="s">
        <v>4</v>
      </c>
      <c r="P17" s="191" t="s">
        <v>4</v>
      </c>
      <c r="Q17" s="191" t="s">
        <v>4</v>
      </c>
      <c r="R17" s="191" t="s">
        <v>4</v>
      </c>
      <c r="S17" s="191" t="s">
        <v>142</v>
      </c>
      <c r="T17" s="191" t="s">
        <v>142</v>
      </c>
      <c r="U17" s="191" t="s">
        <v>4</v>
      </c>
      <c r="V17" s="191" t="s">
        <v>4</v>
      </c>
      <c r="W17" s="191" t="s">
        <v>4</v>
      </c>
      <c r="X17" s="191" t="s">
        <v>4</v>
      </c>
      <c r="Y17" s="191" t="s">
        <v>4</v>
      </c>
      <c r="Z17" s="191" t="s">
        <v>142</v>
      </c>
      <c r="AA17" s="191" t="s">
        <v>142</v>
      </c>
      <c r="AB17" s="191" t="s">
        <v>4</v>
      </c>
      <c r="AC17" s="191" t="s">
        <v>4</v>
      </c>
      <c r="AD17" s="191" t="s">
        <v>4</v>
      </c>
      <c r="AE17" s="191" t="s">
        <v>4</v>
      </c>
      <c r="AF17" s="191" t="s">
        <v>4</v>
      </c>
      <c r="AG17" s="191" t="s">
        <v>142</v>
      </c>
      <c r="AH17" s="191" t="s">
        <v>142</v>
      </c>
      <c r="AI17" s="191" t="s">
        <v>4</v>
      </c>
      <c r="AJ17" s="213">
        <f>IFERROR(COUNTIF(E17:AI17,"=Р")+COUNTIF(E17:AI17,"=Р1")+COUNTIF(E17:AI17,"=ВЧ")+COUNTIF(E17:AI17,"=РН")+COUNTIF(E17:AI17,"=Р2")+COUNTIF(E17:AI17,"=Р1/РВ")+COUNTIF(E17:AI17,"=Р2/РВ")+COUNTIF(E17:AI17,"=ВЧ/РВ")+COUNTIF(E17:AI17,"=РН/РВ"),0)</f>
        <v>21</v>
      </c>
      <c r="AK17" s="202">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167.99999999999997</v>
      </c>
      <c r="AL17" s="202">
        <f>IFERROR(SUMIF(E17:AI17,"=НУ",E18:AI18),0)</f>
        <v>0</v>
      </c>
      <c r="AM17" s="202">
        <f>IFERROR(SUMIF(E17:AI17,"=РН",E18:AI18)+SUMIF(E17:AI17,"=РН/РВ",E18:AI18)+SUMIFS(E18:AI18,E17:AI17,"=Р2",E18:AI18,"=8"),0)</f>
        <v>0</v>
      </c>
      <c r="AN17" s="211">
        <f t="shared" ref="AN17:AN29" si="0">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02">
        <f>IFERROR(SUMIF(E17:AI17,"=РВ",E18:AI18)+SUMIF(E17:AI17,"=ВЧ/РВ",E18:AI18)+SUMIF(E17:AI17,"=РН/РВ",E18:AI18)+SUMIF(E17:AI17,"=Р1/РВ",E18:AI18)+SUMIF(E17:AI17,"=ВЧ2/РВ",E18:AI18)+SUMIF(E17:AI17,"=Р2/РВ",E18:AI18),0)</f>
        <v>0</v>
      </c>
      <c r="AP17" s="202">
        <f t="shared" ref="AP17:AP29" si="1">IFERROR(COUNTIF(E17:AI17,"=ВВ")+COUNTIF(E17:AI17,"=Р1/ВВ")+COUNTIF(E17:AI17,"=РН/ВВ")+COUNTIF(E17:AI17,"=ВЧ/ВВ"),0)</f>
        <v>10</v>
      </c>
      <c r="AQ17" s="202">
        <f>SUM(AR17:AZ17)</f>
        <v>0</v>
      </c>
      <c r="AR17" s="202">
        <f>IFERROR(SUMIF(E17:AI17,"=В",E18:AI18)+SUMIF(E17:AI17,"=Ч",E18:AI18)+SUMIF(E17:AI17,"=ВБ",E18:AI18),0)</f>
        <v>0</v>
      </c>
      <c r="AS17" s="202">
        <f>IFERROR(SUMIF(E17:AI17,"=Н",E18:AI18),0)</f>
        <v>0</v>
      </c>
      <c r="AT17" s="202">
        <f>IFERROR(SUMIF(E17:AI17,"=НА",E18:AI18),0)</f>
        <v>0</v>
      </c>
      <c r="AU17" s="202">
        <f>IFERROR(SUMIF(E17:AI17,"=ВП",E18:AI18),0)</f>
        <v>0</v>
      </c>
      <c r="AV17" s="202">
        <f>IFERROR(SUMIF(E17:AI17,"=ДД",E18:AI18),0)</f>
        <v>0</v>
      </c>
      <c r="AW17" s="202">
        <f>IFERROR(SUMIF(E17:AI17,"=ДО",E18:AI18),0)</f>
        <v>0</v>
      </c>
      <c r="AX17" s="202">
        <f>IFERROR(SUMIF(E17:AI17,"=ТН",E18:AI18),0)</f>
        <v>0</v>
      </c>
      <c r="AY17" s="202">
        <f>IFERROR(SUMIF(E17:AI17,"=ВД",E18:AI18),0)</f>
        <v>0</v>
      </c>
      <c r="AZ17" s="200">
        <f>IFERROR(SUMIF(E17:AI17,"=ІН",E18:AI18),0)+SUMIF(E17:AI17,"=НЗ",E18:AI18)</f>
        <v>0</v>
      </c>
    </row>
    <row r="18" spans="1:52" ht="20.100000000000001" customHeight="1" thickBot="1" x14ac:dyDescent="0.25">
      <c r="A18" s="306"/>
      <c r="B18" s="229"/>
      <c r="C18" s="280"/>
      <c r="D18" s="280"/>
      <c r="E18" s="186"/>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c r="AH18" s="192"/>
      <c r="AI18" s="192">
        <v>8.1999999999999993</v>
      </c>
      <c r="AJ18" s="214"/>
      <c r="AK18" s="203"/>
      <c r="AL18" s="203"/>
      <c r="AM18" s="203"/>
      <c r="AN18" s="212"/>
      <c r="AO18" s="203"/>
      <c r="AP18" s="203"/>
      <c r="AQ18" s="203"/>
      <c r="AR18" s="203"/>
      <c r="AS18" s="203"/>
      <c r="AT18" s="203"/>
      <c r="AU18" s="203"/>
      <c r="AV18" s="203"/>
      <c r="AW18" s="203"/>
      <c r="AX18" s="203"/>
      <c r="AY18" s="203"/>
      <c r="AZ18" s="201"/>
    </row>
    <row r="19" spans="1:52" ht="20.100000000000001" customHeight="1" x14ac:dyDescent="0.2">
      <c r="A19" s="305">
        <f>A17+1</f>
        <v>2</v>
      </c>
      <c r="B19" s="228" t="s">
        <v>90</v>
      </c>
      <c r="C19" s="279">
        <v>2107</v>
      </c>
      <c r="D19" s="279" t="s">
        <v>65</v>
      </c>
      <c r="E19" s="191" t="s">
        <v>142</v>
      </c>
      <c r="F19" s="191" t="s">
        <v>142</v>
      </c>
      <c r="G19" s="191" t="s">
        <v>4</v>
      </c>
      <c r="H19" s="191" t="s">
        <v>4</v>
      </c>
      <c r="I19" s="191" t="s">
        <v>4</v>
      </c>
      <c r="J19" s="191" t="s">
        <v>4</v>
      </c>
      <c r="K19" s="191" t="s">
        <v>4</v>
      </c>
      <c r="L19" s="191" t="s">
        <v>142</v>
      </c>
      <c r="M19" s="191" t="s">
        <v>142</v>
      </c>
      <c r="N19" s="191" t="s">
        <v>4</v>
      </c>
      <c r="O19" s="191" t="s">
        <v>4</v>
      </c>
      <c r="P19" s="191" t="s">
        <v>4</v>
      </c>
      <c r="Q19" s="191" t="s">
        <v>4</v>
      </c>
      <c r="R19" s="191" t="s">
        <v>4</v>
      </c>
      <c r="S19" s="191" t="s">
        <v>142</v>
      </c>
      <c r="T19" s="191" t="s">
        <v>142</v>
      </c>
      <c r="U19" s="191" t="s">
        <v>4</v>
      </c>
      <c r="V19" s="191" t="s">
        <v>52</v>
      </c>
      <c r="W19" s="191" t="s">
        <v>52</v>
      </c>
      <c r="X19" s="191" t="s">
        <v>52</v>
      </c>
      <c r="Y19" s="191" t="s">
        <v>52</v>
      </c>
      <c r="Z19" s="191" t="s">
        <v>142</v>
      </c>
      <c r="AA19" s="191" t="s">
        <v>142</v>
      </c>
      <c r="AB19" s="191" t="s">
        <v>4</v>
      </c>
      <c r="AC19" s="191" t="s">
        <v>4</v>
      </c>
      <c r="AD19" s="191" t="s">
        <v>4</v>
      </c>
      <c r="AE19" s="191" t="s">
        <v>4</v>
      </c>
      <c r="AF19" s="191" t="s">
        <v>4</v>
      </c>
      <c r="AG19" s="191" t="s">
        <v>142</v>
      </c>
      <c r="AH19" s="191" t="s">
        <v>142</v>
      </c>
      <c r="AI19" s="191" t="s">
        <v>4</v>
      </c>
      <c r="AJ19" s="213">
        <f>IFERROR(COUNTIF(E19:AI19,"=Р")+COUNTIF(E19:AI19,"=Р1")+COUNTIF(E19:AI19,"=ВЧ")+COUNTIF(E19:AI19,"=РН")+COUNTIF(E19:AI19,"=Р2")+COUNTIF(E19:AI19,"=Р1/РВ")+COUNTIF(E19:AI19,"=Р2/РВ")+COUNTIF(E19:AI19,"=ВЧ/РВ")+COUNTIF(E19:AI19,"=РН/РВ"),0)</f>
        <v>17</v>
      </c>
      <c r="AK19" s="202">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136.20000000000002</v>
      </c>
      <c r="AL19" s="202">
        <f>IFERROR(SUMIF(E19:AI19,"=НУ",E20:AI20),0)</f>
        <v>0</v>
      </c>
      <c r="AM19" s="202">
        <f>IFERROR(SUMIF(E19:AI19,"=РН",E20:AI20)+SUMIF(E19:AI19,"=РН/РВ",E20:AI20)+SUMIFS(E20:AI20,E19:AI19,"=Р2",E20:AI20,"=8"),0)</f>
        <v>0</v>
      </c>
      <c r="AN19" s="211">
        <f t="shared" si="0"/>
        <v>0</v>
      </c>
      <c r="AO19" s="202">
        <f>IFERROR(SUMIF(E19:AI19,"=РВ",E20:AI20)+SUMIF(E19:AI19,"=ВЧ/РВ",E20:AI20)+SUMIF(E19:AI19,"=РН/РВ",E20:AI20)+SUMIF(E19:AI19,"=Р1/РВ",E20:AI20)+SUMIF(E19:AI19,"=ВЧ2/РВ",E20:AI20)+SUMIF(E19:AI19,"=Р2/РВ",E20:AI20),0)</f>
        <v>0</v>
      </c>
      <c r="AP19" s="202">
        <f t="shared" si="1"/>
        <v>10</v>
      </c>
      <c r="AQ19" s="202">
        <f>SUM(AR19:AZ19)</f>
        <v>31.799999999999997</v>
      </c>
      <c r="AR19" s="202">
        <f>IFERROR(SUMIF(E19:AI19,"=В",E20:AI20)+SUMIF(E19:AI19,"=Ч",E20:AI20)+SUMIF(E19:AI19,"=ВБ",E20:AI20),0)</f>
        <v>0</v>
      </c>
      <c r="AS19" s="202">
        <f>IFERROR(SUMIF(E19:AI19,"=Н",E20:AI20),0)</f>
        <v>0</v>
      </c>
      <c r="AT19" s="202">
        <f>IFERROR(SUMIF(E19:AI19,"=НА",E20:AI20),0)</f>
        <v>0</v>
      </c>
      <c r="AU19" s="202">
        <f>IFERROR(SUMIF(E19:AI19,"=ВП",E20:AI20),0)</f>
        <v>0</v>
      </c>
      <c r="AV19" s="202">
        <f>IFERROR(SUMIF(E19:AI19,"=ДД",E20:AI20),0)</f>
        <v>0</v>
      </c>
      <c r="AW19" s="202">
        <f>IFERROR(SUMIF(E19:AI19,"=ДО",E20:AI20),0)</f>
        <v>0</v>
      </c>
      <c r="AX19" s="202">
        <f>IFERROR(SUMIF(E19:AI19,"=ТН",E20:AI20),0)</f>
        <v>31.799999999999997</v>
      </c>
      <c r="AY19" s="202">
        <f>IFERROR(SUMIF(E19:AI19,"=ВД",E20:AI20),0)</f>
        <v>0</v>
      </c>
      <c r="AZ19" s="200">
        <f>IFERROR(SUMIF(E19:AI19,"=ІН",E20:AI20),0)+SUMIF(E19:AI19,"=НЗ",E20:AI20)</f>
        <v>0</v>
      </c>
    </row>
    <row r="20" spans="1:52" ht="20.100000000000001" customHeight="1" thickBot="1" x14ac:dyDescent="0.25">
      <c r="A20" s="306"/>
      <c r="B20" s="229"/>
      <c r="C20" s="280"/>
      <c r="D20" s="280"/>
      <c r="E20" s="192"/>
      <c r="F20" s="192"/>
      <c r="G20" s="192">
        <v>8.1999999999999993</v>
      </c>
      <c r="H20" s="192">
        <v>8.1999999999999993</v>
      </c>
      <c r="I20" s="192">
        <v>8.1999999999999993</v>
      </c>
      <c r="J20" s="192">
        <v>8.1999999999999993</v>
      </c>
      <c r="K20" s="192">
        <v>7</v>
      </c>
      <c r="L20" s="192"/>
      <c r="M20" s="192"/>
      <c r="N20" s="192">
        <v>8.1999999999999993</v>
      </c>
      <c r="O20" s="192">
        <v>8.1999999999999993</v>
      </c>
      <c r="P20" s="192">
        <v>8.1999999999999993</v>
      </c>
      <c r="Q20" s="192">
        <v>8.1999999999999993</v>
      </c>
      <c r="R20" s="192">
        <v>7.2</v>
      </c>
      <c r="S20" s="192"/>
      <c r="T20" s="192"/>
      <c r="U20" s="192">
        <v>8.1999999999999993</v>
      </c>
      <c r="V20" s="192">
        <v>8.1999999999999993</v>
      </c>
      <c r="W20" s="192">
        <v>8.1999999999999993</v>
      </c>
      <c r="X20" s="192">
        <v>8.1999999999999993</v>
      </c>
      <c r="Y20" s="192">
        <v>7.2</v>
      </c>
      <c r="Z20" s="192"/>
      <c r="AA20" s="192"/>
      <c r="AB20" s="192">
        <v>8.1999999999999993</v>
      </c>
      <c r="AC20" s="192">
        <v>8.1999999999999993</v>
      </c>
      <c r="AD20" s="192">
        <v>8.1999999999999993</v>
      </c>
      <c r="AE20" s="192">
        <v>8.1999999999999993</v>
      </c>
      <c r="AF20" s="192">
        <v>7.2</v>
      </c>
      <c r="AG20" s="192"/>
      <c r="AH20" s="192"/>
      <c r="AI20" s="192">
        <v>8.1999999999999993</v>
      </c>
      <c r="AJ20" s="214"/>
      <c r="AK20" s="203"/>
      <c r="AL20" s="203"/>
      <c r="AM20" s="203"/>
      <c r="AN20" s="212"/>
      <c r="AO20" s="203"/>
      <c r="AP20" s="203"/>
      <c r="AQ20" s="203"/>
      <c r="AR20" s="203"/>
      <c r="AS20" s="203"/>
      <c r="AT20" s="203"/>
      <c r="AU20" s="203"/>
      <c r="AV20" s="203"/>
      <c r="AW20" s="203"/>
      <c r="AX20" s="203"/>
      <c r="AY20" s="203"/>
      <c r="AZ20" s="201"/>
    </row>
    <row r="21" spans="1:52" s="124" customFormat="1" ht="20.100000000000001" customHeight="1" x14ac:dyDescent="0.2">
      <c r="A21" s="305">
        <f t="shared" ref="A21" si="2">A19+1</f>
        <v>3</v>
      </c>
      <c r="B21" s="228" t="s">
        <v>308</v>
      </c>
      <c r="C21" s="279">
        <v>2183</v>
      </c>
      <c r="D21" s="279" t="s">
        <v>72</v>
      </c>
      <c r="E21" s="191" t="s">
        <v>142</v>
      </c>
      <c r="F21" s="191" t="s">
        <v>142</v>
      </c>
      <c r="G21" s="191" t="s">
        <v>4</v>
      </c>
      <c r="H21" s="191" t="s">
        <v>4</v>
      </c>
      <c r="I21" s="191" t="s">
        <v>4</v>
      </c>
      <c r="J21" s="191" t="s">
        <v>4</v>
      </c>
      <c r="K21" s="191" t="s">
        <v>4</v>
      </c>
      <c r="L21" s="191" t="s">
        <v>142</v>
      </c>
      <c r="M21" s="191" t="s">
        <v>142</v>
      </c>
      <c r="N21" s="191" t="s">
        <v>4</v>
      </c>
      <c r="O21" s="191" t="s">
        <v>4</v>
      </c>
      <c r="P21" s="191" t="s">
        <v>4</v>
      </c>
      <c r="Q21" s="191" t="s">
        <v>4</v>
      </c>
      <c r="R21" s="191" t="s">
        <v>4</v>
      </c>
      <c r="S21" s="191" t="s">
        <v>142</v>
      </c>
      <c r="T21" s="191" t="s">
        <v>142</v>
      </c>
      <c r="U21" s="191" t="s">
        <v>4</v>
      </c>
      <c r="V21" s="191" t="s">
        <v>4</v>
      </c>
      <c r="W21" s="191" t="s">
        <v>4</v>
      </c>
      <c r="X21" s="191" t="s">
        <v>4</v>
      </c>
      <c r="Y21" s="191" t="s">
        <v>4</v>
      </c>
      <c r="Z21" s="191" t="s">
        <v>142</v>
      </c>
      <c r="AA21" s="191" t="s">
        <v>142</v>
      </c>
      <c r="AB21" s="191" t="s">
        <v>4</v>
      </c>
      <c r="AC21" s="191" t="s">
        <v>4</v>
      </c>
      <c r="AD21" s="191" t="s">
        <v>4</v>
      </c>
      <c r="AE21" s="191" t="s">
        <v>4</v>
      </c>
      <c r="AF21" s="191" t="s">
        <v>4</v>
      </c>
      <c r="AG21" s="191" t="s">
        <v>142</v>
      </c>
      <c r="AH21" s="191" t="s">
        <v>142</v>
      </c>
      <c r="AI21" s="191" t="s">
        <v>4</v>
      </c>
      <c r="AJ21" s="213">
        <f>IFERROR(COUNTIF(E21:AI21,"=Р")+COUNTIF(E21:AI21,"=Р1")+COUNTIF(E21:AI21,"=ВЧ")+COUNTIF(E21:AI21,"=РН")+COUNTIF(E21:AI21,"=Р2")+COUNTIF(E21:AI21,"=Р1/РВ")+COUNTIF(E21:AI21,"=Р2/РВ")+COUNTIF(E21:AI21,"=ВЧ/РВ")+COUNTIF(E21:AI21,"=РН/РВ"),0)</f>
        <v>21</v>
      </c>
      <c r="AK21" s="202">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167.99999999999997</v>
      </c>
      <c r="AL21" s="202">
        <f>IFERROR(SUMIF(E21:AI21,"=НУ",E22:AI22),0)</f>
        <v>0</v>
      </c>
      <c r="AM21" s="202">
        <f>IFERROR(SUMIF(E21:AI21,"=РН",E22:AI22)+SUMIF(E21:AI21,"=РН/РВ",E22:AI22)+SUMIFS(E22:AI22,E21:AI21,"=Р2",E22:AI22,"=8"),0)</f>
        <v>0</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0</v>
      </c>
      <c r="AO21" s="202">
        <f>IFERROR(SUMIF(E21:AI21,"=РВ",E22:AI22)+SUMIF(E21:AI21,"=ВЧ/РВ",E22:AI22)+SUMIF(E21:AI21,"=РН/РВ",E22:AI22)+SUMIF(E21:AI21,"=Р1/РВ",E22:AI22)+SUMIF(E21:AI21,"=ВЧ2/РВ",E22:AI22)+SUMIF(E21:AI21,"=Р2/РВ",E22:AI22),0)</f>
        <v>0</v>
      </c>
      <c r="AP21" s="202">
        <f>IFERROR(COUNTIF(E21:AI21,"=ВВ")+COUNTIF(E21:AI21,"=Р1/ВВ")+COUNTIF(E21:AI21,"=РН/ВВ")+COUNTIF(E21:AI21,"=ВЧ/ВВ"),0)</f>
        <v>10</v>
      </c>
      <c r="AQ21" s="202">
        <f>SUM(AR21:AZ21)</f>
        <v>0</v>
      </c>
      <c r="AR21" s="202">
        <f>IFERROR(SUMIF(E21:AI21,"=В",E22:AI22)+SUMIF(E21:AI21,"=Ч",E22:AI22)+SUMIF(E21:AI21,"=ВБ",E22:AI22),0)</f>
        <v>0</v>
      </c>
      <c r="AS21" s="202">
        <f>IFERROR(SUMIF(E21:AI21,"=Н",E22:AI22),0)</f>
        <v>0</v>
      </c>
      <c r="AT21" s="202">
        <f>IFERROR(SUMIF(E21:AI21,"=НА",E22:AI22),0)</f>
        <v>0</v>
      </c>
      <c r="AU21" s="202">
        <f>IFERROR(SUMIF(E21:AI21,"=ВП",E22:AI22),0)</f>
        <v>0</v>
      </c>
      <c r="AV21" s="202">
        <f>IFERROR(SUMIF(E21:AI21,"=ДД",E22:AI22),0)</f>
        <v>0</v>
      </c>
      <c r="AW21" s="202">
        <f>IFERROR(SUMIF(E21:AI21,"=ДО",E22:AI22),0)</f>
        <v>0</v>
      </c>
      <c r="AX21" s="202">
        <f>IFERROR(SUMIF(E21:AI21,"=ТН",E22:AI22),0)</f>
        <v>0</v>
      </c>
      <c r="AY21" s="202">
        <f>IFERROR(SUMIF(E21:AI21,"=ВД",E22:AI22),0)</f>
        <v>0</v>
      </c>
      <c r="AZ21" s="200">
        <f>IFERROR(SUMIF(E21:AI21,"=ІН",E22:AI22),0)+SUMIF(E21:AI21,"=НЗ",E22:AI22)</f>
        <v>0</v>
      </c>
    </row>
    <row r="22" spans="1:52" s="124" customFormat="1" ht="20.100000000000001" customHeight="1" thickBot="1" x14ac:dyDescent="0.25">
      <c r="A22" s="306"/>
      <c r="B22" s="229"/>
      <c r="C22" s="280"/>
      <c r="D22" s="280"/>
      <c r="E22" s="192"/>
      <c r="F22" s="192"/>
      <c r="G22" s="192">
        <v>8.1999999999999993</v>
      </c>
      <c r="H22" s="192">
        <v>8.1999999999999993</v>
      </c>
      <c r="I22" s="192">
        <v>8.1999999999999993</v>
      </c>
      <c r="J22" s="192">
        <v>8.1999999999999993</v>
      </c>
      <c r="K22" s="192">
        <v>7</v>
      </c>
      <c r="L22" s="192"/>
      <c r="M22" s="192"/>
      <c r="N22" s="192">
        <v>8.1999999999999993</v>
      </c>
      <c r="O22" s="192">
        <v>8.1999999999999993</v>
      </c>
      <c r="P22" s="192">
        <v>8.1999999999999993</v>
      </c>
      <c r="Q22" s="192">
        <v>8.1999999999999993</v>
      </c>
      <c r="R22" s="192">
        <v>7.2</v>
      </c>
      <c r="S22" s="192"/>
      <c r="T22" s="192"/>
      <c r="U22" s="192">
        <v>8.1999999999999993</v>
      </c>
      <c r="V22" s="192">
        <v>8.1999999999999993</v>
      </c>
      <c r="W22" s="192">
        <v>8.1999999999999993</v>
      </c>
      <c r="X22" s="192">
        <v>8.1999999999999993</v>
      </c>
      <c r="Y22" s="192">
        <v>7.2</v>
      </c>
      <c r="Z22" s="192"/>
      <c r="AA22" s="192"/>
      <c r="AB22" s="192">
        <v>8.1999999999999993</v>
      </c>
      <c r="AC22" s="192">
        <v>8.1999999999999993</v>
      </c>
      <c r="AD22" s="192">
        <v>8.1999999999999993</v>
      </c>
      <c r="AE22" s="192">
        <v>8.1999999999999993</v>
      </c>
      <c r="AF22" s="192">
        <v>7.2</v>
      </c>
      <c r="AG22" s="192"/>
      <c r="AH22" s="192"/>
      <c r="AI22" s="192">
        <v>8.1999999999999993</v>
      </c>
      <c r="AJ22" s="214"/>
      <c r="AK22" s="203"/>
      <c r="AL22" s="203"/>
      <c r="AM22" s="203"/>
      <c r="AN22" s="212"/>
      <c r="AO22" s="203"/>
      <c r="AP22" s="203"/>
      <c r="AQ22" s="203"/>
      <c r="AR22" s="203"/>
      <c r="AS22" s="203"/>
      <c r="AT22" s="203"/>
      <c r="AU22" s="203"/>
      <c r="AV22" s="203"/>
      <c r="AW22" s="203"/>
      <c r="AX22" s="203"/>
      <c r="AY22" s="203"/>
      <c r="AZ22" s="201"/>
    </row>
    <row r="23" spans="1:52" ht="20.100000000000001" customHeight="1" x14ac:dyDescent="0.2">
      <c r="A23" s="305">
        <f t="shared" ref="A23" si="3">A21+1</f>
        <v>4</v>
      </c>
      <c r="B23" s="228" t="s">
        <v>91</v>
      </c>
      <c r="C23" s="279">
        <v>2109</v>
      </c>
      <c r="D23" s="279" t="s">
        <v>65</v>
      </c>
      <c r="E23" s="191" t="s">
        <v>142</v>
      </c>
      <c r="F23" s="191" t="s">
        <v>142</v>
      </c>
      <c r="G23" s="191" t="s">
        <v>4</v>
      </c>
      <c r="H23" s="191" t="s">
        <v>4</v>
      </c>
      <c r="I23" s="191" t="s">
        <v>4</v>
      </c>
      <c r="J23" s="191" t="s">
        <v>4</v>
      </c>
      <c r="K23" s="191" t="s">
        <v>4</v>
      </c>
      <c r="L23" s="191" t="s">
        <v>142</v>
      </c>
      <c r="M23" s="191" t="s">
        <v>142</v>
      </c>
      <c r="N23" s="191" t="s">
        <v>4</v>
      </c>
      <c r="O23" s="191" t="s">
        <v>4</v>
      </c>
      <c r="P23" s="191" t="s">
        <v>4</v>
      </c>
      <c r="Q23" s="191" t="s">
        <v>4</v>
      </c>
      <c r="R23" s="191" t="s">
        <v>4</v>
      </c>
      <c r="S23" s="191" t="s">
        <v>142</v>
      </c>
      <c r="T23" s="191" t="s">
        <v>142</v>
      </c>
      <c r="U23" s="191" t="s">
        <v>4</v>
      </c>
      <c r="V23" s="191" t="s">
        <v>4</v>
      </c>
      <c r="W23" s="191" t="s">
        <v>4</v>
      </c>
      <c r="X23" s="191" t="s">
        <v>4</v>
      </c>
      <c r="Y23" s="191" t="s">
        <v>4</v>
      </c>
      <c r="Z23" s="191" t="s">
        <v>142</v>
      </c>
      <c r="AA23" s="191" t="s">
        <v>142</v>
      </c>
      <c r="AB23" s="191" t="s">
        <v>4</v>
      </c>
      <c r="AC23" s="191" t="s">
        <v>4</v>
      </c>
      <c r="AD23" s="191" t="s">
        <v>4</v>
      </c>
      <c r="AE23" s="191" t="s">
        <v>4</v>
      </c>
      <c r="AF23" s="191" t="s">
        <v>4</v>
      </c>
      <c r="AG23" s="191" t="s">
        <v>142</v>
      </c>
      <c r="AH23" s="191" t="s">
        <v>142</v>
      </c>
      <c r="AI23" s="191" t="s">
        <v>4</v>
      </c>
      <c r="AJ23" s="213">
        <f>IFERROR(COUNTIF(E23:AI23,"=Р")+COUNTIF(E23:AI23,"=Р1")+COUNTIF(E23:AI23,"=ВЧ")+COUNTIF(E23:AI23,"=РН")+COUNTIF(E23:AI23,"=Р2")+COUNTIF(E23:AI23,"=Р1/РВ")+COUNTIF(E23:AI23,"=Р2/РВ")+COUNTIF(E23:AI23,"=ВЧ/РВ")+COUNTIF(E23:AI23,"=РН/РВ"),0)</f>
        <v>21</v>
      </c>
      <c r="AK23" s="202">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167.99999999999997</v>
      </c>
      <c r="AL23" s="202">
        <f>IFERROR(SUMIF(E23:AI23,"=НУ",E24:AI24),0)</f>
        <v>0</v>
      </c>
      <c r="AM23" s="202">
        <f>IFERROR(SUMIF(E23:AI23,"=РН",E24:AI24)+SUMIF(E23:AI23,"=РН/РВ",E24:AI24)+SUMIFS(E24:AI24,E23:AI23,"=Р2",E24:AI24,"=8"),0)</f>
        <v>0</v>
      </c>
      <c r="AN23" s="211">
        <f t="shared" si="0"/>
        <v>0</v>
      </c>
      <c r="AO23" s="202">
        <f>IFERROR(SUMIF(E23:AI23,"=РВ",E24:AI24)+SUMIF(E23:AI23,"=ВЧ/РВ",E24:AI24)+SUMIF(E23:AI23,"=РН/РВ",E24:AI24)+SUMIF(E23:AI23,"=Р1/РВ",E24:AI24)+SUMIF(E23:AI23,"=ВЧ2/РВ",E24:AI24)+SUMIF(E23:AI23,"=Р2/РВ",E24:AI24),0)</f>
        <v>0</v>
      </c>
      <c r="AP23" s="202">
        <f t="shared" si="1"/>
        <v>10</v>
      </c>
      <c r="AQ23" s="202">
        <f>SUM(AR23:AZ23)</f>
        <v>0</v>
      </c>
      <c r="AR23" s="202">
        <f>IFERROR(SUMIF(E23:AI23,"=В",E24:AI24)+SUMIF(E23:AI23,"=Ч",E24:AI24)+SUMIF(E23:AI23,"=ВБ",E24:AI24),0)</f>
        <v>0</v>
      </c>
      <c r="AS23" s="202">
        <f>IFERROR(SUMIF(E23:AI23,"=Н",E24:AI24),0)</f>
        <v>0</v>
      </c>
      <c r="AT23" s="202">
        <f>IFERROR(SUMIF(E23:AI23,"=НА",E24:AI24),0)</f>
        <v>0</v>
      </c>
      <c r="AU23" s="202">
        <f>IFERROR(SUMIF(E23:AI23,"=ВП",E24:AI24),0)</f>
        <v>0</v>
      </c>
      <c r="AV23" s="202">
        <f>IFERROR(SUMIF(E23:AI23,"=ДД",E24:AI24),0)</f>
        <v>0</v>
      </c>
      <c r="AW23" s="202">
        <f>IFERROR(SUMIF(E23:AI23,"=ДО",E24:AI24),0)</f>
        <v>0</v>
      </c>
      <c r="AX23" s="202">
        <f>IFERROR(SUMIF(E23:AI23,"=ТН",E24:AI24),0)</f>
        <v>0</v>
      </c>
      <c r="AY23" s="202">
        <f>IFERROR(SUMIF(E23:AI23,"=ВД",E24:AI24),0)</f>
        <v>0</v>
      </c>
      <c r="AZ23" s="200">
        <f>IFERROR(SUMIF(E23:AI23,"=ІН",E24:AI24),0)+SUMIF(E23:AI23,"=НЗ",E24:AI24)</f>
        <v>0</v>
      </c>
    </row>
    <row r="24" spans="1:52" ht="20.100000000000001" customHeight="1" thickBot="1" x14ac:dyDescent="0.25">
      <c r="A24" s="306"/>
      <c r="B24" s="229"/>
      <c r="C24" s="280"/>
      <c r="D24" s="280"/>
      <c r="E24" s="192"/>
      <c r="F24" s="192"/>
      <c r="G24" s="192">
        <v>8.1999999999999993</v>
      </c>
      <c r="H24" s="192">
        <v>8.1999999999999993</v>
      </c>
      <c r="I24" s="192">
        <v>8.1999999999999993</v>
      </c>
      <c r="J24" s="192">
        <v>8.1999999999999993</v>
      </c>
      <c r="K24" s="192">
        <v>7</v>
      </c>
      <c r="L24" s="192"/>
      <c r="M24" s="192"/>
      <c r="N24" s="192">
        <v>8.1999999999999993</v>
      </c>
      <c r="O24" s="192">
        <v>8.1999999999999993</v>
      </c>
      <c r="P24" s="192">
        <v>8.1999999999999993</v>
      </c>
      <c r="Q24" s="192">
        <v>8.1999999999999993</v>
      </c>
      <c r="R24" s="192">
        <v>7.2</v>
      </c>
      <c r="S24" s="192"/>
      <c r="T24" s="192"/>
      <c r="U24" s="192">
        <v>8.1999999999999993</v>
      </c>
      <c r="V24" s="192">
        <v>8.1999999999999993</v>
      </c>
      <c r="W24" s="192">
        <v>8.1999999999999993</v>
      </c>
      <c r="X24" s="192">
        <v>8.1999999999999993</v>
      </c>
      <c r="Y24" s="192">
        <v>7.2</v>
      </c>
      <c r="Z24" s="192"/>
      <c r="AA24" s="192"/>
      <c r="AB24" s="192">
        <v>8.1999999999999993</v>
      </c>
      <c r="AC24" s="192">
        <v>8.1999999999999993</v>
      </c>
      <c r="AD24" s="192">
        <v>8.1999999999999993</v>
      </c>
      <c r="AE24" s="192">
        <v>8.1999999999999993</v>
      </c>
      <c r="AF24" s="192">
        <v>7.2</v>
      </c>
      <c r="AG24" s="192"/>
      <c r="AH24" s="192"/>
      <c r="AI24" s="192">
        <v>8.1999999999999993</v>
      </c>
      <c r="AJ24" s="214"/>
      <c r="AK24" s="203"/>
      <c r="AL24" s="203"/>
      <c r="AM24" s="203"/>
      <c r="AN24" s="212"/>
      <c r="AO24" s="203"/>
      <c r="AP24" s="203"/>
      <c r="AQ24" s="203"/>
      <c r="AR24" s="203"/>
      <c r="AS24" s="203"/>
      <c r="AT24" s="203"/>
      <c r="AU24" s="203"/>
      <c r="AV24" s="203"/>
      <c r="AW24" s="203"/>
      <c r="AX24" s="203"/>
      <c r="AY24" s="203"/>
      <c r="AZ24" s="201"/>
    </row>
    <row r="25" spans="1:52" ht="20.100000000000001" customHeight="1" x14ac:dyDescent="0.2">
      <c r="A25" s="305">
        <f t="shared" ref="A25:A29" si="4">A23+1</f>
        <v>5</v>
      </c>
      <c r="B25" s="228" t="s">
        <v>156</v>
      </c>
      <c r="C25" s="279">
        <v>1905</v>
      </c>
      <c r="D25" s="279" t="s">
        <v>65</v>
      </c>
      <c r="E25" s="191" t="s">
        <v>142</v>
      </c>
      <c r="F25" s="191" t="s">
        <v>142</v>
      </c>
      <c r="G25" s="191" t="s">
        <v>4</v>
      </c>
      <c r="H25" s="191" t="s">
        <v>4</v>
      </c>
      <c r="I25" s="191" t="s">
        <v>4</v>
      </c>
      <c r="J25" s="191" t="s">
        <v>4</v>
      </c>
      <c r="K25" s="191" t="s">
        <v>4</v>
      </c>
      <c r="L25" s="191" t="s">
        <v>142</v>
      </c>
      <c r="M25" s="191" t="s">
        <v>142</v>
      </c>
      <c r="N25" s="191" t="s">
        <v>4</v>
      </c>
      <c r="O25" s="191" t="s">
        <v>4</v>
      </c>
      <c r="P25" s="191" t="s">
        <v>4</v>
      </c>
      <c r="Q25" s="191" t="s">
        <v>4</v>
      </c>
      <c r="R25" s="191" t="s">
        <v>4</v>
      </c>
      <c r="S25" s="191" t="s">
        <v>142</v>
      </c>
      <c r="T25" s="191" t="s">
        <v>142</v>
      </c>
      <c r="U25" s="191" t="s">
        <v>4</v>
      </c>
      <c r="V25" s="191" t="s">
        <v>4</v>
      </c>
      <c r="W25" s="191" t="s">
        <v>4</v>
      </c>
      <c r="X25" s="191" t="s">
        <v>4</v>
      </c>
      <c r="Y25" s="191" t="s">
        <v>4</v>
      </c>
      <c r="Z25" s="191" t="s">
        <v>142</v>
      </c>
      <c r="AA25" s="191" t="s">
        <v>142</v>
      </c>
      <c r="AB25" s="191" t="s">
        <v>4</v>
      </c>
      <c r="AC25" s="191" t="s">
        <v>4</v>
      </c>
      <c r="AD25" s="191" t="s">
        <v>4</v>
      </c>
      <c r="AE25" s="191" t="s">
        <v>4</v>
      </c>
      <c r="AF25" s="191" t="s">
        <v>4</v>
      </c>
      <c r="AG25" s="191" t="s">
        <v>142</v>
      </c>
      <c r="AH25" s="191" t="s">
        <v>142</v>
      </c>
      <c r="AI25" s="191" t="s">
        <v>4</v>
      </c>
      <c r="AJ25" s="213">
        <f>IFERROR(COUNTIF(E25:AI25,"=Р")+COUNTIF(E25:AI25,"=Р1")+COUNTIF(E25:AI25,"=ВЧ")+COUNTIF(E25:AI25,"=РН")+COUNTIF(E25:AI25,"=Р2")+COUNTIF(E25:AI25,"=Р1/РВ")+COUNTIF(E25:AI25,"=Р2/РВ")+COUNTIF(E25:AI25,"=ВЧ/РВ")+COUNTIF(E25:AI25,"=РН/РВ"),0)</f>
        <v>21</v>
      </c>
      <c r="AK25" s="202">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167.99999999999997</v>
      </c>
      <c r="AL25" s="202">
        <f>IFERROR(SUMIF(E25:AI25,"=НУ",E26:AI26),0)</f>
        <v>0</v>
      </c>
      <c r="AM25" s="202">
        <f>IFERROR(SUMIF(E25:AI25,"=РН",E26:AI26)+SUMIF(E25:AI25,"=РН/РВ",E26:AI26)+SUMIFS(E26:AI26,E25:AI25,"=Р2",E26:AI26,"=8"),0)</f>
        <v>0</v>
      </c>
      <c r="AN25" s="211">
        <f t="shared" si="0"/>
        <v>0</v>
      </c>
      <c r="AO25" s="202">
        <f>IFERROR(SUMIF(E25:AI25,"=РВ",E26:AI26)+SUMIF(E25:AI25,"=ВЧ/РВ",E26:AI26)+SUMIF(E25:AI25,"=РН/РВ",E26:AI26)+SUMIF(E25:AI25,"=Р1/РВ",E26:AI26)+SUMIF(E25:AI25,"=ВЧ2/РВ",E26:AI26)+SUMIF(E25:AI25,"=Р2/РВ",E26:AI26),0)</f>
        <v>0</v>
      </c>
      <c r="AP25" s="202">
        <f t="shared" si="1"/>
        <v>10</v>
      </c>
      <c r="AQ25" s="202">
        <f>SUM(AR25:AZ25)</f>
        <v>0</v>
      </c>
      <c r="AR25" s="202">
        <f>IFERROR(SUMIF(E25:AI25,"=В",E26:AI26)+SUMIF(E25:AI25,"=Ч",E26:AI26)+SUMIF(E25:AI25,"=ВБ",E26:AI26),0)</f>
        <v>0</v>
      </c>
      <c r="AS25" s="202">
        <f>IFERROR(SUMIF(E25:AI25,"=Н",E26:AI26),0)</f>
        <v>0</v>
      </c>
      <c r="AT25" s="202">
        <f>IFERROR(SUMIF(E25:AI25,"=НА",E26:AI26),0)</f>
        <v>0</v>
      </c>
      <c r="AU25" s="202">
        <f>IFERROR(SUMIF(E25:AI25,"=ВП",E26:AI26),0)</f>
        <v>0</v>
      </c>
      <c r="AV25" s="202">
        <f>IFERROR(SUMIF(E25:AI25,"=ДД",E26:AI26),0)</f>
        <v>0</v>
      </c>
      <c r="AW25" s="202">
        <f>IFERROR(SUMIF(E25:AI25,"=ДО",E26:AI26),0)</f>
        <v>0</v>
      </c>
      <c r="AX25" s="202">
        <f>IFERROR(SUMIF(E25:AI25,"=ТН",E26:AI26),0)</f>
        <v>0</v>
      </c>
      <c r="AY25" s="202">
        <f>IFERROR(SUMIF(E25:AI25,"=ВД",E26:AI26),0)</f>
        <v>0</v>
      </c>
      <c r="AZ25" s="200">
        <f>IFERROR(SUMIF(E25:AI25,"=ІН",E26:AI26),0)+SUMIF(E25:AI25,"=НЗ",E26:AI26)</f>
        <v>0</v>
      </c>
    </row>
    <row r="26" spans="1:52" ht="20.100000000000001" customHeight="1" thickBot="1" x14ac:dyDescent="0.25">
      <c r="A26" s="306"/>
      <c r="B26" s="229"/>
      <c r="C26" s="280"/>
      <c r="D26" s="280"/>
      <c r="E26" s="192"/>
      <c r="F26" s="192"/>
      <c r="G26" s="192">
        <v>8.1999999999999993</v>
      </c>
      <c r="H26" s="192">
        <v>8.1999999999999993</v>
      </c>
      <c r="I26" s="192">
        <v>8.1999999999999993</v>
      </c>
      <c r="J26" s="192">
        <v>8.1999999999999993</v>
      </c>
      <c r="K26" s="192">
        <v>7</v>
      </c>
      <c r="L26" s="192"/>
      <c r="M26" s="192"/>
      <c r="N26" s="192">
        <v>8.1999999999999993</v>
      </c>
      <c r="O26" s="192">
        <v>8.1999999999999993</v>
      </c>
      <c r="P26" s="192">
        <v>8.1999999999999993</v>
      </c>
      <c r="Q26" s="192">
        <v>8.1999999999999993</v>
      </c>
      <c r="R26" s="192">
        <v>7.2</v>
      </c>
      <c r="S26" s="192"/>
      <c r="T26" s="192"/>
      <c r="U26" s="192">
        <v>8.1999999999999993</v>
      </c>
      <c r="V26" s="192">
        <v>8.1999999999999993</v>
      </c>
      <c r="W26" s="192">
        <v>8.1999999999999993</v>
      </c>
      <c r="X26" s="192">
        <v>8.1999999999999993</v>
      </c>
      <c r="Y26" s="192">
        <v>7.2</v>
      </c>
      <c r="Z26" s="192"/>
      <c r="AA26" s="192"/>
      <c r="AB26" s="192">
        <v>8.1999999999999993</v>
      </c>
      <c r="AC26" s="192">
        <v>8.1999999999999993</v>
      </c>
      <c r="AD26" s="192">
        <v>8.1999999999999993</v>
      </c>
      <c r="AE26" s="192">
        <v>8.1999999999999993</v>
      </c>
      <c r="AF26" s="192">
        <v>7.2</v>
      </c>
      <c r="AG26" s="192"/>
      <c r="AH26" s="192"/>
      <c r="AI26" s="192">
        <v>8.1999999999999993</v>
      </c>
      <c r="AJ26" s="214"/>
      <c r="AK26" s="203"/>
      <c r="AL26" s="203"/>
      <c r="AM26" s="203"/>
      <c r="AN26" s="212"/>
      <c r="AO26" s="203"/>
      <c r="AP26" s="203"/>
      <c r="AQ26" s="203"/>
      <c r="AR26" s="203"/>
      <c r="AS26" s="203"/>
      <c r="AT26" s="203"/>
      <c r="AU26" s="203"/>
      <c r="AV26" s="203"/>
      <c r="AW26" s="203"/>
      <c r="AX26" s="203"/>
      <c r="AY26" s="203"/>
      <c r="AZ26" s="201"/>
    </row>
    <row r="27" spans="1:52" s="188" customFormat="1" ht="20.100000000000001" customHeight="1" x14ac:dyDescent="0.2">
      <c r="A27" s="305">
        <f t="shared" si="4"/>
        <v>6</v>
      </c>
      <c r="B27" s="228" t="s">
        <v>465</v>
      </c>
      <c r="C27" s="279"/>
      <c r="D27" s="279" t="s">
        <v>65</v>
      </c>
      <c r="E27" s="191"/>
      <c r="F27" s="191"/>
      <c r="G27" s="191"/>
      <c r="H27" s="191" t="s">
        <v>4</v>
      </c>
      <c r="I27" s="191" t="s">
        <v>4</v>
      </c>
      <c r="J27" s="191" t="s">
        <v>4</v>
      </c>
      <c r="K27" s="191" t="s">
        <v>4</v>
      </c>
      <c r="L27" s="191" t="s">
        <v>142</v>
      </c>
      <c r="M27" s="191" t="s">
        <v>142</v>
      </c>
      <c r="N27" s="191" t="s">
        <v>4</v>
      </c>
      <c r="O27" s="191" t="s">
        <v>4</v>
      </c>
      <c r="P27" s="191" t="s">
        <v>4</v>
      </c>
      <c r="Q27" s="191" t="s">
        <v>4</v>
      </c>
      <c r="R27" s="191" t="s">
        <v>4</v>
      </c>
      <c r="S27" s="191" t="s">
        <v>142</v>
      </c>
      <c r="T27" s="191" t="s">
        <v>142</v>
      </c>
      <c r="U27" s="191" t="s">
        <v>4</v>
      </c>
      <c r="V27" s="191" t="s">
        <v>4</v>
      </c>
      <c r="W27" s="191" t="s">
        <v>4</v>
      </c>
      <c r="X27" s="191" t="s">
        <v>4</v>
      </c>
      <c r="Y27" s="191" t="s">
        <v>4</v>
      </c>
      <c r="Z27" s="191" t="s">
        <v>142</v>
      </c>
      <c r="AA27" s="191" t="s">
        <v>142</v>
      </c>
      <c r="AB27" s="191" t="s">
        <v>4</v>
      </c>
      <c r="AC27" s="191" t="s">
        <v>4</v>
      </c>
      <c r="AD27" s="191" t="s">
        <v>4</v>
      </c>
      <c r="AE27" s="191" t="s">
        <v>4</v>
      </c>
      <c r="AF27" s="191" t="s">
        <v>4</v>
      </c>
      <c r="AG27" s="191" t="s">
        <v>142</v>
      </c>
      <c r="AH27" s="191" t="s">
        <v>142</v>
      </c>
      <c r="AI27" s="191" t="s">
        <v>4</v>
      </c>
      <c r="AJ27" s="213">
        <f>IFERROR(COUNTIF(E27:AI27,"=Р")+COUNTIF(E27:AI27,"=Р1")+COUNTIF(E27:AI27,"=ВЧ")+COUNTIF(E27:AI27,"=РН")+COUNTIF(E27:AI27,"=Р2")+COUNTIF(E27:AI27,"=Р1/РВ")+COUNTIF(E27:AI27,"=Р2/РВ")+COUNTIF(E27:AI27,"=ВЧ/РВ")+COUNTIF(E27:AI27,"=РН/РВ"),0)</f>
        <v>20</v>
      </c>
      <c r="AK27" s="202">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159.79999999999998</v>
      </c>
      <c r="AL27" s="202">
        <f>IFERROR(SUMIF(E27:AI27,"=НУ",E28:AI28),0)</f>
        <v>0</v>
      </c>
      <c r="AM27" s="202">
        <f>IFERROR(SUMIF(E27:AI27,"=РН",E28:AI28)+SUMIF(E27:AI27,"=РН/РВ",E28:AI28)+SUMIFS(E28:AI28,E27:AI27,"=Р2",E28:AI28,"=8"),0)</f>
        <v>0</v>
      </c>
      <c r="AN27" s="211">
        <f t="shared" ref="AN27" si="5">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0</v>
      </c>
      <c r="AO27" s="202">
        <f>IFERROR(SUMIF(E27:AI27,"=РВ",E28:AI28)+SUMIF(E27:AI27,"=ВЧ/РВ",E28:AI28)+SUMIF(E27:AI27,"=РН/РВ",E28:AI28)+SUMIF(E27:AI27,"=Р1/РВ",E28:AI28)+SUMIF(E27:AI27,"=ВЧ2/РВ",E28:AI28)+SUMIF(E27:AI27,"=Р2/РВ",E28:AI28),0)</f>
        <v>0</v>
      </c>
      <c r="AP27" s="202">
        <f t="shared" ref="AP27" si="6">IFERROR(COUNTIF(E27:AI27,"=ВВ")+COUNTIF(E27:AI27,"=Р1/ВВ")+COUNTIF(E27:AI27,"=РН/ВВ")+COUNTIF(E27:AI27,"=ВЧ/ВВ"),0)</f>
        <v>8</v>
      </c>
      <c r="AQ27" s="202">
        <f>SUM(AR27:AZ27)</f>
        <v>0</v>
      </c>
      <c r="AR27" s="202">
        <f>IFERROR(SUMIF(E27:AI27,"=В",E28:AI28)+SUMIF(E27:AI27,"=Ч",E28:AI28)+SUMIF(E27:AI27,"=ВБ",E28:AI28),0)</f>
        <v>0</v>
      </c>
      <c r="AS27" s="202">
        <f>IFERROR(SUMIF(E27:AI27,"=Н",E28:AI28),0)</f>
        <v>0</v>
      </c>
      <c r="AT27" s="202">
        <f>IFERROR(SUMIF(E27:AI27,"=НА",E28:AI28),0)</f>
        <v>0</v>
      </c>
      <c r="AU27" s="202">
        <f>IFERROR(SUMIF(E27:AI27,"=ВП",E28:AI28),0)</f>
        <v>0</v>
      </c>
      <c r="AV27" s="202">
        <f>IFERROR(SUMIF(E27:AI27,"=ДД",E28:AI28),0)</f>
        <v>0</v>
      </c>
      <c r="AW27" s="202">
        <f>IFERROR(SUMIF(E27:AI27,"=ДО",E28:AI28),0)</f>
        <v>0</v>
      </c>
      <c r="AX27" s="202">
        <f>IFERROR(SUMIF(E27:AI27,"=ТН",E28:AI28),0)</f>
        <v>0</v>
      </c>
      <c r="AY27" s="202">
        <f>IFERROR(SUMIF(E27:AI27,"=ВД",E28:AI28),0)</f>
        <v>0</v>
      </c>
      <c r="AZ27" s="200">
        <f>IFERROR(SUMIF(E27:AI27,"=ІН",E28:AI28),0)+SUMIF(E27:AI27,"=НЗ",E28:AI28)</f>
        <v>0</v>
      </c>
    </row>
    <row r="28" spans="1:52" s="188" customFormat="1" ht="20.100000000000001" customHeight="1" thickBot="1" x14ac:dyDescent="0.25">
      <c r="A28" s="306"/>
      <c r="B28" s="229"/>
      <c r="C28" s="280"/>
      <c r="D28" s="280"/>
      <c r="E28" s="192" t="s">
        <v>466</v>
      </c>
      <c r="F28" s="192" t="s">
        <v>467</v>
      </c>
      <c r="G28" s="192" t="s">
        <v>468</v>
      </c>
      <c r="H28" s="192">
        <v>8.1999999999999993</v>
      </c>
      <c r="I28" s="192">
        <v>8.1999999999999993</v>
      </c>
      <c r="J28" s="192">
        <v>8.1999999999999993</v>
      </c>
      <c r="K28" s="192">
        <v>7</v>
      </c>
      <c r="L28" s="192"/>
      <c r="M28" s="192"/>
      <c r="N28" s="192">
        <v>8.1999999999999993</v>
      </c>
      <c r="O28" s="192">
        <v>8.1999999999999993</v>
      </c>
      <c r="P28" s="192">
        <v>8.1999999999999993</v>
      </c>
      <c r="Q28" s="192">
        <v>8.1999999999999993</v>
      </c>
      <c r="R28" s="192">
        <v>7.2</v>
      </c>
      <c r="S28" s="192"/>
      <c r="T28" s="192"/>
      <c r="U28" s="192">
        <v>8.1999999999999993</v>
      </c>
      <c r="V28" s="192">
        <v>8.1999999999999993</v>
      </c>
      <c r="W28" s="192">
        <v>8.1999999999999993</v>
      </c>
      <c r="X28" s="192">
        <v>8.1999999999999993</v>
      </c>
      <c r="Y28" s="192">
        <v>7.2</v>
      </c>
      <c r="Z28" s="192"/>
      <c r="AA28" s="192"/>
      <c r="AB28" s="192">
        <v>8.1999999999999993</v>
      </c>
      <c r="AC28" s="192">
        <v>8.1999999999999993</v>
      </c>
      <c r="AD28" s="192">
        <v>8.1999999999999993</v>
      </c>
      <c r="AE28" s="192">
        <v>8.1999999999999993</v>
      </c>
      <c r="AF28" s="192">
        <v>7.2</v>
      </c>
      <c r="AG28" s="192"/>
      <c r="AH28" s="192"/>
      <c r="AI28" s="192">
        <v>8.1999999999999993</v>
      </c>
      <c r="AJ28" s="214"/>
      <c r="AK28" s="203"/>
      <c r="AL28" s="203"/>
      <c r="AM28" s="203"/>
      <c r="AN28" s="212"/>
      <c r="AO28" s="203"/>
      <c r="AP28" s="203"/>
      <c r="AQ28" s="203"/>
      <c r="AR28" s="203"/>
      <c r="AS28" s="203"/>
      <c r="AT28" s="203"/>
      <c r="AU28" s="203"/>
      <c r="AV28" s="203"/>
      <c r="AW28" s="203"/>
      <c r="AX28" s="203"/>
      <c r="AY28" s="203"/>
      <c r="AZ28" s="201"/>
    </row>
    <row r="29" spans="1:52" ht="20.100000000000001" customHeight="1" x14ac:dyDescent="0.2">
      <c r="A29" s="305">
        <f t="shared" si="4"/>
        <v>7</v>
      </c>
      <c r="B29" s="228" t="s">
        <v>88</v>
      </c>
      <c r="C29" s="279">
        <v>1938</v>
      </c>
      <c r="D29" s="279" t="s">
        <v>65</v>
      </c>
      <c r="E29" s="191" t="s">
        <v>142</v>
      </c>
      <c r="F29" s="191" t="s">
        <v>142</v>
      </c>
      <c r="G29" s="191" t="s">
        <v>4</v>
      </c>
      <c r="H29" s="191" t="s">
        <v>4</v>
      </c>
      <c r="I29" s="191" t="s">
        <v>4</v>
      </c>
      <c r="J29" s="191" t="s">
        <v>4</v>
      </c>
      <c r="K29" s="191" t="s">
        <v>4</v>
      </c>
      <c r="L29" s="191" t="s">
        <v>142</v>
      </c>
      <c r="M29" s="191" t="s">
        <v>142</v>
      </c>
      <c r="N29" s="191" t="s">
        <v>4</v>
      </c>
      <c r="O29" s="191" t="s">
        <v>4</v>
      </c>
      <c r="P29" s="191" t="s">
        <v>4</v>
      </c>
      <c r="Q29" s="191" t="s">
        <v>4</v>
      </c>
      <c r="R29" s="191" t="s">
        <v>4</v>
      </c>
      <c r="S29" s="191" t="s">
        <v>142</v>
      </c>
      <c r="T29" s="191" t="s">
        <v>142</v>
      </c>
      <c r="U29" s="191" t="s">
        <v>4</v>
      </c>
      <c r="V29" s="191" t="s">
        <v>4</v>
      </c>
      <c r="W29" s="191" t="s">
        <v>4</v>
      </c>
      <c r="X29" s="191" t="s">
        <v>4</v>
      </c>
      <c r="Y29" s="191" t="s">
        <v>4</v>
      </c>
      <c r="Z29" s="191" t="s">
        <v>142</v>
      </c>
      <c r="AA29" s="191" t="s">
        <v>142</v>
      </c>
      <c r="AB29" s="191" t="s">
        <v>4</v>
      </c>
      <c r="AC29" s="191" t="s">
        <v>4</v>
      </c>
      <c r="AD29" s="191" t="s">
        <v>4</v>
      </c>
      <c r="AE29" s="191" t="s">
        <v>4</v>
      </c>
      <c r="AF29" s="191" t="s">
        <v>4</v>
      </c>
      <c r="AG29" s="191" t="s">
        <v>142</v>
      </c>
      <c r="AH29" s="191" t="s">
        <v>142</v>
      </c>
      <c r="AI29" s="191" t="s">
        <v>4</v>
      </c>
      <c r="AJ29" s="213">
        <f>IFERROR(COUNTIF(E29:AI29,"=Р")+COUNTIF(E29:AI29,"=Р1")+COUNTIF(E29:AI29,"=ВЧ")+COUNTIF(E29:AI29,"=РН")+COUNTIF(E29:AI29,"=Р2")+COUNTIF(E29:AI29,"=Р1/РВ")+COUNTIF(E29:AI29,"=Р2/РВ")+COUNTIF(E29:AI29,"=ВЧ/РВ")+COUNTIF(E29:AI29,"=РН/РВ"),0)</f>
        <v>21</v>
      </c>
      <c r="AK29" s="202">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167.99999999999997</v>
      </c>
      <c r="AL29" s="202">
        <f>IFERROR(SUMIF(E29:AI29,"=НУ",E30:AI30),0)</f>
        <v>0</v>
      </c>
      <c r="AM29" s="202">
        <f>IFERROR(SUMIF(E29:AI29,"=РН",E30:AI30)+SUMIF(E29:AI29,"=РН/РВ",E30:AI30)+SUMIFS(E30:AI30,E29:AI29,"=Р2",E30:AI30,"=8"),0)</f>
        <v>0</v>
      </c>
      <c r="AN29" s="211">
        <f t="shared" si="0"/>
        <v>0</v>
      </c>
      <c r="AO29" s="202">
        <f>IFERROR(SUMIF(E29:AI29,"=РВ",E30:AI30)+SUMIF(E29:AI29,"=ВЧ/РВ",E30:AI30)+SUMIF(E29:AI29,"=РН/РВ",E30:AI30)+SUMIF(E29:AI29,"=Р1/РВ",E30:AI30)+SUMIF(E29:AI29,"=ВЧ2/РВ",E30:AI30)+SUMIF(E29:AI29,"=Р2/РВ",E30:AI30),0)</f>
        <v>0</v>
      </c>
      <c r="AP29" s="202">
        <f t="shared" si="1"/>
        <v>10</v>
      </c>
      <c r="AQ29" s="202">
        <f>SUM(AR29:AZ29)</f>
        <v>0</v>
      </c>
      <c r="AR29" s="202">
        <f>IFERROR(SUMIF(E29:AI29,"=В",E30:AI30)+SUMIF(E29:AI29,"=Ч",E30:AI30)+SUMIF(E29:AI29,"=ВБ",E30:AI30),0)</f>
        <v>0</v>
      </c>
      <c r="AS29" s="202">
        <f>IFERROR(SUMIF(E29:AI29,"=Н",E30:AI30),0)</f>
        <v>0</v>
      </c>
      <c r="AT29" s="202">
        <f>IFERROR(SUMIF(E29:AI29,"=НА",E30:AI30),0)</f>
        <v>0</v>
      </c>
      <c r="AU29" s="202">
        <f>IFERROR(SUMIF(E29:AI29,"=ВП",E30:AI30),0)</f>
        <v>0</v>
      </c>
      <c r="AV29" s="202">
        <f>IFERROR(SUMIF(E29:AI29,"=ДД",E30:AI30),0)</f>
        <v>0</v>
      </c>
      <c r="AW29" s="202">
        <f>IFERROR(SUMIF(E29:AI29,"=ДО",E30:AI30),0)</f>
        <v>0</v>
      </c>
      <c r="AX29" s="202">
        <f>IFERROR(SUMIF(E29:AI29,"=ТН",E30:AI30),0)</f>
        <v>0</v>
      </c>
      <c r="AY29" s="202">
        <f>IFERROR(SUMIF(E29:AI29,"=ВД",E30:AI30),0)</f>
        <v>0</v>
      </c>
      <c r="AZ29" s="200">
        <f>IFERROR(SUMIF(E29:AI29,"=ІН",E30:AI30),0)+SUMIF(E29:AI29,"=НЗ",E30:AI30)</f>
        <v>0</v>
      </c>
    </row>
    <row r="30" spans="1:52" ht="20.100000000000001" customHeight="1" thickBot="1" x14ac:dyDescent="0.25">
      <c r="A30" s="306"/>
      <c r="B30" s="229"/>
      <c r="C30" s="280"/>
      <c r="D30" s="280"/>
      <c r="E30" s="192"/>
      <c r="F30" s="192"/>
      <c r="G30" s="192">
        <v>8.1999999999999993</v>
      </c>
      <c r="H30" s="192">
        <v>8.1999999999999993</v>
      </c>
      <c r="I30" s="192">
        <v>8.1999999999999993</v>
      </c>
      <c r="J30" s="192">
        <v>8.1999999999999993</v>
      </c>
      <c r="K30" s="192">
        <v>7</v>
      </c>
      <c r="L30" s="192"/>
      <c r="M30" s="192"/>
      <c r="N30" s="192">
        <v>8.1999999999999993</v>
      </c>
      <c r="O30" s="192">
        <v>8.1999999999999993</v>
      </c>
      <c r="P30" s="192">
        <v>8.1999999999999993</v>
      </c>
      <c r="Q30" s="192">
        <v>8.1999999999999993</v>
      </c>
      <c r="R30" s="192">
        <v>7.2</v>
      </c>
      <c r="S30" s="192"/>
      <c r="T30" s="192"/>
      <c r="U30" s="192">
        <v>8.1999999999999993</v>
      </c>
      <c r="V30" s="192">
        <v>8.1999999999999993</v>
      </c>
      <c r="W30" s="192">
        <v>8.1999999999999993</v>
      </c>
      <c r="X30" s="192">
        <v>8.1999999999999993</v>
      </c>
      <c r="Y30" s="192">
        <v>7.2</v>
      </c>
      <c r="Z30" s="192"/>
      <c r="AA30" s="192"/>
      <c r="AB30" s="192">
        <v>8.1999999999999993</v>
      </c>
      <c r="AC30" s="192">
        <v>8.1999999999999993</v>
      </c>
      <c r="AD30" s="192">
        <v>8.1999999999999993</v>
      </c>
      <c r="AE30" s="192">
        <v>8.1999999999999993</v>
      </c>
      <c r="AF30" s="192">
        <v>7.2</v>
      </c>
      <c r="AG30" s="192"/>
      <c r="AH30" s="192"/>
      <c r="AI30" s="192">
        <v>8.1999999999999993</v>
      </c>
      <c r="AJ30" s="214"/>
      <c r="AK30" s="203"/>
      <c r="AL30" s="203"/>
      <c r="AM30" s="203"/>
      <c r="AN30" s="212"/>
      <c r="AO30" s="203"/>
      <c r="AP30" s="203"/>
      <c r="AQ30" s="203"/>
      <c r="AR30" s="203"/>
      <c r="AS30" s="203"/>
      <c r="AT30" s="203"/>
      <c r="AU30" s="203"/>
      <c r="AV30" s="203"/>
      <c r="AW30" s="203"/>
      <c r="AX30" s="203"/>
      <c r="AY30" s="203"/>
      <c r="AZ30" s="201"/>
    </row>
    <row r="31" spans="1:52" ht="20.100000000000001" customHeight="1" x14ac:dyDescent="0.2">
      <c r="A31" s="310">
        <v>0</v>
      </c>
      <c r="B31" s="284" t="s">
        <v>74</v>
      </c>
      <c r="C31" s="284">
        <v>0</v>
      </c>
      <c r="D31" s="284">
        <v>0</v>
      </c>
      <c r="E31" s="72">
        <v>0</v>
      </c>
      <c r="F31" s="72">
        <v>0</v>
      </c>
      <c r="G31" s="72">
        <v>0</v>
      </c>
      <c r="H31" s="72">
        <v>0</v>
      </c>
      <c r="I31" s="72">
        <v>0</v>
      </c>
      <c r="J31" s="72">
        <v>0</v>
      </c>
      <c r="K31" s="72">
        <v>0</v>
      </c>
      <c r="L31" s="72">
        <v>0</v>
      </c>
      <c r="M31" s="72">
        <v>0</v>
      </c>
      <c r="N31" s="72">
        <v>0</v>
      </c>
      <c r="O31" s="72">
        <v>0</v>
      </c>
      <c r="P31" s="72">
        <v>0</v>
      </c>
      <c r="Q31" s="72">
        <v>0</v>
      </c>
      <c r="R31" s="72">
        <v>0</v>
      </c>
      <c r="S31" s="72">
        <v>0</v>
      </c>
      <c r="T31" s="72">
        <v>0</v>
      </c>
      <c r="U31" s="72">
        <v>0</v>
      </c>
      <c r="V31" s="72">
        <v>0</v>
      </c>
      <c r="W31" s="72">
        <v>0</v>
      </c>
      <c r="X31" s="72"/>
      <c r="Y31" s="72"/>
      <c r="Z31" s="72"/>
      <c r="AA31" s="72"/>
      <c r="AB31" s="72"/>
      <c r="AC31" s="72"/>
      <c r="AD31" s="72"/>
      <c r="AE31" s="72"/>
      <c r="AF31" s="72"/>
      <c r="AG31" s="72">
        <v>0</v>
      </c>
      <c r="AH31" s="72">
        <v>0</v>
      </c>
      <c r="AI31" s="72">
        <v>0</v>
      </c>
      <c r="AJ31" s="217">
        <f t="shared" ref="AJ31:AZ31" si="7">SUM(AJ17:AJ30)</f>
        <v>142</v>
      </c>
      <c r="AK31" s="209">
        <f t="shared" si="7"/>
        <v>1135.9999999999998</v>
      </c>
      <c r="AL31" s="209">
        <f t="shared" si="7"/>
        <v>0</v>
      </c>
      <c r="AM31" s="209">
        <f t="shared" si="7"/>
        <v>0</v>
      </c>
      <c r="AN31" s="209">
        <f t="shared" si="7"/>
        <v>0</v>
      </c>
      <c r="AO31" s="209">
        <f t="shared" si="7"/>
        <v>0</v>
      </c>
      <c r="AP31" s="209">
        <f t="shared" si="7"/>
        <v>68</v>
      </c>
      <c r="AQ31" s="209">
        <f t="shared" si="7"/>
        <v>31.799999999999997</v>
      </c>
      <c r="AR31" s="209">
        <f t="shared" si="7"/>
        <v>0</v>
      </c>
      <c r="AS31" s="209">
        <f t="shared" si="7"/>
        <v>0</v>
      </c>
      <c r="AT31" s="209">
        <f t="shared" si="7"/>
        <v>0</v>
      </c>
      <c r="AU31" s="209">
        <f t="shared" si="7"/>
        <v>0</v>
      </c>
      <c r="AV31" s="209">
        <f t="shared" si="7"/>
        <v>0</v>
      </c>
      <c r="AW31" s="209">
        <f t="shared" si="7"/>
        <v>0</v>
      </c>
      <c r="AX31" s="209">
        <f t="shared" si="7"/>
        <v>31.799999999999997</v>
      </c>
      <c r="AY31" s="209">
        <f t="shared" si="7"/>
        <v>0</v>
      </c>
      <c r="AZ31" s="215">
        <f t="shared" si="7"/>
        <v>0</v>
      </c>
    </row>
    <row r="32" spans="1:52" ht="20.100000000000001" customHeight="1" thickBot="1" x14ac:dyDescent="0.25">
      <c r="A32" s="306"/>
      <c r="B32" s="280"/>
      <c r="C32" s="280"/>
      <c r="D32" s="280"/>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c r="Y32" s="73"/>
      <c r="Z32" s="73"/>
      <c r="AA32" s="73"/>
      <c r="AB32" s="73"/>
      <c r="AC32" s="73"/>
      <c r="AD32" s="73"/>
      <c r="AE32" s="73"/>
      <c r="AF32" s="73"/>
      <c r="AG32" s="73">
        <v>0</v>
      </c>
      <c r="AH32" s="73">
        <v>0</v>
      </c>
      <c r="AI32" s="73">
        <v>0</v>
      </c>
      <c r="AJ32" s="218"/>
      <c r="AK32" s="210"/>
      <c r="AL32" s="210"/>
      <c r="AM32" s="210"/>
      <c r="AN32" s="210"/>
      <c r="AO32" s="210"/>
      <c r="AP32" s="210"/>
      <c r="AQ32" s="210"/>
      <c r="AR32" s="210"/>
      <c r="AS32" s="210"/>
      <c r="AT32" s="210"/>
      <c r="AU32" s="210"/>
      <c r="AV32" s="210"/>
      <c r="AW32" s="210"/>
      <c r="AX32" s="210"/>
      <c r="AY32" s="210"/>
      <c r="AZ32" s="216"/>
    </row>
    <row r="33" spans="1:46" ht="9.75" customHeight="1" x14ac:dyDescent="0.2">
      <c r="C33" s="20"/>
      <c r="D33" s="8"/>
      <c r="AJ33" s="26"/>
    </row>
    <row r="34" spans="1:46" ht="12.75" customHeight="1" x14ac:dyDescent="0.2">
      <c r="A34" s="226" t="s">
        <v>32</v>
      </c>
      <c r="B34" s="226"/>
      <c r="C34" s="226"/>
      <c r="D34" s="227" t="s">
        <v>81</v>
      </c>
      <c r="E34" s="227"/>
      <c r="F34" s="227"/>
      <c r="G34" s="227"/>
      <c r="H34" s="227"/>
      <c r="I34" s="227"/>
      <c r="J34" s="69"/>
      <c r="K34" s="224"/>
      <c r="L34" s="224"/>
      <c r="M34" s="224"/>
      <c r="N34" s="69"/>
      <c r="O34" s="225" t="s">
        <v>278</v>
      </c>
      <c r="P34" s="225"/>
      <c r="Q34" s="225"/>
      <c r="R34" s="225"/>
      <c r="S34" s="225"/>
      <c r="T34" s="9"/>
      <c r="U34" s="283">
        <v>45747</v>
      </c>
      <c r="V34" s="283"/>
      <c r="W34" s="283"/>
      <c r="X34" s="283"/>
      <c r="Y34" s="283"/>
      <c r="Z34" s="283"/>
      <c r="AA34" s="69"/>
      <c r="AB34" s="69"/>
      <c r="AC34" s="69"/>
      <c r="AD34" s="69"/>
      <c r="AE34" s="69"/>
      <c r="AF34" s="69"/>
      <c r="AG34" s="69"/>
      <c r="AH34" s="69"/>
      <c r="AI34" s="69"/>
      <c r="AJ34" s="69"/>
      <c r="AK34" s="69"/>
      <c r="AL34" s="69"/>
      <c r="AM34" s="69"/>
      <c r="AN34" s="69"/>
      <c r="AO34" s="69"/>
      <c r="AP34" s="69"/>
      <c r="AQ34" s="69"/>
      <c r="AR34" s="69"/>
      <c r="AS34" s="69"/>
      <c r="AT34" s="69"/>
    </row>
    <row r="35" spans="1:46" x14ac:dyDescent="0.15">
      <c r="A35" s="13"/>
      <c r="B35" s="16"/>
      <c r="D35" s="222" t="s">
        <v>34</v>
      </c>
      <c r="E35" s="222"/>
      <c r="F35" s="222"/>
      <c r="G35" s="222"/>
      <c r="H35" s="222"/>
      <c r="I35" s="222"/>
      <c r="J35" s="13"/>
      <c r="K35" s="222" t="s">
        <v>35</v>
      </c>
      <c r="L35" s="222"/>
      <c r="M35" s="222"/>
      <c r="N35" s="13"/>
      <c r="O35" s="222" t="s">
        <v>36</v>
      </c>
      <c r="P35" s="222"/>
      <c r="Q35" s="222"/>
      <c r="R35" s="222"/>
      <c r="S35" s="222"/>
      <c r="T35" s="13"/>
      <c r="U35" s="13"/>
      <c r="V35" s="31"/>
      <c r="W35" s="13"/>
      <c r="X35" s="17"/>
      <c r="Y35" s="17"/>
      <c r="Z35" s="17"/>
      <c r="AA35" s="13"/>
      <c r="AB35" s="13"/>
      <c r="AC35" s="13"/>
      <c r="AD35" s="13"/>
      <c r="AE35" s="13"/>
      <c r="AF35" s="13"/>
      <c r="AG35" s="13"/>
      <c r="AH35" s="13"/>
      <c r="AI35" s="13"/>
      <c r="AJ35" s="13"/>
      <c r="AK35" s="13"/>
      <c r="AL35" s="13"/>
      <c r="AM35" s="13"/>
      <c r="AN35" s="13"/>
      <c r="AO35" s="13"/>
      <c r="AP35" s="13"/>
      <c r="AQ35" s="13"/>
      <c r="AR35" s="13"/>
      <c r="AS35" s="13"/>
      <c r="AT35" s="13"/>
    </row>
    <row r="36" spans="1:46" ht="12.75" customHeight="1" x14ac:dyDescent="0.2">
      <c r="A36" s="32" t="s">
        <v>33</v>
      </c>
      <c r="B36" s="32"/>
      <c r="C36" s="69"/>
      <c r="D36" s="223" t="s">
        <v>277</v>
      </c>
      <c r="E36" s="223"/>
      <c r="F36" s="223"/>
      <c r="G36" s="223"/>
      <c r="H36" s="223"/>
      <c r="I36" s="223"/>
      <c r="J36" s="69"/>
      <c r="K36" s="224"/>
      <c r="L36" s="224"/>
      <c r="M36" s="224"/>
      <c r="N36" s="69"/>
      <c r="O36" s="225" t="s">
        <v>279</v>
      </c>
      <c r="P36" s="225"/>
      <c r="Q36" s="225"/>
      <c r="R36" s="225"/>
      <c r="S36" s="225"/>
      <c r="T36" s="9"/>
      <c r="U36" s="283">
        <f>U34</f>
        <v>45747</v>
      </c>
      <c r="V36" s="283"/>
      <c r="W36" s="283"/>
      <c r="X36" s="283"/>
      <c r="Y36" s="283"/>
      <c r="Z36" s="283"/>
      <c r="AA36" s="69"/>
      <c r="AB36" s="69"/>
      <c r="AC36" s="69"/>
      <c r="AD36" s="69"/>
      <c r="AE36" s="69"/>
      <c r="AF36" s="69"/>
      <c r="AG36" s="69"/>
      <c r="AH36" s="69"/>
      <c r="AI36" s="69"/>
      <c r="AJ36" s="69"/>
      <c r="AK36" s="69"/>
      <c r="AL36" s="69"/>
      <c r="AM36" s="69"/>
      <c r="AN36" s="69"/>
      <c r="AO36" s="69"/>
      <c r="AP36" s="69"/>
      <c r="AQ36" s="69"/>
      <c r="AR36" s="69"/>
      <c r="AS36" s="69"/>
      <c r="AT36" s="69"/>
    </row>
    <row r="37" spans="1:46" x14ac:dyDescent="0.2">
      <c r="A37" s="13"/>
      <c r="B37" s="13"/>
      <c r="D37" s="222" t="s">
        <v>34</v>
      </c>
      <c r="E37" s="222"/>
      <c r="F37" s="222"/>
      <c r="G37" s="222"/>
      <c r="H37" s="222"/>
      <c r="I37" s="222"/>
      <c r="J37" s="13"/>
      <c r="K37" s="222" t="s">
        <v>35</v>
      </c>
      <c r="L37" s="222"/>
      <c r="M37" s="222"/>
      <c r="N37" s="13"/>
      <c r="O37" s="222" t="s">
        <v>36</v>
      </c>
      <c r="P37" s="222"/>
      <c r="Q37" s="222"/>
      <c r="R37" s="222"/>
      <c r="S37" s="222"/>
      <c r="T37" s="17"/>
      <c r="U37" s="17"/>
      <c r="V37" s="13"/>
      <c r="W37" s="17"/>
      <c r="X37" s="17"/>
      <c r="Y37" s="17"/>
      <c r="Z37" s="69"/>
      <c r="AA37" s="69"/>
      <c r="AB37" s="69"/>
      <c r="AC37" s="69"/>
      <c r="AD37" s="69"/>
      <c r="AE37" s="69"/>
      <c r="AF37" s="69"/>
      <c r="AG37" s="69"/>
      <c r="AH37" s="69"/>
      <c r="AI37" s="69"/>
      <c r="AJ37" s="69"/>
      <c r="AK37" s="69"/>
      <c r="AL37" s="69"/>
      <c r="AM37" s="69"/>
      <c r="AN37" s="69"/>
      <c r="AO37" s="69"/>
      <c r="AP37" s="69"/>
      <c r="AQ37" s="69"/>
      <c r="AR37" s="69"/>
      <c r="AS37" s="69"/>
      <c r="AT37" s="69"/>
    </row>
    <row r="38" spans="1:46" x14ac:dyDescent="0.2">
      <c r="A38" s="69"/>
      <c r="B38" s="69"/>
      <c r="C38" s="33" t="s">
        <v>39</v>
      </c>
      <c r="D38" s="70"/>
      <c r="E38" s="70"/>
      <c r="F38" s="70"/>
      <c r="G38" s="70"/>
      <c r="H38" s="70"/>
      <c r="I38" s="70"/>
      <c r="J38" s="70"/>
      <c r="K38" s="70"/>
      <c r="L38" s="70"/>
      <c r="M38" s="70"/>
      <c r="N38" s="70"/>
      <c r="O38" s="70"/>
      <c r="P38" s="70"/>
      <c r="Q38" s="70"/>
      <c r="R38" s="69"/>
      <c r="S38" s="69"/>
      <c r="T38" s="69"/>
      <c r="U38" s="69"/>
      <c r="V38" s="69"/>
      <c r="W38" s="69"/>
      <c r="X38" s="69"/>
      <c r="Y38" s="69"/>
      <c r="Z38" s="69"/>
      <c r="AA38" s="69"/>
      <c r="AB38" s="69"/>
      <c r="AC38" s="69"/>
      <c r="AD38" s="69"/>
      <c r="AE38" s="69"/>
      <c r="AF38" s="69"/>
      <c r="AG38" s="69"/>
      <c r="AH38" s="69"/>
      <c r="AI38" s="69"/>
      <c r="AJ38" s="69"/>
      <c r="AK38" s="69"/>
      <c r="AL38" s="69"/>
      <c r="AM38" s="69"/>
      <c r="AN38" s="69"/>
      <c r="AO38" s="69"/>
      <c r="AP38" s="69"/>
      <c r="AQ38" s="69"/>
      <c r="AR38" s="69"/>
      <c r="AS38" s="69"/>
      <c r="AT38" s="69"/>
    </row>
    <row r="39" spans="1:46" x14ac:dyDescent="0.2">
      <c r="A39" s="69"/>
      <c r="B39" s="69"/>
      <c r="C39" s="34" t="s">
        <v>4</v>
      </c>
      <c r="D39" s="35" t="s">
        <v>49</v>
      </c>
      <c r="E39" t="s">
        <v>5</v>
      </c>
      <c r="F39"/>
      <c r="G39"/>
      <c r="H39"/>
      <c r="I39"/>
      <c r="J39"/>
      <c r="K39"/>
      <c r="L39"/>
      <c r="M39"/>
      <c r="N39" s="36"/>
      <c r="O39" s="3"/>
      <c r="P39" s="37"/>
      <c r="Q39" s="37"/>
      <c r="R39" s="69"/>
      <c r="S39" s="69"/>
      <c r="T39" s="69"/>
      <c r="U39" s="21" t="s">
        <v>2</v>
      </c>
      <c r="V39" s="15" t="s">
        <v>49</v>
      </c>
      <c r="W39" t="s">
        <v>61</v>
      </c>
      <c r="X39"/>
      <c r="Y39" s="69"/>
      <c r="Z39" s="69"/>
      <c r="AA39" s="69"/>
      <c r="AB39" s="69"/>
      <c r="AC39" s="69"/>
      <c r="AD39" s="69"/>
      <c r="AE39" s="69"/>
      <c r="AF39" s="69"/>
      <c r="AG39" s="69"/>
      <c r="AH39" s="69"/>
      <c r="AI39" s="69"/>
      <c r="AJ39" s="69"/>
      <c r="AK39" s="69"/>
      <c r="AL39" s="69"/>
      <c r="AM39" s="69"/>
      <c r="AN39" s="69"/>
      <c r="AO39" s="69"/>
      <c r="AP39" s="69"/>
      <c r="AQ39" s="69"/>
      <c r="AR39" s="69"/>
      <c r="AS39" s="69"/>
      <c r="AT39" s="69"/>
    </row>
    <row r="40" spans="1:46" x14ac:dyDescent="0.2">
      <c r="A40" s="69"/>
      <c r="B40" s="69"/>
      <c r="C40" s="34" t="s">
        <v>41</v>
      </c>
      <c r="D40" s="35" t="s">
        <v>49</v>
      </c>
      <c r="E40" t="s">
        <v>40</v>
      </c>
      <c r="F40"/>
      <c r="G40"/>
      <c r="H40"/>
      <c r="I40"/>
      <c r="J40"/>
      <c r="K40"/>
      <c r="L40"/>
      <c r="M40"/>
      <c r="N40" s="36"/>
      <c r="O40" s="3"/>
      <c r="P40" s="37"/>
      <c r="Q40" s="37"/>
      <c r="R40" s="69"/>
      <c r="S40" s="69"/>
      <c r="T40" s="69"/>
      <c r="U40" s="21" t="s">
        <v>50</v>
      </c>
      <c r="V40" s="15" t="s">
        <v>49</v>
      </c>
      <c r="W40" t="s">
        <v>62</v>
      </c>
      <c r="X40"/>
      <c r="Y40" s="69"/>
      <c r="Z40" s="69"/>
      <c r="AA40" s="69"/>
      <c r="AB40" s="69"/>
      <c r="AC40" s="69"/>
      <c r="AD40" s="69"/>
      <c r="AE40" s="69"/>
      <c r="AF40" s="69"/>
      <c r="AG40" s="69"/>
      <c r="AH40" s="69"/>
      <c r="AI40" s="69"/>
      <c r="AJ40" s="69"/>
      <c r="AK40" s="69"/>
      <c r="AL40" s="69"/>
      <c r="AM40" s="69"/>
      <c r="AN40" s="69"/>
      <c r="AO40" s="69"/>
      <c r="AP40" s="69"/>
      <c r="AQ40" s="69"/>
      <c r="AR40" s="69"/>
      <c r="AS40" s="69"/>
      <c r="AT40" s="69"/>
    </row>
    <row r="41" spans="1:46" x14ac:dyDescent="0.2">
      <c r="A41" s="69"/>
      <c r="B41" s="69"/>
      <c r="C41" s="34" t="s">
        <v>43</v>
      </c>
      <c r="D41" s="35" t="s">
        <v>49</v>
      </c>
      <c r="E41" t="s">
        <v>42</v>
      </c>
      <c r="F41"/>
      <c r="G41"/>
      <c r="H41"/>
      <c r="I41"/>
      <c r="J41"/>
      <c r="K41"/>
      <c r="L41"/>
      <c r="M41"/>
      <c r="N41" s="36"/>
      <c r="O41" s="3"/>
      <c r="P41" s="37"/>
      <c r="Q41" s="37"/>
      <c r="R41" s="69"/>
      <c r="S41" s="69"/>
      <c r="T41" s="69"/>
      <c r="U41" s="21" t="s">
        <v>51</v>
      </c>
      <c r="V41" s="15" t="s">
        <v>49</v>
      </c>
      <c r="W41" t="s">
        <v>53</v>
      </c>
      <c r="X41"/>
      <c r="Y41" s="69"/>
      <c r="Z41" s="69"/>
      <c r="AA41" s="69"/>
      <c r="AB41" s="69"/>
      <c r="AC41" s="69"/>
      <c r="AD41" s="69"/>
      <c r="AE41" s="69"/>
      <c r="AF41" s="69"/>
      <c r="AG41" s="69"/>
      <c r="AH41" s="69"/>
      <c r="AI41" s="69"/>
      <c r="AJ41" s="69"/>
      <c r="AK41" s="69"/>
      <c r="AL41" s="69"/>
      <c r="AM41" s="69"/>
      <c r="AN41" s="69"/>
      <c r="AO41" s="69"/>
      <c r="AP41" s="69"/>
      <c r="AQ41" s="69"/>
      <c r="AR41" s="69"/>
      <c r="AS41" s="69"/>
      <c r="AT41" s="69"/>
    </row>
    <row r="42" spans="1:46" x14ac:dyDescent="0.2">
      <c r="A42" s="69"/>
      <c r="B42" s="69"/>
      <c r="C42" s="34" t="s">
        <v>45</v>
      </c>
      <c r="D42" s="35" t="s">
        <v>49</v>
      </c>
      <c r="E42" t="s">
        <v>44</v>
      </c>
      <c r="F42"/>
      <c r="G42"/>
      <c r="H42"/>
      <c r="I42"/>
      <c r="J42"/>
      <c r="K42"/>
      <c r="L42"/>
      <c r="M42"/>
      <c r="N42" s="3"/>
      <c r="O42" s="3"/>
      <c r="P42" s="37"/>
      <c r="Q42" s="37"/>
      <c r="R42" s="69"/>
      <c r="S42" s="69"/>
      <c r="T42" s="69"/>
      <c r="U42" s="15" t="s">
        <v>63</v>
      </c>
      <c r="V42" s="15" t="s">
        <v>49</v>
      </c>
      <c r="W42" t="s">
        <v>64</v>
      </c>
      <c r="X42"/>
      <c r="Y42" s="69"/>
      <c r="Z42" s="69"/>
      <c r="AA42" s="69"/>
      <c r="AB42" s="69"/>
      <c r="AC42" s="69"/>
      <c r="AD42" s="69"/>
      <c r="AE42" s="69"/>
      <c r="AF42" s="69"/>
      <c r="AG42" s="69"/>
      <c r="AH42" s="69"/>
      <c r="AI42" s="69"/>
      <c r="AJ42" s="69"/>
      <c r="AK42" s="69"/>
      <c r="AL42" s="69"/>
      <c r="AM42" s="69"/>
      <c r="AN42" s="69"/>
      <c r="AO42" s="69"/>
      <c r="AP42" s="69"/>
      <c r="AQ42" s="69"/>
      <c r="AR42" s="69"/>
      <c r="AS42" s="69"/>
      <c r="AT42" s="69"/>
    </row>
    <row r="43" spans="1:46" x14ac:dyDescent="0.2">
      <c r="A43" s="69"/>
      <c r="B43" s="69"/>
      <c r="C43" s="34" t="s">
        <v>47</v>
      </c>
      <c r="D43" s="35" t="s">
        <v>49</v>
      </c>
      <c r="E43" t="s">
        <v>46</v>
      </c>
      <c r="F43"/>
      <c r="G43"/>
      <c r="H43"/>
      <c r="I43"/>
      <c r="J43"/>
      <c r="K43"/>
      <c r="L43"/>
      <c r="M43"/>
      <c r="N43" s="3"/>
      <c r="O43" s="3"/>
      <c r="P43" s="37"/>
      <c r="Q43" s="37"/>
      <c r="R43" s="69"/>
      <c r="S43" s="69"/>
      <c r="T43" s="69"/>
      <c r="U43" s="15" t="s">
        <v>65</v>
      </c>
      <c r="V43" s="15" t="s">
        <v>49</v>
      </c>
      <c r="W43" t="s">
        <v>66</v>
      </c>
      <c r="X43"/>
      <c r="Y43" s="69"/>
      <c r="Z43" s="69"/>
      <c r="AA43" s="69"/>
      <c r="AB43" s="69"/>
      <c r="AC43" s="69"/>
      <c r="AD43" s="69"/>
      <c r="AE43" s="69"/>
      <c r="AF43" s="69"/>
      <c r="AG43" s="69"/>
      <c r="AH43" s="69"/>
      <c r="AI43" s="69"/>
      <c r="AJ43" s="69"/>
      <c r="AK43" s="69"/>
      <c r="AL43" s="69"/>
      <c r="AM43" s="69"/>
      <c r="AN43" s="69"/>
      <c r="AO43" s="69"/>
      <c r="AP43" s="69"/>
      <c r="AQ43" s="69"/>
      <c r="AR43" s="69"/>
      <c r="AS43" s="69"/>
      <c r="AT43" s="69"/>
    </row>
    <row r="44" spans="1:46" x14ac:dyDescent="0.2">
      <c r="A44" s="69"/>
      <c r="B44" s="69"/>
      <c r="C44" s="34" t="s">
        <v>48</v>
      </c>
      <c r="D44" s="35" t="s">
        <v>49</v>
      </c>
      <c r="E44" t="s">
        <v>29</v>
      </c>
      <c r="F44"/>
      <c r="G44"/>
      <c r="H44"/>
      <c r="I44"/>
      <c r="J44"/>
      <c r="K44"/>
      <c r="L44"/>
      <c r="M44"/>
      <c r="N44" s="36"/>
      <c r="O44" s="3"/>
      <c r="P44" s="37"/>
      <c r="Q44" s="37"/>
      <c r="R44" s="69"/>
      <c r="S44" s="69"/>
      <c r="T44" s="69"/>
      <c r="U44" s="21" t="s">
        <v>52</v>
      </c>
      <c r="V44" s="15" t="s">
        <v>49</v>
      </c>
      <c r="W44" t="s">
        <v>54</v>
      </c>
      <c r="X44"/>
      <c r="Y44" s="69"/>
      <c r="Z44" s="69"/>
      <c r="AA44" s="69"/>
      <c r="AB44" s="69"/>
      <c r="AC44" s="69"/>
      <c r="AD44" s="69"/>
      <c r="AE44" s="69"/>
      <c r="AF44" s="69"/>
      <c r="AG44" s="69"/>
      <c r="AH44" s="69"/>
      <c r="AI44" s="69"/>
      <c r="AJ44" s="69"/>
      <c r="AK44" s="69"/>
      <c r="AL44" s="69"/>
      <c r="AM44" s="69"/>
      <c r="AN44" s="69"/>
      <c r="AO44" s="69"/>
      <c r="AP44" s="69"/>
      <c r="AQ44" s="69"/>
      <c r="AR44" s="69"/>
      <c r="AS44" s="69"/>
      <c r="AT44" s="69"/>
    </row>
    <row r="45" spans="1:46" x14ac:dyDescent="0.2">
      <c r="A45" s="69"/>
      <c r="B45" s="69"/>
      <c r="C45" s="34" t="s">
        <v>3</v>
      </c>
      <c r="D45" s="35" t="s">
        <v>49</v>
      </c>
      <c r="E45" t="s">
        <v>67</v>
      </c>
      <c r="F45"/>
      <c r="G45"/>
      <c r="H45"/>
      <c r="I45"/>
      <c r="J45"/>
      <c r="K45"/>
      <c r="L45"/>
      <c r="M45"/>
      <c r="N45" s="36"/>
      <c r="O45" s="3"/>
      <c r="P45" s="37"/>
      <c r="Q45" s="37"/>
      <c r="R45" s="69"/>
      <c r="S45" s="69"/>
      <c r="T45" s="69"/>
      <c r="U45" s="21" t="s">
        <v>68</v>
      </c>
      <c r="V45" s="15" t="s">
        <v>49</v>
      </c>
      <c r="W45" t="s">
        <v>31</v>
      </c>
      <c r="X45"/>
      <c r="Y45" s="69"/>
      <c r="Z45" s="69"/>
      <c r="AA45" s="69"/>
      <c r="AB45" s="69"/>
      <c r="AC45" s="69"/>
      <c r="AD45" s="69"/>
      <c r="AE45" s="69"/>
      <c r="AF45" s="69"/>
      <c r="AG45" s="69"/>
      <c r="AH45" s="69"/>
      <c r="AI45" s="69"/>
      <c r="AJ45" s="69"/>
      <c r="AK45" s="69"/>
      <c r="AL45" s="69"/>
      <c r="AM45" s="69"/>
      <c r="AN45" s="69"/>
      <c r="AO45" s="69"/>
      <c r="AP45" s="69"/>
      <c r="AQ45" s="69"/>
      <c r="AR45" s="69"/>
      <c r="AS45" s="69"/>
      <c r="AT45" s="69"/>
    </row>
    <row r="46" spans="1:46" x14ac:dyDescent="0.2">
      <c r="A46" s="69"/>
      <c r="B46" s="69"/>
      <c r="C46" s="34" t="s">
        <v>73</v>
      </c>
      <c r="D46" s="35" t="s">
        <v>49</v>
      </c>
      <c r="E46" s="219" t="s">
        <v>75</v>
      </c>
      <c r="F46" s="220"/>
      <c r="G46" s="220"/>
      <c r="H46" s="220"/>
      <c r="I46" s="220"/>
      <c r="J46" s="220"/>
      <c r="K46" s="220"/>
      <c r="L46" s="220"/>
      <c r="M46" s="220"/>
      <c r="N46" s="220"/>
      <c r="O46" s="220"/>
      <c r="P46" s="220"/>
      <c r="Q46" s="220"/>
      <c r="R46" s="69"/>
      <c r="S46" s="69"/>
      <c r="T46" s="69"/>
      <c r="U46" s="21" t="s">
        <v>76</v>
      </c>
      <c r="V46" s="15" t="s">
        <v>49</v>
      </c>
      <c r="W46" t="s">
        <v>77</v>
      </c>
      <c r="X46" s="69"/>
      <c r="Y46" s="69"/>
      <c r="Z46" s="69"/>
      <c r="AA46" s="69"/>
      <c r="AB46" s="69"/>
      <c r="AC46" s="69"/>
      <c r="AD46" s="69"/>
      <c r="AE46" s="69"/>
      <c r="AF46" s="69"/>
      <c r="AG46" s="69"/>
      <c r="AH46" s="69"/>
      <c r="AI46" s="69"/>
      <c r="AJ46" s="69"/>
      <c r="AK46" s="69"/>
      <c r="AL46" s="69"/>
      <c r="AM46" s="69"/>
      <c r="AN46" s="69"/>
      <c r="AO46" s="69"/>
      <c r="AP46" s="69"/>
      <c r="AQ46" s="69"/>
      <c r="AR46" s="69"/>
      <c r="AS46" s="69"/>
      <c r="AT46" s="69"/>
    </row>
    <row r="47" spans="1:46" x14ac:dyDescent="0.2">
      <c r="A47" s="69"/>
      <c r="B47" s="69"/>
      <c r="C47" s="34" t="s">
        <v>142</v>
      </c>
      <c r="D47" s="35" t="s">
        <v>49</v>
      </c>
      <c r="E47" s="219" t="s">
        <v>143</v>
      </c>
      <c r="F47" s="220"/>
      <c r="G47" s="220"/>
      <c r="H47" s="220"/>
      <c r="I47" s="220"/>
      <c r="J47" s="220"/>
      <c r="K47" s="220"/>
      <c r="L47" s="220"/>
      <c r="M47" s="220"/>
      <c r="N47" s="220"/>
      <c r="O47" s="220"/>
      <c r="P47" s="220"/>
      <c r="Q47" s="220"/>
      <c r="R47" s="69"/>
      <c r="S47" s="69"/>
      <c r="T47" s="69"/>
      <c r="U47" s="69"/>
      <c r="V47" s="69"/>
      <c r="W47" s="69"/>
      <c r="X47" s="69"/>
      <c r="Y47" s="69"/>
      <c r="Z47" s="69"/>
      <c r="AA47" s="69"/>
      <c r="AB47" s="69"/>
      <c r="AC47" s="69"/>
      <c r="AD47" s="69"/>
      <c r="AE47" s="69"/>
      <c r="AF47" s="69"/>
      <c r="AG47" s="69"/>
      <c r="AH47" s="69"/>
      <c r="AI47" s="69"/>
      <c r="AJ47" s="69"/>
      <c r="AK47" s="69"/>
      <c r="AL47" s="69"/>
      <c r="AM47" s="69"/>
      <c r="AN47" s="69"/>
      <c r="AO47" s="69"/>
      <c r="AP47" s="69"/>
      <c r="AQ47" s="69"/>
      <c r="AR47" s="69"/>
      <c r="AS47" s="69"/>
      <c r="AT47" s="69"/>
    </row>
  </sheetData>
  <sheetProtection insertColumns="0" insertRows="0" deleteColumns="0" deleteRows="0" autoFilter="0"/>
  <mergeCells count="255">
    <mergeCell ref="AO27:AO28"/>
    <mergeCell ref="AP27:AP28"/>
    <mergeCell ref="AQ27:AQ28"/>
    <mergeCell ref="AR27:AR28"/>
    <mergeCell ref="AS27:AS28"/>
    <mergeCell ref="AT27:AT28"/>
    <mergeCell ref="AU27:AU28"/>
    <mergeCell ref="AV27:AV28"/>
    <mergeCell ref="AW27:AW28"/>
    <mergeCell ref="A27:A28"/>
    <mergeCell ref="B27:B28"/>
    <mergeCell ref="C27:C28"/>
    <mergeCell ref="D27:D28"/>
    <mergeCell ref="AJ27:AJ28"/>
    <mergeCell ref="AK27:AK28"/>
    <mergeCell ref="AL27:AL28"/>
    <mergeCell ref="AM27:AM28"/>
    <mergeCell ref="AN27:AN28"/>
    <mergeCell ref="AX21:AX22"/>
    <mergeCell ref="AY21:AY22"/>
    <mergeCell ref="AZ21:AZ22"/>
    <mergeCell ref="A21:A22"/>
    <mergeCell ref="B21:B22"/>
    <mergeCell ref="C21:C22"/>
    <mergeCell ref="D21:D22"/>
    <mergeCell ref="AJ21:AJ22"/>
    <mergeCell ref="AK21:AK22"/>
    <mergeCell ref="AL21:AL22"/>
    <mergeCell ref="AM21:AM22"/>
    <mergeCell ref="AN21:AN22"/>
    <mergeCell ref="AU29:AU30"/>
    <mergeCell ref="AU31:AU32"/>
    <mergeCell ref="AV25:AV26"/>
    <mergeCell ref="AX25:AX26"/>
    <mergeCell ref="AY31:AY32"/>
    <mergeCell ref="AZ31:AZ32"/>
    <mergeCell ref="AV31:AV32"/>
    <mergeCell ref="AX31:AX32"/>
    <mergeCell ref="AV29:AV30"/>
    <mergeCell ref="AX29:AX30"/>
    <mergeCell ref="AY29:AY30"/>
    <mergeCell ref="AZ29:AZ30"/>
    <mergeCell ref="AW25:AW26"/>
    <mergeCell ref="AW29:AW30"/>
    <mergeCell ref="AW31:AW32"/>
    <mergeCell ref="AX27:AX28"/>
    <mergeCell ref="AY27:AY28"/>
    <mergeCell ref="AZ27:AZ28"/>
    <mergeCell ref="B31:B32"/>
    <mergeCell ref="C31:C32"/>
    <mergeCell ref="AY25:AY26"/>
    <mergeCell ref="AZ25:AZ26"/>
    <mergeCell ref="B19:B20"/>
    <mergeCell ref="C19:C20"/>
    <mergeCell ref="D19:D20"/>
    <mergeCell ref="B23:B24"/>
    <mergeCell ref="C23:C24"/>
    <mergeCell ref="D23:D24"/>
    <mergeCell ref="AY23:AY24"/>
    <mergeCell ref="AZ23:AZ24"/>
    <mergeCell ref="AN23:AN24"/>
    <mergeCell ref="AO23:AO24"/>
    <mergeCell ref="AP23:AP24"/>
    <mergeCell ref="AQ23:AQ24"/>
    <mergeCell ref="AR23:AR24"/>
    <mergeCell ref="AS23:AS24"/>
    <mergeCell ref="AS25:AS26"/>
    <mergeCell ref="AT25:AT26"/>
    <mergeCell ref="AU25:AU26"/>
    <mergeCell ref="AJ25:AJ26"/>
    <mergeCell ref="AK25:AK26"/>
    <mergeCell ref="AN29:AN30"/>
    <mergeCell ref="D37:I37"/>
    <mergeCell ref="K37:M37"/>
    <mergeCell ref="O37:S37"/>
    <mergeCell ref="U34:Z34"/>
    <mergeCell ref="U36:Z36"/>
    <mergeCell ref="E46:Q46"/>
    <mergeCell ref="E47:Q47"/>
    <mergeCell ref="B25:B26"/>
    <mergeCell ref="C25:C26"/>
    <mergeCell ref="D25:D26"/>
    <mergeCell ref="B29:B30"/>
    <mergeCell ref="C29:C30"/>
    <mergeCell ref="D29:D30"/>
    <mergeCell ref="D35:I35"/>
    <mergeCell ref="K35:M35"/>
    <mergeCell ref="O35:S35"/>
    <mergeCell ref="D36:I36"/>
    <mergeCell ref="K36:M36"/>
    <mergeCell ref="O36:S36"/>
    <mergeCell ref="A34:C34"/>
    <mergeCell ref="D34:I34"/>
    <mergeCell ref="K34:M34"/>
    <mergeCell ref="O34:S34"/>
    <mergeCell ref="A31:A32"/>
    <mergeCell ref="D31:D32"/>
    <mergeCell ref="AJ31:AJ32"/>
    <mergeCell ref="AK31:AK32"/>
    <mergeCell ref="AR31:AR32"/>
    <mergeCell ref="AS31:AS32"/>
    <mergeCell ref="AT31:AT32"/>
    <mergeCell ref="AL31:AL32"/>
    <mergeCell ref="AM31:AM32"/>
    <mergeCell ref="AN31:AN32"/>
    <mergeCell ref="AO31:AO32"/>
    <mergeCell ref="AP31:AP32"/>
    <mergeCell ref="AQ31:AQ32"/>
    <mergeCell ref="AS29:AS30"/>
    <mergeCell ref="AT29:AT30"/>
    <mergeCell ref="A23:A24"/>
    <mergeCell ref="AJ23:AJ24"/>
    <mergeCell ref="AK23:AK24"/>
    <mergeCell ref="AL23:AL24"/>
    <mergeCell ref="AM23:AM24"/>
    <mergeCell ref="AV23:AV24"/>
    <mergeCell ref="AX23:AX24"/>
    <mergeCell ref="AO29:AO30"/>
    <mergeCell ref="AP29:AP30"/>
    <mergeCell ref="AQ29:AQ30"/>
    <mergeCell ref="AR29:AR30"/>
    <mergeCell ref="A29:A30"/>
    <mergeCell ref="AJ29:AJ30"/>
    <mergeCell ref="AK29:AK30"/>
    <mergeCell ref="AL29:AL30"/>
    <mergeCell ref="AM29:AM30"/>
    <mergeCell ref="AR25:AR26"/>
    <mergeCell ref="AL25:AL26"/>
    <mergeCell ref="AM25:AM26"/>
    <mergeCell ref="AN25:AN26"/>
    <mergeCell ref="AO25:AO26"/>
    <mergeCell ref="AP25:AP26"/>
    <mergeCell ref="AQ25:AQ26"/>
    <mergeCell ref="A25:A26"/>
    <mergeCell ref="AT23:AT24"/>
    <mergeCell ref="AU23:AU24"/>
    <mergeCell ref="AY19:AY20"/>
    <mergeCell ref="AZ19:AZ20"/>
    <mergeCell ref="AN19:AN20"/>
    <mergeCell ref="AO19:AO20"/>
    <mergeCell ref="AP19:AP20"/>
    <mergeCell ref="AQ19:AQ20"/>
    <mergeCell ref="AR19:AR20"/>
    <mergeCell ref="AS19:AS20"/>
    <mergeCell ref="AO21:AO22"/>
    <mergeCell ref="AP21:AP22"/>
    <mergeCell ref="AQ21:AQ22"/>
    <mergeCell ref="AR21:AR22"/>
    <mergeCell ref="AS21:AS22"/>
    <mergeCell ref="AT21:AT22"/>
    <mergeCell ref="AU21:AU22"/>
    <mergeCell ref="AV21:AV22"/>
    <mergeCell ref="A19:A20"/>
    <mergeCell ref="AJ19:AJ20"/>
    <mergeCell ref="AK19:AK20"/>
    <mergeCell ref="AL19:AL20"/>
    <mergeCell ref="AM19:AM20"/>
    <mergeCell ref="AR17:AR18"/>
    <mergeCell ref="AS17:AS18"/>
    <mergeCell ref="AT17:AT18"/>
    <mergeCell ref="AU17:AU18"/>
    <mergeCell ref="AV17:AV18"/>
    <mergeCell ref="AX17:AX18"/>
    <mergeCell ref="AL17:AL18"/>
    <mergeCell ref="AM17:AM18"/>
    <mergeCell ref="AN17:AN18"/>
    <mergeCell ref="AO17:AO18"/>
    <mergeCell ref="AP17:AP18"/>
    <mergeCell ref="AQ17:AQ18"/>
    <mergeCell ref="AT19:AT20"/>
    <mergeCell ref="AU19:AU20"/>
    <mergeCell ref="AV19:AV20"/>
    <mergeCell ref="AX19:AX20"/>
    <mergeCell ref="A17:A18"/>
    <mergeCell ref="AJ17:AJ18"/>
    <mergeCell ref="AK17:AK18"/>
    <mergeCell ref="AY17:AY18"/>
    <mergeCell ref="AZ17:AZ18"/>
    <mergeCell ref="B17:B18"/>
    <mergeCell ref="C17:C18"/>
    <mergeCell ref="D17:D18"/>
    <mergeCell ref="AZ13:AZ15"/>
    <mergeCell ref="AK14:AK15"/>
    <mergeCell ref="AL14:AO14"/>
    <mergeCell ref="E16:AI16"/>
    <mergeCell ref="AK16:AO16"/>
    <mergeCell ref="AS13:AS15"/>
    <mergeCell ref="AT13:AT15"/>
    <mergeCell ref="AU13:AU15"/>
    <mergeCell ref="AV13:AV15"/>
    <mergeCell ref="AX13:AX15"/>
    <mergeCell ref="AY13:AY15"/>
    <mergeCell ref="AG13:AG15"/>
    <mergeCell ref="AH13:AH15"/>
    <mergeCell ref="AI13:AI15"/>
    <mergeCell ref="AJ13:AJ15"/>
    <mergeCell ref="AK13:AO13"/>
    <mergeCell ref="AR13:AR15"/>
    <mergeCell ref="AA13:AA15"/>
    <mergeCell ref="AB13:AB15"/>
    <mergeCell ref="T13:T15"/>
    <mergeCell ref="G13:G15"/>
    <mergeCell ref="H13:H15"/>
    <mergeCell ref="AJ12:AO12"/>
    <mergeCell ref="AP12:AP15"/>
    <mergeCell ref="AQ12:AQ15"/>
    <mergeCell ref="AC13:AC15"/>
    <mergeCell ref="AD13:AD15"/>
    <mergeCell ref="AE13:AE15"/>
    <mergeCell ref="AF13:AF15"/>
    <mergeCell ref="U13:U15"/>
    <mergeCell ref="V13:V15"/>
    <mergeCell ref="W13:W15"/>
    <mergeCell ref="X13:X15"/>
    <mergeCell ref="Y13:Y15"/>
    <mergeCell ref="Z13:Z15"/>
    <mergeCell ref="C8:F8"/>
    <mergeCell ref="W8:Y8"/>
    <mergeCell ref="Z8:AB8"/>
    <mergeCell ref="E13:E15"/>
    <mergeCell ref="F13:F15"/>
    <mergeCell ref="I13:I15"/>
    <mergeCell ref="J13:J15"/>
    <mergeCell ref="K13:K15"/>
    <mergeCell ref="H9:S9"/>
    <mergeCell ref="D10:P10"/>
    <mergeCell ref="O13:O15"/>
    <mergeCell ref="P13:P15"/>
    <mergeCell ref="Q13:Q15"/>
    <mergeCell ref="R13:R15"/>
    <mergeCell ref="S13:S15"/>
    <mergeCell ref="AW13:AW15"/>
    <mergeCell ref="AW17:AW18"/>
    <mergeCell ref="AW19:AW20"/>
    <mergeCell ref="AW21:AW22"/>
    <mergeCell ref="AW23:AW24"/>
    <mergeCell ref="A2:N2"/>
    <mergeCell ref="W2:AB2"/>
    <mergeCell ref="W3:Y3"/>
    <mergeCell ref="Z3:AB3"/>
    <mergeCell ref="W4:Y4"/>
    <mergeCell ref="Z4:AB4"/>
    <mergeCell ref="A12:A15"/>
    <mergeCell ref="B12:B15"/>
    <mergeCell ref="C12:C15"/>
    <mergeCell ref="D12:D15"/>
    <mergeCell ref="E12:AI12"/>
    <mergeCell ref="L13:L15"/>
    <mergeCell ref="M13:M15"/>
    <mergeCell ref="N13:N15"/>
    <mergeCell ref="A5:N5"/>
    <mergeCell ref="A6:N6"/>
    <mergeCell ref="W6:Y7"/>
    <mergeCell ref="Z6:AB7"/>
    <mergeCell ref="A8:B8"/>
  </mergeCells>
  <conditionalFormatting sqref="E17">
    <cfRule type="expression" dxfId="1114" priority="73" stopIfTrue="1">
      <formula>(E17="Р")</formula>
    </cfRule>
    <cfRule type="expression" dxfId="1113" priority="74" stopIfTrue="1">
      <formula>(E17="ВЧ")</formula>
    </cfRule>
    <cfRule type="expression" dxfId="1112" priority="75" stopIfTrue="1">
      <formula>(E17="ВЧ1")</formula>
    </cfRule>
    <cfRule type="expression" dxfId="1111" priority="76" stopIfTrue="1">
      <formula>(E17="ВЧ2")</formula>
    </cfRule>
    <cfRule type="expression" dxfId="1110" priority="77" stopIfTrue="1">
      <formula>(E17="РН")</formula>
    </cfRule>
    <cfRule type="expression" dxfId="1109" priority="78" stopIfTrue="1">
      <formula>(E17="НУ")</formula>
    </cfRule>
    <cfRule type="expression" dxfId="1108" priority="79" stopIfTrue="1">
      <formula>(E17="Р1")</formula>
    </cfRule>
    <cfRule type="expression" dxfId="1107" priority="80" stopIfTrue="1">
      <formula>(E17="Р2")</formula>
    </cfRule>
    <cfRule type="expression" dxfId="1106" priority="81" stopIfTrue="1">
      <formula>(E17="Р1/РВ")</formula>
    </cfRule>
    <cfRule type="expression" dxfId="1105" priority="82" stopIfTrue="1">
      <formula>(E17="Р2/РВ")</formula>
    </cfRule>
    <cfRule type="expression" dxfId="1104" priority="83" stopIfTrue="1">
      <formula>(E17="ВЧ/РВ")</formula>
    </cfRule>
    <cfRule type="expression" priority="84" stopIfTrue="1">
      <formula>(E17="РН/РВ")</formula>
    </cfRule>
  </conditionalFormatting>
  <conditionalFormatting sqref="F17:AI17">
    <cfRule type="expression" dxfId="1103" priority="61" stopIfTrue="1">
      <formula>(F17="Р")</formula>
    </cfRule>
    <cfRule type="expression" dxfId="1102" priority="62" stopIfTrue="1">
      <formula>(F17="ВЧ")</formula>
    </cfRule>
    <cfRule type="expression" dxfId="1101" priority="63" stopIfTrue="1">
      <formula>(F17="ВЧ1")</formula>
    </cfRule>
    <cfRule type="expression" dxfId="1100" priority="64" stopIfTrue="1">
      <formula>(F17="ВЧ2")</formula>
    </cfRule>
    <cfRule type="expression" dxfId="1099" priority="65" stopIfTrue="1">
      <formula>(F17="РН")</formula>
    </cfRule>
    <cfRule type="expression" dxfId="1098" priority="66" stopIfTrue="1">
      <formula>(F17="НУ")</formula>
    </cfRule>
    <cfRule type="expression" dxfId="1097" priority="67" stopIfTrue="1">
      <formula>(F17="Р1")</formula>
    </cfRule>
    <cfRule type="expression" dxfId="1096" priority="68" stopIfTrue="1">
      <formula>(F17="Р2")</formula>
    </cfRule>
    <cfRule type="expression" dxfId="1095" priority="69" stopIfTrue="1">
      <formula>(F17="Р1/РВ")</formula>
    </cfRule>
    <cfRule type="expression" dxfId="1094" priority="70" stopIfTrue="1">
      <formula>(F17="Р2/РВ")</formula>
    </cfRule>
    <cfRule type="expression" dxfId="1093" priority="71" stopIfTrue="1">
      <formula>(F17="ВЧ/РВ")</formula>
    </cfRule>
    <cfRule type="expression" priority="72" stopIfTrue="1">
      <formula>(F17="РН/РВ")</formula>
    </cfRule>
  </conditionalFormatting>
  <conditionalFormatting sqref="E18">
    <cfRule type="expression" dxfId="1092" priority="85" stopIfTrue="1">
      <formula>(E17="ВД")</formula>
    </cfRule>
    <cfRule type="expression" dxfId="1091" priority="86" stopIfTrue="1">
      <formula>(E17="В")</formula>
    </cfRule>
    <cfRule type="expression" dxfId="1090" priority="87" stopIfTrue="1">
      <formula>(E17="ВП")</formula>
    </cfRule>
    <cfRule type="expression" dxfId="1089" priority="88" stopIfTrue="1">
      <formula>(E17="ДД")</formula>
    </cfRule>
    <cfRule type="expression" dxfId="1088" priority="89" stopIfTrue="1">
      <formula>(E17="НА")</formula>
    </cfRule>
    <cfRule type="expression" dxfId="1087" priority="90" stopIfTrue="1">
      <formula>(E17="Ч")</formula>
    </cfRule>
    <cfRule type="expression" dxfId="1086" priority="91" stopIfTrue="1">
      <formula>(E17="Н")</formula>
    </cfRule>
    <cfRule type="expression" dxfId="1085" priority="92" stopIfTrue="1">
      <formula>(E17="ТН")</formula>
    </cfRule>
    <cfRule type="expression" dxfId="1084" priority="93" stopIfTrue="1">
      <formula>(E17="ДО")</formula>
    </cfRule>
    <cfRule type="expression" dxfId="1083" priority="94" stopIfTrue="1">
      <formula>(E17="ІН")</formula>
    </cfRule>
    <cfRule type="expression" dxfId="1082" priority="95" stopIfTrue="1">
      <formula>(E17="РВ")</formula>
    </cfRule>
    <cfRule type="expression" dxfId="1081" priority="96" stopIfTrue="1">
      <formula>(E17="ВБ")</formula>
    </cfRule>
  </conditionalFormatting>
  <conditionalFormatting sqref="F18:AI18">
    <cfRule type="expression" dxfId="1080" priority="49" stopIfTrue="1">
      <formula>(F17="ВД")</formula>
    </cfRule>
    <cfRule type="expression" dxfId="1079" priority="50" stopIfTrue="1">
      <formula>(F17="В")</formula>
    </cfRule>
    <cfRule type="expression" dxfId="1078" priority="51" stopIfTrue="1">
      <formula>(F17="ВП")</formula>
    </cfRule>
    <cfRule type="expression" dxfId="1077" priority="52" stopIfTrue="1">
      <formula>(F17="ДД")</formula>
    </cfRule>
    <cfRule type="expression" dxfId="1076" priority="53" stopIfTrue="1">
      <formula>(F17="НА")</formula>
    </cfRule>
    <cfRule type="expression" dxfId="1075" priority="54" stopIfTrue="1">
      <formula>(F17="Ч")</formula>
    </cfRule>
    <cfRule type="expression" dxfId="1074" priority="55" stopIfTrue="1">
      <formula>(F17="Н")</formula>
    </cfRule>
    <cfRule type="expression" dxfId="1073" priority="56" stopIfTrue="1">
      <formula>(F17="ТН")</formula>
    </cfRule>
    <cfRule type="expression" dxfId="1072" priority="57" stopIfTrue="1">
      <formula>(F17="ДО")</formula>
    </cfRule>
    <cfRule type="expression" dxfId="1071" priority="58" stopIfTrue="1">
      <formula>(F17="ІН")</formula>
    </cfRule>
    <cfRule type="expression" dxfId="1070" priority="59" stopIfTrue="1">
      <formula>(F17="РВ")</formula>
    </cfRule>
    <cfRule type="expression" dxfId="1069" priority="60" stopIfTrue="1">
      <formula>(F17="ВБ")</formula>
    </cfRule>
  </conditionalFormatting>
  <conditionalFormatting sqref="E19 E21 E23 E25 E27 E29">
    <cfRule type="expression" dxfId="1068" priority="25" stopIfTrue="1">
      <formula>(E19="Р")</formula>
    </cfRule>
    <cfRule type="expression" dxfId="1067" priority="26" stopIfTrue="1">
      <formula>(E19="ВЧ")</formula>
    </cfRule>
    <cfRule type="expression" dxfId="1066" priority="27" stopIfTrue="1">
      <formula>(E19="ВЧ1")</formula>
    </cfRule>
    <cfRule type="expression" dxfId="1065" priority="28" stopIfTrue="1">
      <formula>(E19="ВЧ2")</formula>
    </cfRule>
    <cfRule type="expression" dxfId="1064" priority="29" stopIfTrue="1">
      <formula>(E19="РН")</formula>
    </cfRule>
    <cfRule type="expression" dxfId="1063" priority="30" stopIfTrue="1">
      <formula>(E19="НУ")</formula>
    </cfRule>
    <cfRule type="expression" dxfId="1062" priority="31" stopIfTrue="1">
      <formula>(E19="Р1")</formula>
    </cfRule>
    <cfRule type="expression" dxfId="1061" priority="32" stopIfTrue="1">
      <formula>(E19="Р2")</formula>
    </cfRule>
    <cfRule type="expression" dxfId="1060" priority="33" stopIfTrue="1">
      <formula>(E19="Р1/РВ")</formula>
    </cfRule>
    <cfRule type="expression" dxfId="1059" priority="34" stopIfTrue="1">
      <formula>(E19="Р2/РВ")</formula>
    </cfRule>
    <cfRule type="expression" dxfId="1058" priority="35" stopIfTrue="1">
      <formula>(E19="ВЧ/РВ")</formula>
    </cfRule>
    <cfRule type="expression" priority="36" stopIfTrue="1">
      <formula>(E19="РН/РВ")</formula>
    </cfRule>
  </conditionalFormatting>
  <conditionalFormatting sqref="F19:AI19 F21:AI21 F23:AI23 F25:AI25 F27:AI27 F29:AI29">
    <cfRule type="expression" dxfId="1057" priority="13" stopIfTrue="1">
      <formula>(F19="Р")</formula>
    </cfRule>
    <cfRule type="expression" dxfId="1056" priority="14" stopIfTrue="1">
      <formula>(F19="ВЧ")</formula>
    </cfRule>
    <cfRule type="expression" dxfId="1055" priority="15" stopIfTrue="1">
      <formula>(F19="ВЧ1")</formula>
    </cfRule>
    <cfRule type="expression" dxfId="1054" priority="16" stopIfTrue="1">
      <formula>(F19="ВЧ2")</formula>
    </cfRule>
    <cfRule type="expression" dxfId="1053" priority="17" stopIfTrue="1">
      <formula>(F19="РН")</formula>
    </cfRule>
    <cfRule type="expression" dxfId="1052" priority="18" stopIfTrue="1">
      <formula>(F19="НУ")</formula>
    </cfRule>
    <cfRule type="expression" dxfId="1051" priority="19" stopIfTrue="1">
      <formula>(F19="Р1")</formula>
    </cfRule>
    <cfRule type="expression" dxfId="1050" priority="20" stopIfTrue="1">
      <formula>(F19="Р2")</formula>
    </cfRule>
    <cfRule type="expression" dxfId="1049" priority="21" stopIfTrue="1">
      <formula>(F19="Р1/РВ")</formula>
    </cfRule>
    <cfRule type="expression" dxfId="1048" priority="22" stopIfTrue="1">
      <formula>(F19="Р2/РВ")</formula>
    </cfRule>
    <cfRule type="expression" dxfId="1047" priority="23" stopIfTrue="1">
      <formula>(F19="ВЧ/РВ")</formula>
    </cfRule>
    <cfRule type="expression" priority="24" stopIfTrue="1">
      <formula>(F19="РН/РВ")</formula>
    </cfRule>
  </conditionalFormatting>
  <conditionalFormatting sqref="E20 E22 E24 E26 E28 E30">
    <cfRule type="expression" dxfId="1046" priority="37" stopIfTrue="1">
      <formula>(E19="ВД")</formula>
    </cfRule>
    <cfRule type="expression" dxfId="1045" priority="38" stopIfTrue="1">
      <formula>(E19="В")</formula>
    </cfRule>
    <cfRule type="expression" dxfId="1044" priority="39" stopIfTrue="1">
      <formula>(E19="ВП")</formula>
    </cfRule>
    <cfRule type="expression" dxfId="1043" priority="40" stopIfTrue="1">
      <formula>(E19="ДД")</formula>
    </cfRule>
    <cfRule type="expression" dxfId="1042" priority="41" stopIfTrue="1">
      <formula>(E19="НА")</formula>
    </cfRule>
    <cfRule type="expression" dxfId="1041" priority="42" stopIfTrue="1">
      <formula>(E19="Ч")</formula>
    </cfRule>
    <cfRule type="expression" dxfId="1040" priority="43" stopIfTrue="1">
      <formula>(E19="Н")</formula>
    </cfRule>
    <cfRule type="expression" dxfId="1039" priority="44" stopIfTrue="1">
      <formula>(E19="ТН")</formula>
    </cfRule>
    <cfRule type="expression" dxfId="1038" priority="45" stopIfTrue="1">
      <formula>(E19="ДО")</formula>
    </cfRule>
    <cfRule type="expression" dxfId="1037" priority="46" stopIfTrue="1">
      <formula>(E19="ІН")</formula>
    </cfRule>
    <cfRule type="expression" dxfId="1036" priority="47" stopIfTrue="1">
      <formula>(E19="РВ")</formula>
    </cfRule>
    <cfRule type="expression" dxfId="1035" priority="48" stopIfTrue="1">
      <formula>(E19="ВБ")</formula>
    </cfRule>
  </conditionalFormatting>
  <conditionalFormatting sqref="F20:AI20 F22:AI22 F24:AI24 F26:AI26 F28:AI28 F30:AI30">
    <cfRule type="expression" dxfId="1034" priority="1" stopIfTrue="1">
      <formula>(F19="ВД")</formula>
    </cfRule>
    <cfRule type="expression" dxfId="1033" priority="2" stopIfTrue="1">
      <formula>(F19="В")</formula>
    </cfRule>
    <cfRule type="expression" dxfId="1032" priority="3" stopIfTrue="1">
      <formula>(F19="ВП")</formula>
    </cfRule>
    <cfRule type="expression" dxfId="1031" priority="4" stopIfTrue="1">
      <formula>(F19="ДД")</formula>
    </cfRule>
    <cfRule type="expression" dxfId="1030" priority="5" stopIfTrue="1">
      <formula>(F19="НА")</formula>
    </cfRule>
    <cfRule type="expression" dxfId="1029" priority="6" stopIfTrue="1">
      <formula>(F19="Ч")</formula>
    </cfRule>
    <cfRule type="expression" dxfId="1028" priority="7" stopIfTrue="1">
      <formula>(F19="Н")</formula>
    </cfRule>
    <cfRule type="expression" dxfId="1027" priority="8" stopIfTrue="1">
      <formula>(F19="ТН")</formula>
    </cfRule>
    <cfRule type="expression" dxfId="1026" priority="9" stopIfTrue="1">
      <formula>(F19="ДО")</formula>
    </cfRule>
    <cfRule type="expression" dxfId="1025" priority="10" stopIfTrue="1">
      <formula>(F19="ІН")</formula>
    </cfRule>
    <cfRule type="expression" dxfId="1024" priority="11" stopIfTrue="1">
      <formula>(F19="РВ")</formula>
    </cfRule>
    <cfRule type="expression" dxfId="1023" priority="12" stopIfTrue="1">
      <formula>(F19="ВБ")</formula>
    </cfRule>
  </conditionalFormatting>
  <printOptions horizontalCentered="1"/>
  <pageMargins left="0.39370078740157483" right="0.39370078740157483" top="0.39370078740157483" bottom="0.39370078740157483" header="0" footer="0"/>
  <pageSetup paperSize="8" scale="84" fitToHeight="999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6" r:id="rId4" name="Button 4">
              <controlPr defaultSize="0" print="0" autoFill="0" autoPict="0" macro="[0]!Макрос1">
                <anchor moveWithCells="1" sizeWithCells="1">
                  <from>
                    <xdr:col>13</xdr:col>
                    <xdr:colOff>0</xdr:colOff>
                    <xdr:row>0</xdr:row>
                    <xdr:rowOff>133350</xdr:rowOff>
                  </from>
                  <to>
                    <xdr:col>17</xdr:col>
                    <xdr:colOff>57150</xdr:colOff>
                    <xdr:row>2</xdr:row>
                    <xdr:rowOff>9525</xdr:rowOff>
                  </to>
                </anchor>
              </controlPr>
            </control>
          </mc:Choice>
        </mc:AlternateContent>
        <mc:AlternateContent xmlns:mc="http://schemas.openxmlformats.org/markup-compatibility/2006">
          <mc:Choice Requires="x14">
            <control shapeId="28677" r:id="rId5" name="Button 5">
              <controlPr defaultSize="0" print="0" autoFill="0" autoPict="0" macro="[0]!Макрос2">
                <anchor moveWithCells="1" sizeWithCells="1">
                  <from>
                    <xdr:col>13</xdr:col>
                    <xdr:colOff>0</xdr:colOff>
                    <xdr:row>2</xdr:row>
                    <xdr:rowOff>123825</xdr:rowOff>
                  </from>
                  <to>
                    <xdr:col>17</xdr:col>
                    <xdr:colOff>66675</xdr:colOff>
                    <xdr:row>3</xdr:row>
                    <xdr:rowOff>142875</xdr:rowOff>
                  </to>
                </anchor>
              </controlPr>
            </control>
          </mc:Choice>
        </mc:AlternateContent>
        <mc:AlternateContent xmlns:mc="http://schemas.openxmlformats.org/markup-compatibility/2006">
          <mc:Choice Requires="x14">
            <control shapeId="28678" r:id="rId6" name="Button 6">
              <controlPr defaultSize="0" print="0" autoFill="0" autoPict="0" macro="[0]!Макрос3">
                <anchor moveWithCells="1" sizeWithCells="1">
                  <from>
                    <xdr:col>11</xdr:col>
                    <xdr:colOff>161925</xdr:colOff>
                    <xdr:row>4</xdr:row>
                    <xdr:rowOff>95250</xdr:rowOff>
                  </from>
                  <to>
                    <xdr:col>17</xdr:col>
                    <xdr:colOff>76200</xdr:colOff>
                    <xdr:row>5</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8">
    <pageSetUpPr fitToPage="1"/>
  </sheetPr>
  <dimension ref="A2:AZ77"/>
  <sheetViews>
    <sheetView showZeros="0" topLeftCell="D1" zoomScale="90" zoomScaleNormal="90" zoomScaleSheetLayoutView="80" workbookViewId="0">
      <pane ySplit="15" topLeftCell="A58" activePane="bottomLeft" state="frozen"/>
      <selection pane="bottomLeft" activeCell="E19" sqref="E19:AI60"/>
    </sheetView>
  </sheetViews>
  <sheetFormatPr defaultRowHeight="12.75" x14ac:dyDescent="0.2"/>
  <cols>
    <col min="1" max="1" width="5.28515625" style="1" customWidth="1"/>
    <col min="2" max="2" width="25.85546875" style="1" customWidth="1"/>
    <col min="3" max="3" width="5.85546875" style="13" customWidth="1"/>
    <col min="4" max="4" width="3.7109375" style="1" customWidth="1"/>
    <col min="5" max="5" width="4.28515625" style="1" customWidth="1"/>
    <col min="6" max="11" width="3.7109375" style="1" customWidth="1"/>
    <col min="12" max="12" width="4.7109375" style="1" customWidth="1"/>
    <col min="13" max="14" width="4.42578125" style="1" customWidth="1"/>
    <col min="15" max="15" width="3.7109375" style="1" customWidth="1"/>
    <col min="16" max="16" width="5.7109375" style="1" customWidth="1"/>
    <col min="17" max="17" width="3.7109375" style="1" customWidth="1"/>
    <col min="18" max="19" width="5.28515625" style="1" customWidth="1"/>
    <col min="20" max="35" width="3.7109375" style="1" customWidth="1"/>
    <col min="36" max="36" width="4.7109375" style="1" customWidth="1"/>
    <col min="37" max="37" width="6.7109375" style="1" customWidth="1"/>
    <col min="38" max="42" width="4.7109375" style="1" customWidth="1"/>
    <col min="43" max="43" width="6.85546875" style="1" customWidth="1"/>
    <col min="44" max="45" width="4.7109375" style="1" customWidth="1"/>
    <col min="46" max="46" width="6.28515625" style="1" customWidth="1"/>
    <col min="47" max="48" width="4.7109375" style="1" customWidth="1"/>
    <col min="49" max="49" width="4.7109375" style="131" customWidth="1"/>
    <col min="50" max="50" width="6.28515625" style="1" customWidth="1"/>
    <col min="51" max="52" width="4.7109375" style="1" customWidth="1"/>
    <col min="53" max="16384" width="9.140625" style="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92</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93</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2"/>
      <c r="U9" s="42"/>
      <c r="V9" s="42"/>
      <c r="W9" s="42"/>
      <c r="X9" s="42"/>
      <c r="Y9" s="42"/>
      <c r="Z9" s="42"/>
      <c r="AA9" s="42"/>
      <c r="AB9" s="42"/>
      <c r="AC9" s="42"/>
      <c r="AD9" s="42"/>
      <c r="AE9" s="42"/>
      <c r="AF9" s="42"/>
      <c r="AG9" s="42"/>
      <c r="AH9" s="42"/>
      <c r="AI9" s="42"/>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67">
        <v>1</v>
      </c>
      <c r="B16" s="66">
        <v>2</v>
      </c>
      <c r="C16" s="71">
        <v>3</v>
      </c>
      <c r="D16" s="71" t="s">
        <v>27</v>
      </c>
      <c r="E16" s="233">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4"/>
      <c r="AJ16" s="43">
        <v>6</v>
      </c>
      <c r="AK16" s="233">
        <v>7</v>
      </c>
      <c r="AL16" s="232"/>
      <c r="AM16" s="232"/>
      <c r="AN16" s="232"/>
      <c r="AO16" s="234"/>
      <c r="AP16" s="43">
        <v>8</v>
      </c>
      <c r="AQ16" s="27">
        <v>9</v>
      </c>
      <c r="AR16" s="28"/>
      <c r="AS16" s="28"/>
      <c r="AT16" s="28"/>
      <c r="AU16" s="28"/>
      <c r="AV16" s="28"/>
      <c r="AW16" s="28"/>
      <c r="AX16" s="28"/>
      <c r="AY16" s="29"/>
      <c r="AZ16" s="30"/>
    </row>
    <row r="17" spans="1:52" s="158" customFormat="1" ht="17.25" customHeight="1" x14ac:dyDescent="0.2">
      <c r="A17" s="289">
        <v>1</v>
      </c>
      <c r="B17" s="228" t="s">
        <v>379</v>
      </c>
      <c r="C17" s="228">
        <v>1362</v>
      </c>
      <c r="D17" s="228" t="s">
        <v>72</v>
      </c>
      <c r="E17" s="185" t="s">
        <v>142</v>
      </c>
      <c r="F17" s="191" t="s">
        <v>142</v>
      </c>
      <c r="G17" s="191" t="s">
        <v>4</v>
      </c>
      <c r="H17" s="191" t="s">
        <v>4</v>
      </c>
      <c r="I17" s="191" t="s">
        <v>4</v>
      </c>
      <c r="J17" s="191" t="s">
        <v>4</v>
      </c>
      <c r="K17" s="191" t="s">
        <v>4</v>
      </c>
      <c r="L17" s="191" t="s">
        <v>142</v>
      </c>
      <c r="M17" s="191" t="s">
        <v>142</v>
      </c>
      <c r="N17" s="191" t="s">
        <v>4</v>
      </c>
      <c r="O17" s="191" t="s">
        <v>4</v>
      </c>
      <c r="P17" s="191" t="s">
        <v>4</v>
      </c>
      <c r="Q17" s="191" t="s">
        <v>4</v>
      </c>
      <c r="R17" s="191" t="s">
        <v>4</v>
      </c>
      <c r="S17" s="191" t="s">
        <v>142</v>
      </c>
      <c r="T17" s="191" t="s">
        <v>142</v>
      </c>
      <c r="U17" s="191" t="s">
        <v>4</v>
      </c>
      <c r="V17" s="191" t="s">
        <v>4</v>
      </c>
      <c r="W17" s="191" t="s">
        <v>4</v>
      </c>
      <c r="X17" s="191" t="s">
        <v>4</v>
      </c>
      <c r="Y17" s="191" t="s">
        <v>4</v>
      </c>
      <c r="Z17" s="191" t="s">
        <v>142</v>
      </c>
      <c r="AA17" s="191" t="s">
        <v>142</v>
      </c>
      <c r="AB17" s="191" t="s">
        <v>4</v>
      </c>
      <c r="AC17" s="191" t="s">
        <v>4</v>
      </c>
      <c r="AD17" s="191" t="s">
        <v>4</v>
      </c>
      <c r="AE17" s="191" t="s">
        <v>4</v>
      </c>
      <c r="AF17" s="191" t="s">
        <v>4</v>
      </c>
      <c r="AG17" s="191"/>
      <c r="AH17" s="191"/>
      <c r="AI17" s="191"/>
      <c r="AJ17" s="213">
        <f>IFERROR(COUNTIF(E17:AI17,"=Р")+COUNTIF(E17:AI17,"=Р1")+COUNTIF(E17:AI17,"=ВЧ")+COUNTIF(E17:AI17,"=РН")+COUNTIF(E17:AI17,"=Р2")+COUNTIF(E17:AI17,"=Р1/РВ")+COUNTIF(E17:AI17,"=Р2/РВ")+COUNTIF(E17:AI17,"=ВЧ/РВ")+COUNTIF(E17:AI17,"=РН/РВ"),0)</f>
        <v>20</v>
      </c>
      <c r="AK17" s="202">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159.79999999999998</v>
      </c>
      <c r="AL17" s="202">
        <f>IFERROR(SUMIF(E17:AI17,"=НУ",E18:AI18),0)</f>
        <v>0</v>
      </c>
      <c r="AM17" s="202">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02">
        <f>IFERROR(SUMIF(E17:AI17,"=РВ",E18:AI18)+SUMIF(E17:AI17,"=ВЧ/РВ",E18:AI18)+SUMIF(E17:AI17,"=РН/РВ",E18:AI18)+SUMIF(E17:AI17,"=Р1/РВ",E18:AI18)+SUMIF(E17:AI17,"=ВЧ2/РВ",E18:AI18)+SUMIF(E17:AI17,"=Р2/РВ",E18:AI18),0)</f>
        <v>0</v>
      </c>
      <c r="AP17" s="202">
        <f>IFERROR(COUNTIF(E17:AI17,"=ВВ")+COUNTIF(E17:AI17,"=Р1/ВВ")+COUNTIF(E17:AI17,"=РН/ВВ")+COUNTIF(E17:AI17,"=ВЧ/ВВ"),0)</f>
        <v>8</v>
      </c>
      <c r="AQ17" s="202">
        <f>SUM(AR17:AZ17)</f>
        <v>0</v>
      </c>
      <c r="AR17" s="202">
        <f>IFERROR(SUMIF(E17:AI17,"=В",E18:AI18)+SUMIF(E17:AI17,"=Ч",E18:AI18)+SUMIF(E17:AI17,"=ВБ",E18:AI18),0)</f>
        <v>0</v>
      </c>
      <c r="AS17" s="202">
        <f>IFERROR(SUMIF(E17:AI17,"=Н",E18:AI18),0)</f>
        <v>0</v>
      </c>
      <c r="AT17" s="202">
        <f>IFERROR(SUMIF(E17:AI17,"=НА",E18:AI18),0)</f>
        <v>0</v>
      </c>
      <c r="AU17" s="202">
        <f>IFERROR(SUMIF(E17:AI17,"=ВП",E18:AI18),0)</f>
        <v>0</v>
      </c>
      <c r="AV17" s="202">
        <f>IFERROR(SUMIF(E17:AI17,"=ДД",E18:AI18),0)</f>
        <v>0</v>
      </c>
      <c r="AW17" s="202">
        <f>IFERROR(SUMIF(E17:AI17,"=ДО",E18:AI18),0)</f>
        <v>0</v>
      </c>
      <c r="AX17" s="202">
        <f>IFERROR(SUMIF(E17:AI17,"=ТН",E18:AI18),0)</f>
        <v>0</v>
      </c>
      <c r="AY17" s="202">
        <f>IFERROR(SUMIF(E17:AI17,"=ВД",E18:AI18),0)</f>
        <v>0</v>
      </c>
      <c r="AZ17" s="200">
        <f>IFERROR(SUMIF(E17:AI17,"=ІН",E18:AI18),0)+SUMIF(E17:AI17,"=НЗ",E18:AI18)</f>
        <v>0</v>
      </c>
    </row>
    <row r="18" spans="1:52" s="158" customFormat="1" ht="20.100000000000001" customHeight="1" thickBot="1" x14ac:dyDescent="0.25">
      <c r="A18" s="290"/>
      <c r="B18" s="229"/>
      <c r="C18" s="229"/>
      <c r="D18" s="229"/>
      <c r="E18" s="186"/>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t="s">
        <v>491</v>
      </c>
      <c r="AH18" s="192" t="s">
        <v>492</v>
      </c>
      <c r="AI18" s="192" t="s">
        <v>493</v>
      </c>
      <c r="AJ18" s="214"/>
      <c r="AK18" s="203"/>
      <c r="AL18" s="203"/>
      <c r="AM18" s="203"/>
      <c r="AN18" s="212"/>
      <c r="AO18" s="203"/>
      <c r="AP18" s="203"/>
      <c r="AQ18" s="203"/>
      <c r="AR18" s="203"/>
      <c r="AS18" s="203"/>
      <c r="AT18" s="203"/>
      <c r="AU18" s="203"/>
      <c r="AV18" s="203"/>
      <c r="AW18" s="203"/>
      <c r="AX18" s="203"/>
      <c r="AY18" s="203"/>
      <c r="AZ18" s="201"/>
    </row>
    <row r="19" spans="1:52" s="174" customFormat="1" ht="17.25" customHeight="1" x14ac:dyDescent="0.2">
      <c r="A19" s="289">
        <f>A17+1</f>
        <v>2</v>
      </c>
      <c r="B19" s="228" t="s">
        <v>205</v>
      </c>
      <c r="C19" s="228">
        <v>1701</v>
      </c>
      <c r="D19" s="228" t="s">
        <v>65</v>
      </c>
      <c r="E19" s="191" t="s">
        <v>142</v>
      </c>
      <c r="F19" s="191" t="s">
        <v>4</v>
      </c>
      <c r="G19" s="191" t="s">
        <v>41</v>
      </c>
      <c r="H19" s="191" t="s">
        <v>43</v>
      </c>
      <c r="I19" s="191" t="s">
        <v>142</v>
      </c>
      <c r="J19" s="191" t="s">
        <v>4</v>
      </c>
      <c r="K19" s="191" t="s">
        <v>41</v>
      </c>
      <c r="L19" s="191" t="s">
        <v>43</v>
      </c>
      <c r="M19" s="191" t="s">
        <v>142</v>
      </c>
      <c r="N19" s="191" t="s">
        <v>142</v>
      </c>
      <c r="O19" s="191" t="s">
        <v>309</v>
      </c>
      <c r="P19" s="191" t="s">
        <v>43</v>
      </c>
      <c r="Q19" s="191" t="s">
        <v>142</v>
      </c>
      <c r="R19" s="191" t="s">
        <v>4</v>
      </c>
      <c r="S19" s="191" t="s">
        <v>41</v>
      </c>
      <c r="T19" s="191" t="s">
        <v>43</v>
      </c>
      <c r="U19" s="191" t="s">
        <v>142</v>
      </c>
      <c r="V19" s="191" t="s">
        <v>4</v>
      </c>
      <c r="W19" s="191" t="s">
        <v>41</v>
      </c>
      <c r="X19" s="191" t="s">
        <v>43</v>
      </c>
      <c r="Y19" s="191" t="s">
        <v>142</v>
      </c>
      <c r="Z19" s="191" t="s">
        <v>4</v>
      </c>
      <c r="AA19" s="191" t="s">
        <v>41</v>
      </c>
      <c r="AB19" s="191" t="s">
        <v>43</v>
      </c>
      <c r="AC19" s="191" t="s">
        <v>142</v>
      </c>
      <c r="AD19" s="191" t="s">
        <v>4</v>
      </c>
      <c r="AE19" s="191" t="s">
        <v>41</v>
      </c>
      <c r="AF19" s="191" t="s">
        <v>43</v>
      </c>
      <c r="AG19" s="191" t="s">
        <v>142</v>
      </c>
      <c r="AH19" s="191" t="s">
        <v>4</v>
      </c>
      <c r="AI19" s="191" t="s">
        <v>41</v>
      </c>
      <c r="AJ19" s="213">
        <f>IFERROR(COUNTIF(E19:AI19,"=Р")+COUNTIF(E19:AI19,"=Р1")+COUNTIF(E19:AI19,"=ВЧ")+COUNTIF(E19:AI19,"=РН")+COUNTIF(E19:AI19,"=Р2")+COUNTIF(E19:AI19,"=Р1/РВ")+COUNTIF(E19:AI19,"=Р2/РВ")+COUNTIF(E19:AI19,"=ВЧ/РВ")+COUNTIF(E19:AI19,"=РН/РВ"),0)</f>
        <v>21</v>
      </c>
      <c r="AK19" s="202">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168</v>
      </c>
      <c r="AL19" s="202">
        <f>IFERROR(SUMIF(E19:AI19,"=НУ",E20:AI20),0)</f>
        <v>0</v>
      </c>
      <c r="AM19" s="202">
        <f>IFERROR(SUMIF(E19:AI19,"=РН",E20:AI20)+SUMIF(E19:AI19,"=РН/РВ",E20:AI20)+SUMIFS(E20:AI20,E19:AI19,"=Р2",E20:AI20,"=8"),0)</f>
        <v>56</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30</v>
      </c>
      <c r="AO19" s="202">
        <f>IFERROR(SUMIF(E19:AI19,"=РВ",E20:AI20)+SUMIF(E19:AI19,"=ВЧ/РВ",E20:AI20)+SUMIF(E19:AI19,"=РН/РВ",E20:AI20)+SUMIF(E19:AI19,"=Р1/РВ",E20:AI20)+SUMIF(E19:AI19,"=ВЧ2/РВ",E20:AI20)+SUMIF(E19:AI19,"=Р2/РВ",E20:AI20),0)</f>
        <v>0</v>
      </c>
      <c r="AP19" s="202">
        <f>IFERROR(COUNTIF(E19:AI19,"=ВВ")+COUNTIF(E19:AI19,"=Р1/ВВ")+COUNTIF(E19:AI19,"=РН/ВВ")+COUNTIF(E19:AI19,"=ВЧ/ВВ"),0)</f>
        <v>9</v>
      </c>
      <c r="AQ19" s="202">
        <f>SUM(AR19:AZ19)</f>
        <v>0</v>
      </c>
      <c r="AR19" s="202">
        <f>IFERROR(SUMIF(E19:AI19,"=В",E20:AI20)+SUMIF(E19:AI19,"=Ч",E20:AI20)+SUMIF(E19:AI19,"=ВБ",E20:AI20),0)</f>
        <v>0</v>
      </c>
      <c r="AS19" s="202">
        <f>IFERROR(SUMIF(E19:AI19,"=Н",E20:AI20),0)</f>
        <v>0</v>
      </c>
      <c r="AT19" s="202">
        <f>IFERROR(SUMIF(E19:AI19,"=НА",E20:AI20),0)</f>
        <v>0</v>
      </c>
      <c r="AU19" s="202">
        <f>IFERROR(SUMIF(E19:AI19,"=ВП",E20:AI20),0)</f>
        <v>0</v>
      </c>
      <c r="AV19" s="202">
        <f>IFERROR(SUMIF(E19:AI19,"=ДД",E20:AI20),0)</f>
        <v>0</v>
      </c>
      <c r="AW19" s="202">
        <f>IFERROR(SUMIF(E19:AI19,"=ДО",E20:AI20),0)</f>
        <v>0</v>
      </c>
      <c r="AX19" s="202">
        <f>IFERROR(SUMIF(E19:AI19,"=ТН",E20:AI20),0)</f>
        <v>0</v>
      </c>
      <c r="AY19" s="202">
        <f>IFERROR(SUMIF(E19:AI19,"=ВД",E20:AI20),0)</f>
        <v>0</v>
      </c>
      <c r="AZ19" s="200">
        <f>IFERROR(SUMIF(E19:AI19,"=ІН",E20:AI20),0)+SUMIF(E19:AI19,"=НЗ",E20:AI20)</f>
        <v>0</v>
      </c>
    </row>
    <row r="20" spans="1:52" s="174" customFormat="1" ht="20.100000000000001" customHeight="1" thickBot="1" x14ac:dyDescent="0.25">
      <c r="A20" s="290"/>
      <c r="B20" s="229"/>
      <c r="C20" s="229"/>
      <c r="D20" s="229"/>
      <c r="E20" s="192"/>
      <c r="F20" s="192">
        <v>12</v>
      </c>
      <c r="G20" s="192">
        <v>4</v>
      </c>
      <c r="H20" s="192">
        <v>8</v>
      </c>
      <c r="I20" s="192"/>
      <c r="J20" s="192">
        <v>8</v>
      </c>
      <c r="K20" s="192">
        <v>4</v>
      </c>
      <c r="L20" s="192">
        <v>8</v>
      </c>
      <c r="M20" s="192"/>
      <c r="N20" s="192"/>
      <c r="O20" s="192">
        <v>4</v>
      </c>
      <c r="P20" s="192">
        <v>8</v>
      </c>
      <c r="Q20" s="192"/>
      <c r="R20" s="192">
        <v>12</v>
      </c>
      <c r="S20" s="192">
        <v>4</v>
      </c>
      <c r="T20" s="192">
        <v>8</v>
      </c>
      <c r="U20" s="192"/>
      <c r="V20" s="192">
        <v>12</v>
      </c>
      <c r="W20" s="192">
        <v>4</v>
      </c>
      <c r="X20" s="192">
        <v>8</v>
      </c>
      <c r="Y20" s="192"/>
      <c r="Z20" s="192">
        <v>12</v>
      </c>
      <c r="AA20" s="192">
        <v>4</v>
      </c>
      <c r="AB20" s="192">
        <v>8</v>
      </c>
      <c r="AC20" s="192"/>
      <c r="AD20" s="192">
        <v>12</v>
      </c>
      <c r="AE20" s="192">
        <v>4</v>
      </c>
      <c r="AF20" s="192">
        <v>8</v>
      </c>
      <c r="AG20" s="192"/>
      <c r="AH20" s="192">
        <v>12</v>
      </c>
      <c r="AI20" s="192">
        <v>4</v>
      </c>
      <c r="AJ20" s="214"/>
      <c r="AK20" s="203"/>
      <c r="AL20" s="203"/>
      <c r="AM20" s="203"/>
      <c r="AN20" s="212"/>
      <c r="AO20" s="203"/>
      <c r="AP20" s="203"/>
      <c r="AQ20" s="203"/>
      <c r="AR20" s="203"/>
      <c r="AS20" s="203"/>
      <c r="AT20" s="203"/>
      <c r="AU20" s="203"/>
      <c r="AV20" s="203"/>
      <c r="AW20" s="203"/>
      <c r="AX20" s="203"/>
      <c r="AY20" s="203"/>
      <c r="AZ20" s="201"/>
    </row>
    <row r="21" spans="1:52" s="177" customFormat="1" ht="17.25" customHeight="1" x14ac:dyDescent="0.2">
      <c r="A21" s="289">
        <f t="shared" ref="A21" si="0">A19+1</f>
        <v>3</v>
      </c>
      <c r="B21" s="228" t="s">
        <v>378</v>
      </c>
      <c r="C21" s="228">
        <v>113</v>
      </c>
      <c r="D21" s="228" t="s">
        <v>72</v>
      </c>
      <c r="E21" s="191" t="s">
        <v>309</v>
      </c>
      <c r="F21" s="191" t="s">
        <v>43</v>
      </c>
      <c r="G21" s="191" t="s">
        <v>142</v>
      </c>
      <c r="H21" s="191" t="s">
        <v>4</v>
      </c>
      <c r="I21" s="191" t="s">
        <v>41</v>
      </c>
      <c r="J21" s="191" t="s">
        <v>43</v>
      </c>
      <c r="K21" s="191" t="s">
        <v>142</v>
      </c>
      <c r="L21" s="191" t="s">
        <v>4</v>
      </c>
      <c r="M21" s="191" t="s">
        <v>41</v>
      </c>
      <c r="N21" s="191" t="s">
        <v>43</v>
      </c>
      <c r="O21" s="191" t="s">
        <v>142</v>
      </c>
      <c r="P21" s="191" t="s">
        <v>4</v>
      </c>
      <c r="Q21" s="191" t="s">
        <v>41</v>
      </c>
      <c r="R21" s="191" t="s">
        <v>43</v>
      </c>
      <c r="S21" s="191" t="s">
        <v>142</v>
      </c>
      <c r="T21" s="191" t="s">
        <v>4</v>
      </c>
      <c r="U21" s="191" t="s">
        <v>41</v>
      </c>
      <c r="V21" s="191" t="s">
        <v>43</v>
      </c>
      <c r="W21" s="191" t="s">
        <v>142</v>
      </c>
      <c r="X21" s="191" t="s">
        <v>4</v>
      </c>
      <c r="Y21" s="191" t="s">
        <v>41</v>
      </c>
      <c r="Z21" s="191" t="s">
        <v>43</v>
      </c>
      <c r="AA21" s="191" t="s">
        <v>142</v>
      </c>
      <c r="AB21" s="191" t="s">
        <v>4</v>
      </c>
      <c r="AC21" s="191" t="s">
        <v>41</v>
      </c>
      <c r="AD21" s="191" t="s">
        <v>43</v>
      </c>
      <c r="AE21" s="191" t="s">
        <v>142</v>
      </c>
      <c r="AF21" s="191" t="s">
        <v>4</v>
      </c>
      <c r="AG21" s="191"/>
      <c r="AH21" s="191"/>
      <c r="AI21" s="191"/>
      <c r="AJ21" s="213">
        <f>IFERROR(COUNTIF(E21:AI21,"=Р")+COUNTIF(E21:AI21,"=Р1")+COUNTIF(E21:AI21,"=ВЧ")+COUNTIF(E21:AI21,"=РН")+COUNTIF(E21:AI21,"=Р2")+COUNTIF(E21:AI21,"=Р1/РВ")+COUNTIF(E21:AI21,"=Р2/РВ")+COUNTIF(E21:AI21,"=ВЧ/РВ")+COUNTIF(E21:AI21,"=РН/РВ"),0)</f>
        <v>20</v>
      </c>
      <c r="AK21" s="202">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164</v>
      </c>
      <c r="AL21" s="202">
        <f>IFERROR(SUMIF(E21:AI21,"=НУ",E22:AI22),0)</f>
        <v>0</v>
      </c>
      <c r="AM21" s="202">
        <f>IFERROR(SUMIF(E21:AI21,"=РН",E22:AI22)+SUMIF(E21:AI21,"=РН/РВ",E22:AI22)+SUMIFS(E22:AI22,E21:AI21,"=Р2",E22:AI22,"=8"),0)</f>
        <v>56</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26</v>
      </c>
      <c r="AO21" s="202">
        <f>IFERROR(SUMIF(E21:AI21,"=РВ",E22:AI22)+SUMIF(E21:AI21,"=ВЧ/РВ",E22:AI22)+SUMIF(E21:AI21,"=РН/РВ",E22:AI22)+SUMIF(E21:AI21,"=Р1/РВ",E22:AI22)+SUMIF(E21:AI21,"=ВЧ2/РВ",E22:AI22)+SUMIF(E21:AI21,"=Р2/РВ",E22:AI22),0)</f>
        <v>0</v>
      </c>
      <c r="AP21" s="202">
        <f>IFERROR(COUNTIF(E21:AI21,"=ВВ")+COUNTIF(E21:AI21,"=Р1/ВВ")+COUNTIF(E21:AI21,"=РН/ВВ")+COUNTIF(E21:AI21,"=ВЧ/ВВ"),0)</f>
        <v>7</v>
      </c>
      <c r="AQ21" s="202">
        <f>SUM(AR21:AZ21)</f>
        <v>0</v>
      </c>
      <c r="AR21" s="202">
        <f>IFERROR(SUMIF(E21:AI21,"=В",E22:AI22)+SUMIF(E21:AI21,"=Ч",E22:AI22)+SUMIF(E21:AI21,"=ВБ",E22:AI22),0)</f>
        <v>0</v>
      </c>
      <c r="AS21" s="202">
        <f>IFERROR(SUMIF(E21:AI21,"=Н",E22:AI22),0)</f>
        <v>0</v>
      </c>
      <c r="AT21" s="202">
        <f>IFERROR(SUMIF(E21:AI21,"=НА",E22:AI22),0)</f>
        <v>0</v>
      </c>
      <c r="AU21" s="202">
        <f>IFERROR(SUMIF(E21:AI21,"=ВП",E22:AI22),0)</f>
        <v>0</v>
      </c>
      <c r="AV21" s="202">
        <f>IFERROR(SUMIF(E21:AI21,"=ДД",E22:AI22),0)</f>
        <v>0</v>
      </c>
      <c r="AW21" s="202">
        <f>IFERROR(SUMIF(E21:AI21,"=ДО",E22:AI22),0)</f>
        <v>0</v>
      </c>
      <c r="AX21" s="202">
        <f>IFERROR(SUMIF(E21:AI21,"=ТН",E22:AI22),0)</f>
        <v>0</v>
      </c>
      <c r="AY21" s="202">
        <f>IFERROR(SUMIF(E21:AI21,"=ВД",E22:AI22),0)</f>
        <v>0</v>
      </c>
      <c r="AZ21" s="200">
        <f>IFERROR(SUMIF(E21:AI21,"=ІН",E22:AI22),0)+SUMIF(E21:AI21,"=НЗ",E22:AI22)</f>
        <v>0</v>
      </c>
    </row>
    <row r="22" spans="1:52" s="177" customFormat="1" ht="20.100000000000001" customHeight="1" thickBot="1" x14ac:dyDescent="0.25">
      <c r="A22" s="290"/>
      <c r="B22" s="229"/>
      <c r="C22" s="229"/>
      <c r="D22" s="229"/>
      <c r="E22" s="192">
        <v>4</v>
      </c>
      <c r="F22" s="192">
        <v>8</v>
      </c>
      <c r="G22" s="192"/>
      <c r="H22" s="192">
        <v>12</v>
      </c>
      <c r="I22" s="192">
        <v>4</v>
      </c>
      <c r="J22" s="192">
        <v>8</v>
      </c>
      <c r="K22" s="192"/>
      <c r="L22" s="192">
        <v>12</v>
      </c>
      <c r="M22" s="192">
        <v>4</v>
      </c>
      <c r="N22" s="192">
        <v>8</v>
      </c>
      <c r="O22" s="192"/>
      <c r="P22" s="192">
        <v>12</v>
      </c>
      <c r="Q22" s="192">
        <v>4</v>
      </c>
      <c r="R22" s="192">
        <v>8</v>
      </c>
      <c r="S22" s="192"/>
      <c r="T22" s="192">
        <v>12</v>
      </c>
      <c r="U22" s="192">
        <v>4</v>
      </c>
      <c r="V22" s="192">
        <v>8</v>
      </c>
      <c r="W22" s="192"/>
      <c r="X22" s="192">
        <v>12</v>
      </c>
      <c r="Y22" s="192">
        <v>4</v>
      </c>
      <c r="Z22" s="192">
        <v>8</v>
      </c>
      <c r="AA22" s="192"/>
      <c r="AB22" s="192">
        <v>8</v>
      </c>
      <c r="AC22" s="192">
        <v>4</v>
      </c>
      <c r="AD22" s="192">
        <v>8</v>
      </c>
      <c r="AE22" s="192"/>
      <c r="AF22" s="192">
        <v>12</v>
      </c>
      <c r="AG22" s="192" t="s">
        <v>491</v>
      </c>
      <c r="AH22" s="192" t="s">
        <v>492</v>
      </c>
      <c r="AI22" s="192" t="s">
        <v>493</v>
      </c>
      <c r="AJ22" s="214"/>
      <c r="AK22" s="203"/>
      <c r="AL22" s="203"/>
      <c r="AM22" s="203"/>
      <c r="AN22" s="212"/>
      <c r="AO22" s="203"/>
      <c r="AP22" s="203"/>
      <c r="AQ22" s="203"/>
      <c r="AR22" s="203"/>
      <c r="AS22" s="203"/>
      <c r="AT22" s="203"/>
      <c r="AU22" s="203"/>
      <c r="AV22" s="203"/>
      <c r="AW22" s="203"/>
      <c r="AX22" s="203"/>
      <c r="AY22" s="203"/>
      <c r="AZ22" s="201"/>
    </row>
    <row r="23" spans="1:52" ht="18" customHeight="1" x14ac:dyDescent="0.2">
      <c r="A23" s="289">
        <f t="shared" ref="A23" si="1">A21+1</f>
        <v>4</v>
      </c>
      <c r="B23" s="228" t="s">
        <v>206</v>
      </c>
      <c r="C23" s="228">
        <v>2098</v>
      </c>
      <c r="D23" s="228" t="s">
        <v>65</v>
      </c>
      <c r="E23" s="191" t="s">
        <v>4</v>
      </c>
      <c r="F23" s="191" t="s">
        <v>41</v>
      </c>
      <c r="G23" s="191" t="s">
        <v>43</v>
      </c>
      <c r="H23" s="191" t="s">
        <v>142</v>
      </c>
      <c r="I23" s="191" t="s">
        <v>4</v>
      </c>
      <c r="J23" s="191" t="s">
        <v>41</v>
      </c>
      <c r="K23" s="191" t="s">
        <v>43</v>
      </c>
      <c r="L23" s="191" t="s">
        <v>142</v>
      </c>
      <c r="M23" s="191" t="s">
        <v>4</v>
      </c>
      <c r="N23" s="191" t="s">
        <v>41</v>
      </c>
      <c r="O23" s="191" t="s">
        <v>43</v>
      </c>
      <c r="P23" s="191" t="s">
        <v>142</v>
      </c>
      <c r="Q23" s="191" t="s">
        <v>142</v>
      </c>
      <c r="R23" s="191" t="s">
        <v>309</v>
      </c>
      <c r="S23" s="191" t="s">
        <v>43</v>
      </c>
      <c r="T23" s="191" t="s">
        <v>142</v>
      </c>
      <c r="U23" s="191" t="s">
        <v>4</v>
      </c>
      <c r="V23" s="191" t="s">
        <v>41</v>
      </c>
      <c r="W23" s="191" t="s">
        <v>43</v>
      </c>
      <c r="X23" s="191" t="s">
        <v>142</v>
      </c>
      <c r="Y23" s="191" t="s">
        <v>4</v>
      </c>
      <c r="Z23" s="191" t="s">
        <v>41</v>
      </c>
      <c r="AA23" s="191" t="s">
        <v>43</v>
      </c>
      <c r="AB23" s="191" t="s">
        <v>142</v>
      </c>
      <c r="AC23" s="191" t="s">
        <v>142</v>
      </c>
      <c r="AD23" s="191" t="s">
        <v>309</v>
      </c>
      <c r="AE23" s="191" t="s">
        <v>43</v>
      </c>
      <c r="AF23" s="191" t="s">
        <v>142</v>
      </c>
      <c r="AG23" s="191" t="s">
        <v>4</v>
      </c>
      <c r="AH23" s="191" t="s">
        <v>41</v>
      </c>
      <c r="AI23" s="191" t="s">
        <v>43</v>
      </c>
      <c r="AJ23" s="213">
        <f>IFERROR(COUNTIF(E23:AI23,"=Р")+COUNTIF(E23:AI23,"=Р1")+COUNTIF(E23:AI23,"=ВЧ")+COUNTIF(E23:AI23,"=РН")+COUNTIF(E23:AI23,"=Р2")+COUNTIF(E23:AI23,"=Р1/РВ")+COUNTIF(E23:AI23,"=Р2/РВ")+COUNTIF(E23:AI23,"=ВЧ/РВ")+COUNTIF(E23:AI23,"=РН/РВ"),0)</f>
        <v>20</v>
      </c>
      <c r="AK23" s="202">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168</v>
      </c>
      <c r="AL23" s="202">
        <f>IFERROR(SUMIF(E23:AI23,"=НУ",E24:AI24),0)</f>
        <v>0</v>
      </c>
      <c r="AM23" s="202">
        <f>IFERROR(SUMIF(E23:AI23,"=РН",E24:AI24)+SUMIF(E23:AI23,"=РН/РВ",E24:AI24)+SUMIFS(E24:AI24,E23:AI23,"=Р2",E24:AI24,"=8"),0)</f>
        <v>64</v>
      </c>
      <c r="AN23" s="211">
        <f t="shared" ref="AN23:AN53" si="2">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28</v>
      </c>
      <c r="AO23" s="202">
        <f>IFERROR(SUMIF(E23:AI23,"=РВ",E24:AI24)+SUMIF(E23:AI23,"=ВЧ/РВ",E24:AI24)+SUMIF(E23:AI23,"=РН/РВ",E24:AI24)+SUMIF(E23:AI23,"=Р1/РВ",E24:AI24)+SUMIF(E23:AI23,"=ВЧ2/РВ",E24:AI24)+SUMIF(E23:AI23,"=Р2/РВ",E24:AI24),0)</f>
        <v>0</v>
      </c>
      <c r="AP23" s="202">
        <f t="shared" ref="AP23:AP53" si="3">IFERROR(COUNTIF(E23:AI23,"=ВВ")+COUNTIF(E23:AI23,"=Р1/ВВ")+COUNTIF(E23:AI23,"=РН/ВВ")+COUNTIF(E23:AI23,"=ВЧ/ВВ"),0)</f>
        <v>9</v>
      </c>
      <c r="AQ23" s="202">
        <f>SUM(AR23:AZ23)</f>
        <v>0</v>
      </c>
      <c r="AR23" s="202">
        <f>IFERROR(SUMIF(E23:AI23,"=В",E24:AI24)+SUMIF(E23:AI23,"=Ч",E24:AI24)+SUMIF(E23:AI23,"=ВБ",E24:AI24),0)</f>
        <v>0</v>
      </c>
      <c r="AS23" s="202">
        <f>IFERROR(SUMIF(E23:AI23,"=Н",E24:AI24),0)</f>
        <v>0</v>
      </c>
      <c r="AT23" s="202">
        <f>IFERROR(SUMIF(E23:AI23,"=НА",E24:AI24),0)</f>
        <v>0</v>
      </c>
      <c r="AU23" s="202">
        <f>IFERROR(SUMIF(E23:AI23,"=ВП",E24:AI24),0)</f>
        <v>0</v>
      </c>
      <c r="AV23" s="202">
        <f>IFERROR(SUMIF(E23:AI23,"=ДД",E24:AI24),0)</f>
        <v>0</v>
      </c>
      <c r="AW23" s="202">
        <f>IFERROR(SUMIF(E23:AI23,"=ДО",E24:AI24),0)</f>
        <v>0</v>
      </c>
      <c r="AX23" s="202">
        <f>IFERROR(SUMIF(E23:AI23,"=ТН",E24:AI24),0)</f>
        <v>0</v>
      </c>
      <c r="AY23" s="202">
        <f>IFERROR(SUMIF(E23:AI23,"=ВД",E24:AI24),0)</f>
        <v>0</v>
      </c>
      <c r="AZ23" s="200">
        <f>IFERROR(SUMIF(E23:AI23,"=ІН",E24:AI24),0)+SUMIF(E23:AI23,"=НЗ",E24:AI24)</f>
        <v>0</v>
      </c>
    </row>
    <row r="24" spans="1:52" ht="19.5" customHeight="1" thickBot="1" x14ac:dyDescent="0.25">
      <c r="A24" s="290"/>
      <c r="B24" s="229"/>
      <c r="C24" s="229"/>
      <c r="D24" s="229"/>
      <c r="E24" s="192">
        <v>12</v>
      </c>
      <c r="F24" s="192">
        <v>4</v>
      </c>
      <c r="G24" s="192">
        <v>8</v>
      </c>
      <c r="H24" s="192"/>
      <c r="I24" s="192">
        <v>12</v>
      </c>
      <c r="J24" s="192">
        <v>4</v>
      </c>
      <c r="K24" s="192">
        <v>8</v>
      </c>
      <c r="L24" s="192"/>
      <c r="M24" s="192">
        <v>12</v>
      </c>
      <c r="N24" s="192">
        <v>4</v>
      </c>
      <c r="O24" s="192">
        <v>8</v>
      </c>
      <c r="P24" s="192"/>
      <c r="Q24" s="192"/>
      <c r="R24" s="192">
        <v>4</v>
      </c>
      <c r="S24" s="192">
        <v>8</v>
      </c>
      <c r="T24" s="192"/>
      <c r="U24" s="192">
        <v>12</v>
      </c>
      <c r="V24" s="192">
        <v>4</v>
      </c>
      <c r="W24" s="192">
        <v>8</v>
      </c>
      <c r="X24" s="192"/>
      <c r="Y24" s="192">
        <v>12</v>
      </c>
      <c r="Z24" s="192">
        <v>4</v>
      </c>
      <c r="AA24" s="192">
        <v>8</v>
      </c>
      <c r="AB24" s="192"/>
      <c r="AC24" s="192"/>
      <c r="AD24" s="192">
        <v>4</v>
      </c>
      <c r="AE24" s="192">
        <v>8</v>
      </c>
      <c r="AF24" s="192"/>
      <c r="AG24" s="192">
        <v>12</v>
      </c>
      <c r="AH24" s="192">
        <v>4</v>
      </c>
      <c r="AI24" s="192">
        <v>8</v>
      </c>
      <c r="AJ24" s="214"/>
      <c r="AK24" s="203"/>
      <c r="AL24" s="203"/>
      <c r="AM24" s="203"/>
      <c r="AN24" s="212"/>
      <c r="AO24" s="203"/>
      <c r="AP24" s="203"/>
      <c r="AQ24" s="203"/>
      <c r="AR24" s="203"/>
      <c r="AS24" s="203"/>
      <c r="AT24" s="203"/>
      <c r="AU24" s="203"/>
      <c r="AV24" s="203"/>
      <c r="AW24" s="203"/>
      <c r="AX24" s="203"/>
      <c r="AY24" s="203"/>
      <c r="AZ24" s="201"/>
    </row>
    <row r="25" spans="1:52" s="177" customFormat="1" ht="17.25" customHeight="1" x14ac:dyDescent="0.2">
      <c r="A25" s="289">
        <f t="shared" ref="A25" si="4">A23+1</f>
        <v>5</v>
      </c>
      <c r="B25" s="228" t="s">
        <v>388</v>
      </c>
      <c r="C25" s="228">
        <v>171</v>
      </c>
      <c r="D25" s="228" t="s">
        <v>72</v>
      </c>
      <c r="E25" s="191" t="s">
        <v>142</v>
      </c>
      <c r="F25" s="191" t="s">
        <v>4</v>
      </c>
      <c r="G25" s="191" t="s">
        <v>41</v>
      </c>
      <c r="H25" s="191" t="s">
        <v>43</v>
      </c>
      <c r="I25" s="191" t="s">
        <v>142</v>
      </c>
      <c r="J25" s="191" t="s">
        <v>4</v>
      </c>
      <c r="K25" s="191" t="s">
        <v>41</v>
      </c>
      <c r="L25" s="191" t="s">
        <v>43</v>
      </c>
      <c r="M25" s="191" t="s">
        <v>142</v>
      </c>
      <c r="N25" s="191" t="s">
        <v>4</v>
      </c>
      <c r="O25" s="191" t="s">
        <v>41</v>
      </c>
      <c r="P25" s="191" t="s">
        <v>43</v>
      </c>
      <c r="Q25" s="191" t="s">
        <v>142</v>
      </c>
      <c r="R25" s="191" t="s">
        <v>4</v>
      </c>
      <c r="S25" s="191" t="s">
        <v>41</v>
      </c>
      <c r="T25" s="191" t="s">
        <v>43</v>
      </c>
      <c r="U25" s="191" t="s">
        <v>142</v>
      </c>
      <c r="V25" s="191" t="s">
        <v>4</v>
      </c>
      <c r="W25" s="191" t="s">
        <v>41</v>
      </c>
      <c r="X25" s="191" t="s">
        <v>43</v>
      </c>
      <c r="Y25" s="191" t="s">
        <v>142</v>
      </c>
      <c r="Z25" s="191" t="s">
        <v>4</v>
      </c>
      <c r="AA25" s="191" t="s">
        <v>41</v>
      </c>
      <c r="AB25" s="191" t="s">
        <v>43</v>
      </c>
      <c r="AC25" s="191" t="s">
        <v>142</v>
      </c>
      <c r="AD25" s="191" t="s">
        <v>4</v>
      </c>
      <c r="AE25" s="191" t="s">
        <v>41</v>
      </c>
      <c r="AF25" s="191" t="s">
        <v>43</v>
      </c>
      <c r="AG25" s="191"/>
      <c r="AH25" s="191"/>
      <c r="AI25" s="191"/>
      <c r="AJ25" s="213">
        <f>IFERROR(COUNTIF(E25:AI25,"=Р")+COUNTIF(E25:AI25,"=Р1")+COUNTIF(E25:AI25,"=ВЧ")+COUNTIF(E25:AI25,"=РН")+COUNTIF(E25:AI25,"=Р2")+COUNTIF(E25:AI25,"=Р1/РВ")+COUNTIF(E25:AI25,"=Р2/РВ")+COUNTIF(E25:AI25,"=ВЧ/РВ")+COUNTIF(E25:AI25,"=РН/РВ"),0)</f>
        <v>21</v>
      </c>
      <c r="AK25" s="202">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164</v>
      </c>
      <c r="AL25" s="202">
        <f>IFERROR(SUMIF(E25:AI25,"=НУ",E26:AI26),0)</f>
        <v>0</v>
      </c>
      <c r="AM25" s="202">
        <f>IFERROR(SUMIF(E25:AI25,"=РН",E26:AI26)+SUMIF(E25:AI25,"=РН/РВ",E26:AI26)+SUMIFS(E26:AI26,E25:AI25,"=Р2",E26:AI26,"=8"),0)</f>
        <v>56</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28</v>
      </c>
      <c r="AO25" s="202">
        <f>IFERROR(SUMIF(E25:AI25,"=РВ",E26:AI26)+SUMIF(E25:AI25,"=ВЧ/РВ",E26:AI26)+SUMIF(E25:AI25,"=РН/РВ",E26:AI26)+SUMIF(E25:AI25,"=Р1/РВ",E26:AI26)+SUMIF(E25:AI25,"=ВЧ2/РВ",E26:AI26)+SUMIF(E25:AI25,"=Р2/РВ",E26:AI26),0)</f>
        <v>0</v>
      </c>
      <c r="AP25" s="202">
        <f>IFERROR(COUNTIF(E25:AI25,"=ВВ")+COUNTIF(E25:AI25,"=Р1/ВВ")+COUNTIF(E25:AI25,"=РН/ВВ")+COUNTIF(E25:AI25,"=ВЧ/ВВ"),0)</f>
        <v>7</v>
      </c>
      <c r="AQ25" s="202">
        <f>SUM(AR25:AZ25)</f>
        <v>0</v>
      </c>
      <c r="AR25" s="202">
        <f>IFERROR(SUMIF(E25:AI25,"=В",E26:AI26)+SUMIF(E25:AI25,"=Ч",E26:AI26)+SUMIF(E25:AI25,"=ВБ",E26:AI26),0)</f>
        <v>0</v>
      </c>
      <c r="AS25" s="202">
        <f>IFERROR(SUMIF(E25:AI25,"=Н",E26:AI26),0)</f>
        <v>0</v>
      </c>
      <c r="AT25" s="202">
        <f>IFERROR(SUMIF(E25:AI25,"=НА",E26:AI26),0)</f>
        <v>0</v>
      </c>
      <c r="AU25" s="202">
        <f>IFERROR(SUMIF(E25:AI25,"=ВП",E26:AI26),0)</f>
        <v>0</v>
      </c>
      <c r="AV25" s="202">
        <f>IFERROR(SUMIF(E25:AI25,"=ДД",E26:AI26),0)</f>
        <v>0</v>
      </c>
      <c r="AW25" s="202">
        <f>IFERROR(SUMIF(E25:AI25,"=ДО",E26:AI26),0)</f>
        <v>0</v>
      </c>
      <c r="AX25" s="202">
        <f>IFERROR(SUMIF(E25:AI25,"=ТН",E26:AI26),0)</f>
        <v>0</v>
      </c>
      <c r="AY25" s="202">
        <f>IFERROR(SUMIF(E25:AI25,"=ВД",E26:AI26),0)</f>
        <v>0</v>
      </c>
      <c r="AZ25" s="200">
        <f>IFERROR(SUMIF(E25:AI25,"=ІН",E26:AI26),0)+SUMIF(E25:AI25,"=НЗ",E26:AI26)</f>
        <v>0</v>
      </c>
    </row>
    <row r="26" spans="1:52" s="177" customFormat="1" ht="20.100000000000001" customHeight="1" thickBot="1" x14ac:dyDescent="0.25">
      <c r="A26" s="290"/>
      <c r="B26" s="229"/>
      <c r="C26" s="229"/>
      <c r="D26" s="229"/>
      <c r="E26" s="192"/>
      <c r="F26" s="192">
        <v>12</v>
      </c>
      <c r="G26" s="192">
        <v>4</v>
      </c>
      <c r="H26" s="192">
        <v>8</v>
      </c>
      <c r="I26" s="192"/>
      <c r="J26" s="192">
        <v>12</v>
      </c>
      <c r="K26" s="192">
        <v>4</v>
      </c>
      <c r="L26" s="192">
        <v>8</v>
      </c>
      <c r="M26" s="192"/>
      <c r="N26" s="192">
        <v>8</v>
      </c>
      <c r="O26" s="192">
        <v>4</v>
      </c>
      <c r="P26" s="192">
        <v>8</v>
      </c>
      <c r="Q26" s="192"/>
      <c r="R26" s="192">
        <v>12</v>
      </c>
      <c r="S26" s="192">
        <v>4</v>
      </c>
      <c r="T26" s="192">
        <v>8</v>
      </c>
      <c r="U26" s="192"/>
      <c r="V26" s="192">
        <v>12</v>
      </c>
      <c r="W26" s="192">
        <v>4</v>
      </c>
      <c r="X26" s="192">
        <v>8</v>
      </c>
      <c r="Y26" s="192"/>
      <c r="Z26" s="192">
        <v>12</v>
      </c>
      <c r="AA26" s="192">
        <v>4</v>
      </c>
      <c r="AB26" s="192">
        <v>8</v>
      </c>
      <c r="AC26" s="192"/>
      <c r="AD26" s="192">
        <v>12</v>
      </c>
      <c r="AE26" s="192">
        <v>4</v>
      </c>
      <c r="AF26" s="192">
        <v>8</v>
      </c>
      <c r="AG26" s="192" t="s">
        <v>491</v>
      </c>
      <c r="AH26" s="192" t="s">
        <v>492</v>
      </c>
      <c r="AI26" s="192" t="s">
        <v>493</v>
      </c>
      <c r="AJ26" s="214"/>
      <c r="AK26" s="203"/>
      <c r="AL26" s="203"/>
      <c r="AM26" s="203"/>
      <c r="AN26" s="212"/>
      <c r="AO26" s="203"/>
      <c r="AP26" s="203"/>
      <c r="AQ26" s="203"/>
      <c r="AR26" s="203"/>
      <c r="AS26" s="203"/>
      <c r="AT26" s="203"/>
      <c r="AU26" s="203"/>
      <c r="AV26" s="203"/>
      <c r="AW26" s="203"/>
      <c r="AX26" s="203"/>
      <c r="AY26" s="203"/>
      <c r="AZ26" s="201"/>
    </row>
    <row r="27" spans="1:52" ht="22.5" customHeight="1" x14ac:dyDescent="0.2">
      <c r="A27" s="289">
        <f t="shared" ref="A27:A59" si="5">A25+1</f>
        <v>6</v>
      </c>
      <c r="B27" s="228" t="s">
        <v>207</v>
      </c>
      <c r="C27" s="228">
        <v>1975</v>
      </c>
      <c r="D27" s="228" t="s">
        <v>65</v>
      </c>
      <c r="E27" s="191" t="s">
        <v>68</v>
      </c>
      <c r="F27" s="191" t="s">
        <v>68</v>
      </c>
      <c r="G27" s="191" t="s">
        <v>68</v>
      </c>
      <c r="H27" s="191" t="s">
        <v>68</v>
      </c>
      <c r="I27" s="191" t="s">
        <v>68</v>
      </c>
      <c r="J27" s="191" t="s">
        <v>68</v>
      </c>
      <c r="K27" s="191" t="s">
        <v>68</v>
      </c>
      <c r="L27" s="191" t="s">
        <v>68</v>
      </c>
      <c r="M27" s="191" t="s">
        <v>68</v>
      </c>
      <c r="N27" s="191" t="s">
        <v>68</v>
      </c>
      <c r="O27" s="191" t="s">
        <v>68</v>
      </c>
      <c r="P27" s="191" t="s">
        <v>68</v>
      </c>
      <c r="Q27" s="191" t="s">
        <v>68</v>
      </c>
      <c r="R27" s="191" t="s">
        <v>68</v>
      </c>
      <c r="S27" s="191" t="s">
        <v>68</v>
      </c>
      <c r="T27" s="191" t="s">
        <v>68</v>
      </c>
      <c r="U27" s="191" t="s">
        <v>68</v>
      </c>
      <c r="V27" s="191" t="s">
        <v>68</v>
      </c>
      <c r="W27" s="191" t="s">
        <v>68</v>
      </c>
      <c r="X27" s="191" t="s">
        <v>68</v>
      </c>
      <c r="Y27" s="191" t="s">
        <v>68</v>
      </c>
      <c r="Z27" s="191" t="s">
        <v>68</v>
      </c>
      <c r="AA27" s="191" t="s">
        <v>68</v>
      </c>
      <c r="AB27" s="191" t="s">
        <v>68</v>
      </c>
      <c r="AC27" s="191" t="s">
        <v>68</v>
      </c>
      <c r="AD27" s="191" t="s">
        <v>68</v>
      </c>
      <c r="AE27" s="191" t="s">
        <v>68</v>
      </c>
      <c r="AF27" s="191" t="s">
        <v>68</v>
      </c>
      <c r="AG27" s="191" t="s">
        <v>68</v>
      </c>
      <c r="AH27" s="191" t="s">
        <v>68</v>
      </c>
      <c r="AI27" s="191" t="s">
        <v>68</v>
      </c>
      <c r="AJ27" s="213">
        <f>IFERROR(COUNTIF(E27:AI27,"=Р")+COUNTIF(E27:AI27,"=Р1")+COUNTIF(E27:AI27,"=ВЧ")+COUNTIF(E27:AI27,"=РН")+COUNTIF(E27:AI27,"=Р2")+COUNTIF(E27:AI27,"=Р1/РВ")+COUNTIF(E27:AI27,"=Р2/РВ")+COUNTIF(E27:AI27,"=ВЧ/РВ")+COUNTIF(E27:AI27,"=РН/РВ"),0)</f>
        <v>0</v>
      </c>
      <c r="AK27" s="202">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0</v>
      </c>
      <c r="AL27" s="202">
        <f>IFERROR(SUMIF(E27:AI27,"=НУ",E28:AI28),0)</f>
        <v>0</v>
      </c>
      <c r="AM27" s="202">
        <f>IFERROR(SUMIF(E27:AI27,"=РН",E28:AI28)+SUMIF(E27:AI27,"=РН/РВ",E28:AI28)+SUMIFS(E28:AI28,E27:AI27,"=Р2",E28:AI28,"=8"),0)</f>
        <v>0</v>
      </c>
      <c r="AN27" s="211">
        <f t="shared" si="2"/>
        <v>0</v>
      </c>
      <c r="AO27" s="202">
        <f>IFERROR(SUMIF(E27:AI27,"=РВ",E28:AI28)+SUMIF(E27:AI27,"=ВЧ/РВ",E28:AI28)+SUMIF(E27:AI27,"=РН/РВ",E28:AI28)+SUMIF(E27:AI27,"=Р1/РВ",E28:AI28)+SUMIF(E27:AI27,"=ВЧ2/РВ",E28:AI28)+SUMIF(E27:AI27,"=Р2/РВ",E28:AI28),0)</f>
        <v>0</v>
      </c>
      <c r="AP27" s="202">
        <f t="shared" si="3"/>
        <v>0</v>
      </c>
      <c r="AQ27" s="202">
        <f>SUM(AR27:AZ27)</f>
        <v>167.99999999999997</v>
      </c>
      <c r="AR27" s="202">
        <f>IFERROR(SUMIF(E27:AI27,"=В",E28:AI28)+SUMIF(E27:AI27,"=Ч",E28:AI28)+SUMIF(E27:AI27,"=ВБ",E28:AI28),0)</f>
        <v>0</v>
      </c>
      <c r="AS27" s="202">
        <f>IFERROR(SUMIF(E27:AI27,"=Н",E28:AI28),0)</f>
        <v>0</v>
      </c>
      <c r="AT27" s="202">
        <f>IFERROR(SUMIF(E27:AI27,"=НА",E28:AI28),0)</f>
        <v>0</v>
      </c>
      <c r="AU27" s="202">
        <f>IFERROR(SUMIF(E27:AI27,"=ВП",E28:AI28),0)</f>
        <v>0</v>
      </c>
      <c r="AV27" s="202">
        <f>IFERROR(SUMIF(E27:AI27,"=ДД",E28:AI28),0)</f>
        <v>0</v>
      </c>
      <c r="AW27" s="202">
        <f>IFERROR(SUMIF(E27:AI27,"=ДО",E28:AI28),0)</f>
        <v>0</v>
      </c>
      <c r="AX27" s="202">
        <f>IFERROR(SUMIF(E27:AI27,"=ТН",E28:AI28),0)</f>
        <v>0</v>
      </c>
      <c r="AY27" s="202">
        <f>IFERROR(SUMIF(E27:AI27,"=ВД",E28:AI28),0)</f>
        <v>0</v>
      </c>
      <c r="AZ27" s="200">
        <f>IFERROR(SUMIF(E27:AI27,"=ІН",E28:AI28),0)+SUMIF(E27:AI27,"=НЗ",E28:AI28)</f>
        <v>167.99999999999997</v>
      </c>
    </row>
    <row r="28" spans="1:52" ht="23.25" customHeight="1" thickBot="1" x14ac:dyDescent="0.25">
      <c r="A28" s="290"/>
      <c r="B28" s="229"/>
      <c r="C28" s="229"/>
      <c r="D28" s="229"/>
      <c r="E28" s="192"/>
      <c r="F28" s="192"/>
      <c r="G28" s="192">
        <v>8.1999999999999993</v>
      </c>
      <c r="H28" s="192">
        <v>8.1999999999999993</v>
      </c>
      <c r="I28" s="192">
        <v>8.1999999999999993</v>
      </c>
      <c r="J28" s="192">
        <v>8.1999999999999993</v>
      </c>
      <c r="K28" s="192">
        <v>7</v>
      </c>
      <c r="L28" s="192"/>
      <c r="M28" s="192"/>
      <c r="N28" s="192">
        <v>8.1999999999999993</v>
      </c>
      <c r="O28" s="192">
        <v>8.1999999999999993</v>
      </c>
      <c r="P28" s="192">
        <v>8.1999999999999993</v>
      </c>
      <c r="Q28" s="192">
        <v>8.1999999999999993</v>
      </c>
      <c r="R28" s="192">
        <v>7.2</v>
      </c>
      <c r="S28" s="192"/>
      <c r="T28" s="192"/>
      <c r="U28" s="192">
        <v>8.1999999999999993</v>
      </c>
      <c r="V28" s="192">
        <v>8.1999999999999993</v>
      </c>
      <c r="W28" s="192">
        <v>8.1999999999999993</v>
      </c>
      <c r="X28" s="192">
        <v>8.1999999999999993</v>
      </c>
      <c r="Y28" s="192">
        <v>7.2</v>
      </c>
      <c r="Z28" s="192"/>
      <c r="AA28" s="192"/>
      <c r="AB28" s="192">
        <v>8.1999999999999993</v>
      </c>
      <c r="AC28" s="192">
        <v>8.1999999999999993</v>
      </c>
      <c r="AD28" s="192">
        <v>8.1999999999999993</v>
      </c>
      <c r="AE28" s="192">
        <v>8.1999999999999993</v>
      </c>
      <c r="AF28" s="192">
        <v>7.2</v>
      </c>
      <c r="AG28" s="192"/>
      <c r="AH28" s="192"/>
      <c r="AI28" s="192">
        <v>8.1999999999999993</v>
      </c>
      <c r="AJ28" s="214"/>
      <c r="AK28" s="203"/>
      <c r="AL28" s="203"/>
      <c r="AM28" s="203"/>
      <c r="AN28" s="212"/>
      <c r="AO28" s="203"/>
      <c r="AP28" s="203"/>
      <c r="AQ28" s="203"/>
      <c r="AR28" s="203"/>
      <c r="AS28" s="203"/>
      <c r="AT28" s="203"/>
      <c r="AU28" s="203"/>
      <c r="AV28" s="203"/>
      <c r="AW28" s="203"/>
      <c r="AX28" s="203"/>
      <c r="AY28" s="203"/>
      <c r="AZ28" s="201"/>
    </row>
    <row r="29" spans="1:52" s="179" customFormat="1" ht="16.5" customHeight="1" x14ac:dyDescent="0.2">
      <c r="A29" s="289">
        <f t="shared" si="5"/>
        <v>7</v>
      </c>
      <c r="B29" s="228" t="s">
        <v>458</v>
      </c>
      <c r="C29" s="228"/>
      <c r="D29" s="228" t="s">
        <v>65</v>
      </c>
      <c r="E29" s="191" t="s">
        <v>309</v>
      </c>
      <c r="F29" s="191" t="s">
        <v>43</v>
      </c>
      <c r="G29" s="191" t="s">
        <v>142</v>
      </c>
      <c r="H29" s="191" t="s">
        <v>4</v>
      </c>
      <c r="I29" s="191" t="s">
        <v>41</v>
      </c>
      <c r="J29" s="191" t="s">
        <v>43</v>
      </c>
      <c r="K29" s="191" t="s">
        <v>142</v>
      </c>
      <c r="L29" s="191" t="s">
        <v>4</v>
      </c>
      <c r="M29" s="191" t="s">
        <v>41</v>
      </c>
      <c r="N29" s="191" t="s">
        <v>43</v>
      </c>
      <c r="O29" s="191" t="s">
        <v>142</v>
      </c>
      <c r="P29" s="191" t="s">
        <v>142</v>
      </c>
      <c r="Q29" s="191" t="s">
        <v>309</v>
      </c>
      <c r="R29" s="191" t="s">
        <v>43</v>
      </c>
      <c r="S29" s="191" t="s">
        <v>142</v>
      </c>
      <c r="T29" s="191" t="s">
        <v>4</v>
      </c>
      <c r="U29" s="191" t="s">
        <v>41</v>
      </c>
      <c r="V29" s="191" t="s">
        <v>43</v>
      </c>
      <c r="W29" s="191" t="s">
        <v>142</v>
      </c>
      <c r="X29" s="191" t="s">
        <v>4</v>
      </c>
      <c r="Y29" s="191" t="s">
        <v>41</v>
      </c>
      <c r="Z29" s="191" t="s">
        <v>43</v>
      </c>
      <c r="AA29" s="191" t="s">
        <v>142</v>
      </c>
      <c r="AB29" s="191" t="s">
        <v>4</v>
      </c>
      <c r="AC29" s="191" t="s">
        <v>41</v>
      </c>
      <c r="AD29" s="191" t="s">
        <v>43</v>
      </c>
      <c r="AE29" s="191" t="s">
        <v>142</v>
      </c>
      <c r="AF29" s="191" t="s">
        <v>4</v>
      </c>
      <c r="AG29" s="191" t="s">
        <v>41</v>
      </c>
      <c r="AH29" s="191" t="s">
        <v>43</v>
      </c>
      <c r="AI29" s="191" t="s">
        <v>142</v>
      </c>
      <c r="AJ29" s="213">
        <f>IFERROR(COUNTIF(E29:AI29,"=Р")+COUNTIF(E29:AI29,"=Р1")+COUNTIF(E29:AI29,"=ВЧ")+COUNTIF(E29:AI29,"=РН")+COUNTIF(E29:AI29,"=Р2")+COUNTIF(E29:AI29,"=Р1/РВ")+COUNTIF(E29:AI29,"=Р2/РВ")+COUNTIF(E29:AI29,"=ВЧ/РВ")+COUNTIF(E29:AI29,"=РН/РВ"),0)</f>
        <v>20</v>
      </c>
      <c r="AK29" s="202">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168</v>
      </c>
      <c r="AL29" s="202">
        <f>IFERROR(SUMIF(E29:AI29,"=НУ",E30:AI30),0)</f>
        <v>0</v>
      </c>
      <c r="AM29" s="202">
        <f>IFERROR(SUMIF(E29:AI29,"=РН",E30:AI30)+SUMIF(E29:AI29,"=РН/РВ",E30:AI30)+SUMIFS(E30:AI30,E29:AI29,"=Р2",E30:AI30,"=8"),0)</f>
        <v>64</v>
      </c>
      <c r="AN29" s="211">
        <f t="shared" ref="AN29" si="6">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28</v>
      </c>
      <c r="AO29" s="202">
        <f>IFERROR(SUMIF(E29:AI29,"=РВ",E30:AI30)+SUMIF(E29:AI29,"=ВЧ/РВ",E30:AI30)+SUMIF(E29:AI29,"=РН/РВ",E30:AI30)+SUMIF(E29:AI29,"=Р1/РВ",E30:AI30)+SUMIF(E29:AI29,"=ВЧ2/РВ",E30:AI30)+SUMIF(E29:AI29,"=Р2/РВ",E30:AI30),0)</f>
        <v>0</v>
      </c>
      <c r="AP29" s="202">
        <f t="shared" ref="AP29" si="7">IFERROR(COUNTIF(E29:AI29,"=ВВ")+COUNTIF(E29:AI29,"=Р1/ВВ")+COUNTIF(E29:AI29,"=РН/ВВ")+COUNTIF(E29:AI29,"=ВЧ/ВВ"),0)</f>
        <v>9</v>
      </c>
      <c r="AQ29" s="202">
        <f>SUM(AR29:AZ29)</f>
        <v>0</v>
      </c>
      <c r="AR29" s="202">
        <f>IFERROR(SUMIF(E29:AI29,"=В",E30:AI30)+SUMIF(E29:AI29,"=Ч",E30:AI30)+SUMIF(E29:AI29,"=ВБ",E30:AI30),0)</f>
        <v>0</v>
      </c>
      <c r="AS29" s="202">
        <f>IFERROR(SUMIF(E29:AI29,"=Н",E30:AI30),0)</f>
        <v>0</v>
      </c>
      <c r="AT29" s="202">
        <f>IFERROR(SUMIF(E29:AI29,"=НА",E30:AI30),0)</f>
        <v>0</v>
      </c>
      <c r="AU29" s="202">
        <f>IFERROR(SUMIF(E29:AI29,"=ВП",E30:AI30),0)</f>
        <v>0</v>
      </c>
      <c r="AV29" s="202">
        <f>IFERROR(SUMIF(E29:AI29,"=ДД",E30:AI30),0)</f>
        <v>0</v>
      </c>
      <c r="AW29" s="202">
        <f>IFERROR(SUMIF(E29:AI29,"=ДО",E30:AI30),0)</f>
        <v>0</v>
      </c>
      <c r="AX29" s="202">
        <f>IFERROR(SUMIF(E29:AI29,"=ТН",E30:AI30),0)</f>
        <v>0</v>
      </c>
      <c r="AY29" s="202">
        <f>IFERROR(SUMIF(E29:AI29,"=ВД",E30:AI30),0)</f>
        <v>0</v>
      </c>
      <c r="AZ29" s="200">
        <f>IFERROR(SUMIF(E29:AI29,"=ІН",E30:AI30),0)+SUMIF(E29:AI29,"=НЗ",E30:AI30)</f>
        <v>0</v>
      </c>
    </row>
    <row r="30" spans="1:52" s="179" customFormat="1" ht="24" customHeight="1" thickBot="1" x14ac:dyDescent="0.25">
      <c r="A30" s="290"/>
      <c r="B30" s="229"/>
      <c r="C30" s="229"/>
      <c r="D30" s="229"/>
      <c r="E30" s="192">
        <v>4</v>
      </c>
      <c r="F30" s="192">
        <v>8</v>
      </c>
      <c r="G30" s="192"/>
      <c r="H30" s="192">
        <v>12</v>
      </c>
      <c r="I30" s="192">
        <v>4</v>
      </c>
      <c r="J30" s="192">
        <v>8</v>
      </c>
      <c r="K30" s="192"/>
      <c r="L30" s="192">
        <v>12</v>
      </c>
      <c r="M30" s="192">
        <v>4</v>
      </c>
      <c r="N30" s="192">
        <v>8</v>
      </c>
      <c r="O30" s="192"/>
      <c r="P30" s="192"/>
      <c r="Q30" s="192">
        <v>4</v>
      </c>
      <c r="R30" s="192">
        <v>8</v>
      </c>
      <c r="S30" s="192"/>
      <c r="T30" s="192">
        <v>12</v>
      </c>
      <c r="U30" s="192">
        <v>4</v>
      </c>
      <c r="V30" s="192">
        <v>8</v>
      </c>
      <c r="W30" s="192"/>
      <c r="X30" s="192">
        <v>12</v>
      </c>
      <c r="Y30" s="192">
        <v>4</v>
      </c>
      <c r="Z30" s="192">
        <v>8</v>
      </c>
      <c r="AA30" s="192"/>
      <c r="AB30" s="192">
        <v>12</v>
      </c>
      <c r="AC30" s="192">
        <v>4</v>
      </c>
      <c r="AD30" s="192">
        <v>8</v>
      </c>
      <c r="AE30" s="192"/>
      <c r="AF30" s="192">
        <v>12</v>
      </c>
      <c r="AG30" s="192">
        <v>4</v>
      </c>
      <c r="AH30" s="192">
        <v>8</v>
      </c>
      <c r="AI30" s="192"/>
      <c r="AJ30" s="214"/>
      <c r="AK30" s="203"/>
      <c r="AL30" s="203"/>
      <c r="AM30" s="203"/>
      <c r="AN30" s="212"/>
      <c r="AO30" s="203"/>
      <c r="AP30" s="203"/>
      <c r="AQ30" s="203"/>
      <c r="AR30" s="203"/>
      <c r="AS30" s="203"/>
      <c r="AT30" s="203"/>
      <c r="AU30" s="203"/>
      <c r="AV30" s="203"/>
      <c r="AW30" s="203"/>
      <c r="AX30" s="203"/>
      <c r="AY30" s="203"/>
      <c r="AZ30" s="201"/>
    </row>
    <row r="31" spans="1:52" ht="16.5" customHeight="1" x14ac:dyDescent="0.2">
      <c r="A31" s="289">
        <f t="shared" si="5"/>
        <v>8</v>
      </c>
      <c r="B31" s="228" t="s">
        <v>95</v>
      </c>
      <c r="C31" s="228">
        <v>2053</v>
      </c>
      <c r="D31" s="228" t="s">
        <v>65</v>
      </c>
      <c r="E31" s="191" t="s">
        <v>142</v>
      </c>
      <c r="F31" s="191" t="s">
        <v>142</v>
      </c>
      <c r="G31" s="191" t="s">
        <v>4</v>
      </c>
      <c r="H31" s="191" t="s">
        <v>4</v>
      </c>
      <c r="I31" s="191" t="s">
        <v>4</v>
      </c>
      <c r="J31" s="191" t="s">
        <v>4</v>
      </c>
      <c r="K31" s="191" t="s">
        <v>4</v>
      </c>
      <c r="L31" s="191" t="s">
        <v>142</v>
      </c>
      <c r="M31" s="191" t="s">
        <v>142</v>
      </c>
      <c r="N31" s="191" t="s">
        <v>4</v>
      </c>
      <c r="O31" s="191" t="s">
        <v>4</v>
      </c>
      <c r="P31" s="191" t="s">
        <v>4</v>
      </c>
      <c r="Q31" s="191" t="s">
        <v>4</v>
      </c>
      <c r="R31" s="191" t="s">
        <v>4</v>
      </c>
      <c r="S31" s="191" t="s">
        <v>142</v>
      </c>
      <c r="T31" s="191" t="s">
        <v>142</v>
      </c>
      <c r="U31" s="191" t="s">
        <v>4</v>
      </c>
      <c r="V31" s="191" t="s">
        <v>4</v>
      </c>
      <c r="W31" s="191" t="s">
        <v>4</v>
      </c>
      <c r="X31" s="191" t="s">
        <v>4</v>
      </c>
      <c r="Y31" s="191" t="s">
        <v>4</v>
      </c>
      <c r="Z31" s="191" t="s">
        <v>142</v>
      </c>
      <c r="AA31" s="191" t="s">
        <v>142</v>
      </c>
      <c r="AB31" s="191" t="s">
        <v>4</v>
      </c>
      <c r="AC31" s="191" t="s">
        <v>4</v>
      </c>
      <c r="AD31" s="191" t="s">
        <v>4</v>
      </c>
      <c r="AE31" s="191" t="s">
        <v>4</v>
      </c>
      <c r="AF31" s="191" t="s">
        <v>4</v>
      </c>
      <c r="AG31" s="191" t="s">
        <v>142</v>
      </c>
      <c r="AH31" s="191" t="s">
        <v>142</v>
      </c>
      <c r="AI31" s="191" t="s">
        <v>4</v>
      </c>
      <c r="AJ31" s="213">
        <f>IFERROR(COUNTIF(E31:AI31,"=Р")+COUNTIF(E31:AI31,"=Р1")+COUNTIF(E31:AI31,"=ВЧ")+COUNTIF(E31:AI31,"=РН")+COUNTIF(E31:AI31,"=Р2")+COUNTIF(E31:AI31,"=Р1/РВ")+COUNTIF(E31:AI31,"=Р2/РВ")+COUNTIF(E31:AI31,"=ВЧ/РВ")+COUNTIF(E31:AI31,"=РН/РВ"),0)</f>
        <v>21</v>
      </c>
      <c r="AK31" s="202">
        <f>IFERROR(SUMIF(E31:AI31,"=Р2",E32:AI32)+SUMIF(E31:AI31,"=ВЧ/РВ",E32:AI32)+SUMIF(E31:AI31,"=РН/РВ",E32:AI32)+SUMIF(E31:AI31,"=Р1/РВ",E32:AI32)+SUMIF(E31:AI31,"=ВЧ2/РВ",E32:AI32)+SUMIF(E31:AI31,"=Р2/РВ",E32:AI32)+SUMIF(E31:AI31,"=Р",E32:AI32)+SUMIF(E31:AI31,"=Р1",E32:AI32)+SUMIF(E31:AI31,"=ВЧ1",E32:AI32)+SUMIF(E31:AI31,"=РН",E32:AI32)+SUMIF(E31:AI31,"=ВЧ",E32:AI32),0)+AL31</f>
        <v>167.99999999999997</v>
      </c>
      <c r="AL31" s="202">
        <f>IFERROR(SUMIF(E31:AI31,"=НУ",E32:AI32),0)</f>
        <v>0</v>
      </c>
      <c r="AM31" s="202">
        <f>IFERROR(SUMIF(E31:AI31,"=РН",E32:AI32)+SUMIF(E31:AI31,"=РН/РВ",E32:AI32)+SUMIFS(E32:AI32,E31:AI31,"=Р2",E32:AI32,"=8"),0)</f>
        <v>0</v>
      </c>
      <c r="AN31" s="211">
        <f t="shared" si="2"/>
        <v>0</v>
      </c>
      <c r="AO31" s="202">
        <f>IFERROR(SUMIF(E31:AI31,"=РВ",E32:AI32)+SUMIF(E31:AI31,"=ВЧ/РВ",E32:AI32)+SUMIF(E31:AI31,"=РН/РВ",E32:AI32)+SUMIF(E31:AI31,"=Р1/РВ",E32:AI32)+SUMIF(E31:AI31,"=ВЧ2/РВ",E32:AI32)+SUMIF(E31:AI31,"=Р2/РВ",E32:AI32),0)</f>
        <v>0</v>
      </c>
      <c r="AP31" s="202">
        <f t="shared" si="3"/>
        <v>10</v>
      </c>
      <c r="AQ31" s="202">
        <f>SUM(AR31:AZ31)</f>
        <v>0</v>
      </c>
      <c r="AR31" s="202">
        <f>IFERROR(SUMIF(E31:AI31,"=В",E32:AI32)+SUMIF(E31:AI31,"=Ч",E32:AI32)+SUMIF(E31:AI31,"=ВБ",E32:AI32),0)</f>
        <v>0</v>
      </c>
      <c r="AS31" s="202">
        <f>IFERROR(SUMIF(E31:AI31,"=Н",E32:AI32),0)</f>
        <v>0</v>
      </c>
      <c r="AT31" s="202">
        <f>IFERROR(SUMIF(E31:AI31,"=НА",E32:AI32),0)</f>
        <v>0</v>
      </c>
      <c r="AU31" s="202">
        <f>IFERROR(SUMIF(E31:AI31,"=ВП",E32:AI32),0)</f>
        <v>0</v>
      </c>
      <c r="AV31" s="202">
        <f>IFERROR(SUMIF(E31:AI31,"=ДД",E32:AI32),0)</f>
        <v>0</v>
      </c>
      <c r="AW31" s="202">
        <f>IFERROR(SUMIF(E31:AI31,"=ДО",E32:AI32),0)</f>
        <v>0</v>
      </c>
      <c r="AX31" s="202">
        <f>IFERROR(SUMIF(E31:AI31,"=ТН",E32:AI32),0)</f>
        <v>0</v>
      </c>
      <c r="AY31" s="202">
        <f>IFERROR(SUMIF(E31:AI31,"=ВД",E32:AI32),0)</f>
        <v>0</v>
      </c>
      <c r="AZ31" s="200">
        <f>IFERROR(SUMIF(E31:AI31,"=ІН",E32:AI32),0)+SUMIF(E31:AI31,"=НЗ",E32:AI32)</f>
        <v>0</v>
      </c>
    </row>
    <row r="32" spans="1:52" ht="15.75" customHeight="1" thickBot="1" x14ac:dyDescent="0.25">
      <c r="A32" s="290"/>
      <c r="B32" s="229"/>
      <c r="C32" s="229"/>
      <c r="D32" s="229"/>
      <c r="E32" s="192"/>
      <c r="F32" s="192"/>
      <c r="G32" s="192">
        <v>8.1999999999999993</v>
      </c>
      <c r="H32" s="192">
        <v>8.1999999999999993</v>
      </c>
      <c r="I32" s="192">
        <v>8.1999999999999993</v>
      </c>
      <c r="J32" s="192">
        <v>8.1999999999999993</v>
      </c>
      <c r="K32" s="192">
        <v>7</v>
      </c>
      <c r="L32" s="192"/>
      <c r="M32" s="192"/>
      <c r="N32" s="192">
        <v>8.1999999999999993</v>
      </c>
      <c r="O32" s="192">
        <v>8.1999999999999993</v>
      </c>
      <c r="P32" s="192">
        <v>8.1999999999999993</v>
      </c>
      <c r="Q32" s="192">
        <v>8.1999999999999993</v>
      </c>
      <c r="R32" s="192">
        <v>7.2</v>
      </c>
      <c r="S32" s="192"/>
      <c r="T32" s="192"/>
      <c r="U32" s="192">
        <v>8.1999999999999993</v>
      </c>
      <c r="V32" s="192">
        <v>8.1999999999999993</v>
      </c>
      <c r="W32" s="192">
        <v>8.1999999999999993</v>
      </c>
      <c r="X32" s="192">
        <v>8.1999999999999993</v>
      </c>
      <c r="Y32" s="192">
        <v>7.2</v>
      </c>
      <c r="Z32" s="192"/>
      <c r="AA32" s="192"/>
      <c r="AB32" s="192">
        <v>8.1999999999999993</v>
      </c>
      <c r="AC32" s="192">
        <v>8.1999999999999993</v>
      </c>
      <c r="AD32" s="192">
        <v>8.1999999999999993</v>
      </c>
      <c r="AE32" s="192">
        <v>8.1999999999999993</v>
      </c>
      <c r="AF32" s="192">
        <v>7.2</v>
      </c>
      <c r="AG32" s="192"/>
      <c r="AH32" s="192"/>
      <c r="AI32" s="192">
        <v>8.1999999999999993</v>
      </c>
      <c r="AJ32" s="214"/>
      <c r="AK32" s="203"/>
      <c r="AL32" s="203"/>
      <c r="AM32" s="203"/>
      <c r="AN32" s="212"/>
      <c r="AO32" s="203"/>
      <c r="AP32" s="203"/>
      <c r="AQ32" s="203"/>
      <c r="AR32" s="203"/>
      <c r="AS32" s="203"/>
      <c r="AT32" s="203"/>
      <c r="AU32" s="203"/>
      <c r="AV32" s="203"/>
      <c r="AW32" s="203"/>
      <c r="AX32" s="203"/>
      <c r="AY32" s="203"/>
      <c r="AZ32" s="201"/>
    </row>
    <row r="33" spans="1:52" s="177" customFormat="1" ht="17.25" customHeight="1" x14ac:dyDescent="0.2">
      <c r="A33" s="289">
        <f t="shared" si="5"/>
        <v>9</v>
      </c>
      <c r="B33" s="228" t="s">
        <v>413</v>
      </c>
      <c r="C33" s="228">
        <v>1722</v>
      </c>
      <c r="D33" s="228" t="s">
        <v>72</v>
      </c>
      <c r="E33" s="191" t="s">
        <v>4</v>
      </c>
      <c r="F33" s="191" t="s">
        <v>41</v>
      </c>
      <c r="G33" s="191" t="s">
        <v>43</v>
      </c>
      <c r="H33" s="191" t="s">
        <v>142</v>
      </c>
      <c r="I33" s="191" t="s">
        <v>4</v>
      </c>
      <c r="J33" s="191" t="s">
        <v>41</v>
      </c>
      <c r="K33" s="191" t="s">
        <v>43</v>
      </c>
      <c r="L33" s="191" t="s">
        <v>142</v>
      </c>
      <c r="M33" s="191" t="s">
        <v>4</v>
      </c>
      <c r="N33" s="191" t="s">
        <v>41</v>
      </c>
      <c r="O33" s="191" t="s">
        <v>43</v>
      </c>
      <c r="P33" s="191" t="s">
        <v>142</v>
      </c>
      <c r="Q33" s="191" t="s">
        <v>4</v>
      </c>
      <c r="R33" s="191" t="s">
        <v>41</v>
      </c>
      <c r="S33" s="191" t="s">
        <v>43</v>
      </c>
      <c r="T33" s="191" t="s">
        <v>142</v>
      </c>
      <c r="U33" s="191" t="s">
        <v>4</v>
      </c>
      <c r="V33" s="191" t="s">
        <v>41</v>
      </c>
      <c r="W33" s="191" t="s">
        <v>43</v>
      </c>
      <c r="X33" s="191" t="s">
        <v>142</v>
      </c>
      <c r="Y33" s="191" t="s">
        <v>4</v>
      </c>
      <c r="Z33" s="191" t="s">
        <v>41</v>
      </c>
      <c r="AA33" s="191" t="s">
        <v>43</v>
      </c>
      <c r="AB33" s="191" t="s">
        <v>142</v>
      </c>
      <c r="AC33" s="191" t="s">
        <v>4</v>
      </c>
      <c r="AD33" s="191" t="s">
        <v>41</v>
      </c>
      <c r="AE33" s="191" t="s">
        <v>43</v>
      </c>
      <c r="AF33" s="191" t="s">
        <v>142</v>
      </c>
      <c r="AG33" s="191"/>
      <c r="AH33" s="191"/>
      <c r="AI33" s="191"/>
      <c r="AJ33" s="213">
        <f>IFERROR(COUNTIF(E33:AI33,"=Р")+COUNTIF(E33:AI33,"=Р1")+COUNTIF(E33:AI33,"=ВЧ")+COUNTIF(E33:AI33,"=РН")+COUNTIF(E33:AI33,"=Р2")+COUNTIF(E33:AI33,"=Р1/РВ")+COUNTIF(E33:AI33,"=Р2/РВ")+COUNTIF(E33:AI33,"=ВЧ/РВ")+COUNTIF(E33:AI33,"=РН/РВ"),0)</f>
        <v>21</v>
      </c>
      <c r="AK33" s="202">
        <f>IFERROR(SUMIF(E33:AI33,"=Р2",E34:AI34)+SUMIF(E33:AI33,"=ВЧ/РВ",E34:AI34)+SUMIF(E33:AI33,"=РН/РВ",E34:AI34)+SUMIF(E33:AI33,"=Р1/РВ",E34:AI34)+SUMIF(E33:AI33,"=ВЧ2/РВ",E34:AI34)+SUMIF(E33:AI33,"=Р2/РВ",E34:AI34)+SUMIF(E33:AI33,"=Р",E34:AI34)+SUMIF(E33:AI33,"=Р1",E34:AI34)+SUMIF(E33:AI33,"=ВЧ1",E34:AI34)+SUMIF(E33:AI33,"=РН",E34:AI34)+SUMIF(E33:AI33,"=ВЧ",E34:AI34),0)+AL33</f>
        <v>164</v>
      </c>
      <c r="AL33" s="202">
        <f>IFERROR(SUMIF(E33:AI33,"=НУ",E34:AI34),0)</f>
        <v>0</v>
      </c>
      <c r="AM33" s="202">
        <f>IFERROR(SUMIF(E33:AI33,"=РН",E34:AI34)+SUMIF(E33:AI33,"=РН/РВ",E34:AI34)+SUMIFS(E34:AI34,E33:AI33,"=Р2",E34:AI34,"=8"),0)</f>
        <v>56</v>
      </c>
      <c r="AN33" s="211">
        <f>IFERROR(SUMIF(E33:AI33,"=ВЧ",E34:AI34)+SUMIF(E33:AI33,"=ВЧ/РВ",E34:AI34)+CEILING(COUNTIFS(E33:AI33,"=Р2",E34:AI34,"=7")*4,1)+CEILING(COUNTIFS(E33:AI33,"=Р2/РВ",E34:AI34,"=7")*4,1)+SUMIFS(E34:AI34,E33:AI33,"=Р1/РВ",E34:AI34,"=12")/6+SUMIFS(E34:AI34,E33:AI33,"=ВЧ2/РВ",E34:AI34,"=4")/2+SUMIFS(E34:AI34,E33:AI33,"=Р1",E34:AI34,"=12")/6+SUMIFS(E34:AI34,E33:AI33,"=Р1",E34:AI34,"=8")/4+SUMIF(E33:AI33,"=ВЧ1",E34:AI34)/2,0)</f>
        <v>28</v>
      </c>
      <c r="AO33" s="202">
        <f>IFERROR(SUMIF(E33:AI33,"=РВ",E34:AI34)+SUMIF(E33:AI33,"=ВЧ/РВ",E34:AI34)+SUMIF(E33:AI33,"=РН/РВ",E34:AI34)+SUMIF(E33:AI33,"=Р1/РВ",E34:AI34)+SUMIF(E33:AI33,"=ВЧ2/РВ",E34:AI34)+SUMIF(E33:AI33,"=Р2/РВ",E34:AI34),0)</f>
        <v>0</v>
      </c>
      <c r="AP33" s="202">
        <f>IFERROR(COUNTIF(E33:AI33,"=ВВ")+COUNTIF(E33:AI33,"=Р1/ВВ")+COUNTIF(E33:AI33,"=РН/ВВ")+COUNTIF(E33:AI33,"=ВЧ/ВВ"),0)</f>
        <v>7</v>
      </c>
      <c r="AQ33" s="202">
        <f>SUM(AR33:AZ33)</f>
        <v>0</v>
      </c>
      <c r="AR33" s="202">
        <f>IFERROR(SUMIF(E33:AI33,"=В",E34:AI34)+SUMIF(E33:AI33,"=Ч",E34:AI34)+SUMIF(E33:AI33,"=ВБ",E34:AI34),0)</f>
        <v>0</v>
      </c>
      <c r="AS33" s="202">
        <f>IFERROR(SUMIF(E33:AI33,"=Н",E34:AI34),0)</f>
        <v>0</v>
      </c>
      <c r="AT33" s="202">
        <f>IFERROR(SUMIF(E33:AI33,"=НА",E34:AI34),0)</f>
        <v>0</v>
      </c>
      <c r="AU33" s="202">
        <f>IFERROR(SUMIF(E33:AI33,"=ВП",E34:AI34),0)</f>
        <v>0</v>
      </c>
      <c r="AV33" s="202">
        <f>IFERROR(SUMIF(E33:AI33,"=ДД",E34:AI34),0)</f>
        <v>0</v>
      </c>
      <c r="AW33" s="202">
        <f>IFERROR(SUMIF(E33:AI33,"=ДО",E34:AI34),0)</f>
        <v>0</v>
      </c>
      <c r="AX33" s="202">
        <f>IFERROR(SUMIF(E33:AI33,"=ТН",E34:AI34),0)</f>
        <v>0</v>
      </c>
      <c r="AY33" s="202">
        <f>IFERROR(SUMIF(E33:AI33,"=ВД",E34:AI34),0)</f>
        <v>0</v>
      </c>
      <c r="AZ33" s="200">
        <f>IFERROR(SUMIF(E33:AI33,"=ІН",E34:AI34),0)+SUMIF(E33:AI33,"=НЗ",E34:AI34)</f>
        <v>0</v>
      </c>
    </row>
    <row r="34" spans="1:52" s="177" customFormat="1" ht="20.100000000000001" customHeight="1" thickBot="1" x14ac:dyDescent="0.25">
      <c r="A34" s="290"/>
      <c r="B34" s="229"/>
      <c r="C34" s="229"/>
      <c r="D34" s="229"/>
      <c r="E34" s="192">
        <v>12</v>
      </c>
      <c r="F34" s="192">
        <v>4</v>
      </c>
      <c r="G34" s="192">
        <v>8</v>
      </c>
      <c r="H34" s="192"/>
      <c r="I34" s="192">
        <v>12</v>
      </c>
      <c r="J34" s="192">
        <v>4</v>
      </c>
      <c r="K34" s="192">
        <v>8</v>
      </c>
      <c r="L34" s="192"/>
      <c r="M34" s="192">
        <v>12</v>
      </c>
      <c r="N34" s="192">
        <v>4</v>
      </c>
      <c r="O34" s="192">
        <v>8</v>
      </c>
      <c r="P34" s="192"/>
      <c r="Q34" s="192">
        <v>12</v>
      </c>
      <c r="R34" s="192">
        <v>4</v>
      </c>
      <c r="S34" s="192">
        <v>8</v>
      </c>
      <c r="T34" s="192"/>
      <c r="U34" s="192">
        <v>12</v>
      </c>
      <c r="V34" s="192">
        <v>4</v>
      </c>
      <c r="W34" s="192">
        <v>8</v>
      </c>
      <c r="X34" s="192"/>
      <c r="Y34" s="192">
        <v>8</v>
      </c>
      <c r="Z34" s="192">
        <v>4</v>
      </c>
      <c r="AA34" s="192">
        <v>8</v>
      </c>
      <c r="AB34" s="192"/>
      <c r="AC34" s="192">
        <v>12</v>
      </c>
      <c r="AD34" s="192">
        <v>4</v>
      </c>
      <c r="AE34" s="192">
        <v>8</v>
      </c>
      <c r="AF34" s="192"/>
      <c r="AG34" s="192" t="s">
        <v>491</v>
      </c>
      <c r="AH34" s="192" t="s">
        <v>492</v>
      </c>
      <c r="AI34" s="192" t="s">
        <v>493</v>
      </c>
      <c r="AJ34" s="214"/>
      <c r="AK34" s="203"/>
      <c r="AL34" s="203"/>
      <c r="AM34" s="203"/>
      <c r="AN34" s="212"/>
      <c r="AO34" s="203"/>
      <c r="AP34" s="203"/>
      <c r="AQ34" s="203"/>
      <c r="AR34" s="203"/>
      <c r="AS34" s="203"/>
      <c r="AT34" s="203"/>
      <c r="AU34" s="203"/>
      <c r="AV34" s="203"/>
      <c r="AW34" s="203"/>
      <c r="AX34" s="203"/>
      <c r="AY34" s="203"/>
      <c r="AZ34" s="201"/>
    </row>
    <row r="35" spans="1:52" s="177" customFormat="1" ht="17.25" customHeight="1" x14ac:dyDescent="0.2">
      <c r="A35" s="289">
        <f t="shared" si="5"/>
        <v>10</v>
      </c>
      <c r="B35" s="228" t="s">
        <v>421</v>
      </c>
      <c r="C35" s="228">
        <v>961</v>
      </c>
      <c r="D35" s="228" t="s">
        <v>72</v>
      </c>
      <c r="E35" s="191" t="s">
        <v>43</v>
      </c>
      <c r="F35" s="191" t="s">
        <v>142</v>
      </c>
      <c r="G35" s="191" t="s">
        <v>4</v>
      </c>
      <c r="H35" s="191" t="s">
        <v>41</v>
      </c>
      <c r="I35" s="191" t="s">
        <v>43</v>
      </c>
      <c r="J35" s="191" t="s">
        <v>142</v>
      </c>
      <c r="K35" s="191" t="s">
        <v>4</v>
      </c>
      <c r="L35" s="191" t="s">
        <v>41</v>
      </c>
      <c r="M35" s="191" t="s">
        <v>43</v>
      </c>
      <c r="N35" s="191" t="s">
        <v>142</v>
      </c>
      <c r="O35" s="191" t="s">
        <v>4</v>
      </c>
      <c r="P35" s="191" t="s">
        <v>41</v>
      </c>
      <c r="Q35" s="191" t="s">
        <v>43</v>
      </c>
      <c r="R35" s="191" t="s">
        <v>142</v>
      </c>
      <c r="S35" s="191" t="s">
        <v>4</v>
      </c>
      <c r="T35" s="191" t="s">
        <v>41</v>
      </c>
      <c r="U35" s="191" t="s">
        <v>43</v>
      </c>
      <c r="V35" s="191" t="s">
        <v>142</v>
      </c>
      <c r="W35" s="191" t="s">
        <v>4</v>
      </c>
      <c r="X35" s="191" t="s">
        <v>41</v>
      </c>
      <c r="Y35" s="191" t="s">
        <v>43</v>
      </c>
      <c r="Z35" s="191" t="s">
        <v>142</v>
      </c>
      <c r="AA35" s="191" t="s">
        <v>4</v>
      </c>
      <c r="AB35" s="191" t="s">
        <v>41</v>
      </c>
      <c r="AC35" s="191" t="s">
        <v>43</v>
      </c>
      <c r="AD35" s="191" t="s">
        <v>142</v>
      </c>
      <c r="AE35" s="191" t="s">
        <v>4</v>
      </c>
      <c r="AF35" s="191" t="s">
        <v>41</v>
      </c>
      <c r="AG35" s="191"/>
      <c r="AH35" s="191"/>
      <c r="AI35" s="191"/>
      <c r="AJ35" s="213">
        <f>IFERROR(COUNTIF(E35:AI35,"=Р")+COUNTIF(E35:AI35,"=Р1")+COUNTIF(E35:AI35,"=ВЧ")+COUNTIF(E35:AI35,"=РН")+COUNTIF(E35:AI35,"=Р2")+COUNTIF(E35:AI35,"=Р1/РВ")+COUNTIF(E35:AI35,"=Р2/РВ")+COUNTIF(E35:AI35,"=ВЧ/РВ")+COUNTIF(E35:AI35,"=РН/РВ"),0)</f>
        <v>21</v>
      </c>
      <c r="AK35" s="202">
        <f>IFERROR(SUMIF(E35:AI35,"=Р2",E36:AI36)+SUMIF(E35:AI35,"=ВЧ/РВ",E36:AI36)+SUMIF(E35:AI35,"=РН/РВ",E36:AI36)+SUMIF(E35:AI35,"=Р1/РВ",E36:AI36)+SUMIF(E35:AI35,"=ВЧ2/РВ",E36:AI36)+SUMIF(E35:AI35,"=Р2/РВ",E36:AI36)+SUMIF(E35:AI35,"=Р",E36:AI36)+SUMIF(E35:AI35,"=Р1",E36:AI36)+SUMIF(E35:AI35,"=ВЧ1",E36:AI36)+SUMIF(E35:AI35,"=РН",E36:AI36)+SUMIF(E35:AI35,"=ВЧ",E36:AI36),0)+AL35</f>
        <v>164</v>
      </c>
      <c r="AL35" s="202">
        <f>IFERROR(SUMIF(E35:AI35,"=НУ",E36:AI36),0)</f>
        <v>0</v>
      </c>
      <c r="AM35" s="202">
        <f>IFERROR(SUMIF(E35:AI35,"=РН",E36:AI36)+SUMIF(E35:AI35,"=РН/РВ",E36:AI36)+SUMIFS(E36:AI36,E35:AI35,"=Р2",E36:AI36,"=8"),0)</f>
        <v>56</v>
      </c>
      <c r="AN35" s="211">
        <f>IFERROR(SUMIF(E35:AI35,"=ВЧ",E36:AI36)+SUMIF(E35:AI35,"=ВЧ/РВ",E36:AI36)+CEILING(COUNTIFS(E35:AI35,"=Р2",E36:AI36,"=7")*4,1)+CEILING(COUNTIFS(E35:AI35,"=Р2/РВ",E36:AI36,"=7")*4,1)+SUMIFS(E36:AI36,E35:AI35,"=Р1/РВ",E36:AI36,"=12")/6+SUMIFS(E36:AI36,E35:AI35,"=ВЧ2/РВ",E36:AI36,"=4")/2+SUMIFS(E36:AI36,E35:AI35,"=Р1",E36:AI36,"=12")/6+SUMIFS(E36:AI36,E35:AI35,"=Р1",E36:AI36,"=8")/4+SUMIF(E35:AI35,"=ВЧ1",E36:AI36)/2,0)</f>
        <v>28</v>
      </c>
      <c r="AO35" s="202">
        <f>IFERROR(SUMIF(E35:AI35,"=РВ",E36:AI36)+SUMIF(E35:AI35,"=ВЧ/РВ",E36:AI36)+SUMIF(E35:AI35,"=РН/РВ",E36:AI36)+SUMIF(E35:AI35,"=Р1/РВ",E36:AI36)+SUMIF(E35:AI35,"=ВЧ2/РВ",E36:AI36)+SUMIF(E35:AI35,"=Р2/РВ",E36:AI36),0)</f>
        <v>0</v>
      </c>
      <c r="AP35" s="202">
        <f>IFERROR(COUNTIF(E35:AI35,"=ВВ")+COUNTIF(E35:AI35,"=Р1/ВВ")+COUNTIF(E35:AI35,"=РН/ВВ")+COUNTIF(E35:AI35,"=ВЧ/ВВ"),0)</f>
        <v>7</v>
      </c>
      <c r="AQ35" s="202">
        <f>SUM(AR35:AZ35)</f>
        <v>0</v>
      </c>
      <c r="AR35" s="202">
        <f>IFERROR(SUMIF(E35:AI35,"=В",E36:AI36)+SUMIF(E35:AI35,"=Ч",E36:AI36)+SUMIF(E35:AI35,"=ВБ",E36:AI36),0)</f>
        <v>0</v>
      </c>
      <c r="AS35" s="202">
        <f>IFERROR(SUMIF(E35:AI35,"=Н",E36:AI36),0)</f>
        <v>0</v>
      </c>
      <c r="AT35" s="202">
        <f>IFERROR(SUMIF(E35:AI35,"=НА",E36:AI36),0)</f>
        <v>0</v>
      </c>
      <c r="AU35" s="202">
        <f>IFERROR(SUMIF(E35:AI35,"=ВП",E36:AI36),0)</f>
        <v>0</v>
      </c>
      <c r="AV35" s="202">
        <f>IFERROR(SUMIF(E35:AI35,"=ДД",E36:AI36),0)</f>
        <v>0</v>
      </c>
      <c r="AW35" s="202">
        <f>IFERROR(SUMIF(E35:AI35,"=ДО",E36:AI36),0)</f>
        <v>0</v>
      </c>
      <c r="AX35" s="202">
        <f>IFERROR(SUMIF(E35:AI35,"=ТН",E36:AI36),0)</f>
        <v>0</v>
      </c>
      <c r="AY35" s="202">
        <f>IFERROR(SUMIF(E35:AI35,"=ВД",E36:AI36),0)</f>
        <v>0</v>
      </c>
      <c r="AZ35" s="200">
        <f>IFERROR(SUMIF(E35:AI35,"=ІН",E36:AI36),0)+SUMIF(E35:AI35,"=НЗ",E36:AI36)</f>
        <v>0</v>
      </c>
    </row>
    <row r="36" spans="1:52" s="177" customFormat="1" ht="20.100000000000001" customHeight="1" thickBot="1" x14ac:dyDescent="0.25">
      <c r="A36" s="290"/>
      <c r="B36" s="229"/>
      <c r="C36" s="229"/>
      <c r="D36" s="229"/>
      <c r="E36" s="192">
        <v>8</v>
      </c>
      <c r="F36" s="192"/>
      <c r="G36" s="192">
        <v>8</v>
      </c>
      <c r="H36" s="192">
        <v>4</v>
      </c>
      <c r="I36" s="192">
        <v>8</v>
      </c>
      <c r="J36" s="192"/>
      <c r="K36" s="192">
        <v>12</v>
      </c>
      <c r="L36" s="192">
        <v>4</v>
      </c>
      <c r="M36" s="192">
        <v>8</v>
      </c>
      <c r="N36" s="192"/>
      <c r="O36" s="192">
        <v>12</v>
      </c>
      <c r="P36" s="192">
        <v>4</v>
      </c>
      <c r="Q36" s="192">
        <v>8</v>
      </c>
      <c r="R36" s="192"/>
      <c r="S36" s="192">
        <v>12</v>
      </c>
      <c r="T36" s="192">
        <v>4</v>
      </c>
      <c r="U36" s="192">
        <v>8</v>
      </c>
      <c r="V36" s="192"/>
      <c r="W36" s="192">
        <v>12</v>
      </c>
      <c r="X36" s="192">
        <v>4</v>
      </c>
      <c r="Y36" s="192">
        <v>8</v>
      </c>
      <c r="Z36" s="192"/>
      <c r="AA36" s="192">
        <v>12</v>
      </c>
      <c r="AB36" s="192">
        <v>4</v>
      </c>
      <c r="AC36" s="192">
        <v>8</v>
      </c>
      <c r="AD36" s="192"/>
      <c r="AE36" s="192">
        <v>12</v>
      </c>
      <c r="AF36" s="192">
        <v>4</v>
      </c>
      <c r="AG36" s="192" t="s">
        <v>491</v>
      </c>
      <c r="AH36" s="192" t="s">
        <v>492</v>
      </c>
      <c r="AI36" s="192" t="s">
        <v>493</v>
      </c>
      <c r="AJ36" s="214"/>
      <c r="AK36" s="203"/>
      <c r="AL36" s="203"/>
      <c r="AM36" s="203"/>
      <c r="AN36" s="212"/>
      <c r="AO36" s="203"/>
      <c r="AP36" s="203"/>
      <c r="AQ36" s="203"/>
      <c r="AR36" s="203"/>
      <c r="AS36" s="203"/>
      <c r="AT36" s="203"/>
      <c r="AU36" s="203"/>
      <c r="AV36" s="203"/>
      <c r="AW36" s="203"/>
      <c r="AX36" s="203"/>
      <c r="AY36" s="203"/>
      <c r="AZ36" s="201"/>
    </row>
    <row r="37" spans="1:52" ht="20.100000000000001" customHeight="1" x14ac:dyDescent="0.2">
      <c r="A37" s="289">
        <f t="shared" si="5"/>
        <v>11</v>
      </c>
      <c r="B37" s="228" t="s">
        <v>209</v>
      </c>
      <c r="C37" s="228">
        <v>41</v>
      </c>
      <c r="D37" s="228" t="s">
        <v>65</v>
      </c>
      <c r="E37" s="191" t="s">
        <v>142</v>
      </c>
      <c r="F37" s="191" t="s">
        <v>142</v>
      </c>
      <c r="G37" s="191" t="s">
        <v>4</v>
      </c>
      <c r="H37" s="191" t="s">
        <v>4</v>
      </c>
      <c r="I37" s="191" t="s">
        <v>4</v>
      </c>
      <c r="J37" s="191" t="s">
        <v>4</v>
      </c>
      <c r="K37" s="191" t="s">
        <v>4</v>
      </c>
      <c r="L37" s="191" t="s">
        <v>52</v>
      </c>
      <c r="M37" s="191" t="s">
        <v>52</v>
      </c>
      <c r="N37" s="191" t="s">
        <v>52</v>
      </c>
      <c r="O37" s="191" t="s">
        <v>52</v>
      </c>
      <c r="P37" s="191" t="s">
        <v>52</v>
      </c>
      <c r="Q37" s="191" t="s">
        <v>4</v>
      </c>
      <c r="R37" s="191" t="s">
        <v>4</v>
      </c>
      <c r="S37" s="191" t="s">
        <v>142</v>
      </c>
      <c r="T37" s="191" t="s">
        <v>142</v>
      </c>
      <c r="U37" s="191" t="s">
        <v>4</v>
      </c>
      <c r="V37" s="191" t="s">
        <v>4</v>
      </c>
      <c r="W37" s="191" t="s">
        <v>4</v>
      </c>
      <c r="X37" s="191" t="s">
        <v>4</v>
      </c>
      <c r="Y37" s="191" t="s">
        <v>4</v>
      </c>
      <c r="Z37" s="191" t="s">
        <v>142</v>
      </c>
      <c r="AA37" s="191" t="s">
        <v>142</v>
      </c>
      <c r="AB37" s="191" t="s">
        <v>4</v>
      </c>
      <c r="AC37" s="191" t="s">
        <v>4</v>
      </c>
      <c r="AD37" s="191" t="s">
        <v>4</v>
      </c>
      <c r="AE37" s="191" t="s">
        <v>4</v>
      </c>
      <c r="AF37" s="191" t="s">
        <v>4</v>
      </c>
      <c r="AG37" s="191" t="s">
        <v>142</v>
      </c>
      <c r="AH37" s="191" t="s">
        <v>142</v>
      </c>
      <c r="AI37" s="191" t="s">
        <v>4</v>
      </c>
      <c r="AJ37" s="213">
        <f>IFERROR(COUNTIF(E37:AI37,"=Р")+COUNTIF(E37:AI37,"=Р1")+COUNTIF(E37:AI37,"=ВЧ")+COUNTIF(E37:AI37,"=РН")+COUNTIF(E37:AI37,"=Р2")+COUNTIF(E37:AI37,"=Р1/РВ")+COUNTIF(E37:AI37,"=Р2/РВ")+COUNTIF(E37:AI37,"=ВЧ/РВ")+COUNTIF(E37:AI37,"=РН/РВ"),0)</f>
        <v>18</v>
      </c>
      <c r="AK37" s="202">
        <f>IFERROR(SUMIF(E37:AI37,"=Р2",E38:AI38)+SUMIF(E37:AI37,"=ВЧ/РВ",E38:AI38)+SUMIF(E37:AI37,"=РН/РВ",E38:AI38)+SUMIF(E37:AI37,"=Р1/РВ",E38:AI38)+SUMIF(E37:AI37,"=ВЧ2/РВ",E38:AI38)+SUMIF(E37:AI37,"=Р2/РВ",E38:AI38)+SUMIF(E37:AI37,"=Р",E38:AI38)+SUMIF(E37:AI37,"=Р1",E38:AI38)+SUMIF(E37:AI37,"=ВЧ1",E38:AI38)+SUMIF(E37:AI37,"=РН",E38:AI38)+SUMIF(E37:AI37,"=ВЧ",E38:AI38),0)+AL37</f>
        <v>143.4</v>
      </c>
      <c r="AL37" s="202">
        <f>IFERROR(SUMIF(E37:AI37,"=НУ",E38:AI38),0)</f>
        <v>0</v>
      </c>
      <c r="AM37" s="202">
        <f>IFERROR(SUMIF(E37:AI37,"=РН",E38:AI38)+SUMIF(E37:AI37,"=РН/РВ",E38:AI38)+SUMIFS(E38:AI38,E37:AI37,"=Р2",E38:AI38,"=8"),0)</f>
        <v>0</v>
      </c>
      <c r="AN37" s="211">
        <f t="shared" si="2"/>
        <v>0</v>
      </c>
      <c r="AO37" s="202">
        <f>IFERROR(SUMIF(E37:AI37,"=РВ",E38:AI38)+SUMIF(E37:AI37,"=ВЧ/РВ",E38:AI38)+SUMIF(E37:AI37,"=РН/РВ",E38:AI38)+SUMIF(E37:AI37,"=Р1/РВ",E38:AI38)+SUMIF(E37:AI37,"=ВЧ2/РВ",E38:AI38)+SUMIF(E37:AI37,"=Р2/РВ",E38:AI38),0)</f>
        <v>0</v>
      </c>
      <c r="AP37" s="202">
        <f t="shared" si="3"/>
        <v>8</v>
      </c>
      <c r="AQ37" s="202">
        <f>SUM(AR37:AZ37)</f>
        <v>24.599999999999998</v>
      </c>
      <c r="AR37" s="202">
        <f>IFERROR(SUMIF(E37:AI37,"=В",E38:AI38)+SUMIF(E37:AI37,"=Ч",E38:AI38)+SUMIF(E37:AI37,"=ВБ",E38:AI38),0)</f>
        <v>0</v>
      </c>
      <c r="AS37" s="202">
        <f>IFERROR(SUMIF(E37:AI37,"=Н",E38:AI38),0)</f>
        <v>0</v>
      </c>
      <c r="AT37" s="202">
        <f>IFERROR(SUMIF(E37:AI37,"=НА",E38:AI38),0)</f>
        <v>0</v>
      </c>
      <c r="AU37" s="202">
        <f>IFERROR(SUMIF(E37:AI37,"=ВП",E38:AI38),0)</f>
        <v>0</v>
      </c>
      <c r="AV37" s="202">
        <f>IFERROR(SUMIF(E37:AI37,"=ДД",E38:AI38),0)</f>
        <v>0</v>
      </c>
      <c r="AW37" s="202">
        <f>IFERROR(SUMIF(E37:AI37,"=ДО",E38:AI38),0)</f>
        <v>0</v>
      </c>
      <c r="AX37" s="202">
        <f>IFERROR(SUMIF(E37:AI37,"=ТН",E38:AI38),0)</f>
        <v>24.599999999999998</v>
      </c>
      <c r="AY37" s="202">
        <f>IFERROR(SUMIF(E37:AI37,"=ВД",E38:AI38),0)</f>
        <v>0</v>
      </c>
      <c r="AZ37" s="200">
        <f>IFERROR(SUMIF(E37:AI37,"=ІН",E38:AI38),0)+SUMIF(E37:AI37,"=НЗ",E38:AI38)</f>
        <v>0</v>
      </c>
    </row>
    <row r="38" spans="1:52" ht="17.25" customHeight="1" thickBot="1" x14ac:dyDescent="0.25">
      <c r="A38" s="290"/>
      <c r="B38" s="229"/>
      <c r="C38" s="229"/>
      <c r="D38" s="229"/>
      <c r="E38" s="192"/>
      <c r="F38" s="192"/>
      <c r="G38" s="192">
        <v>8.1999999999999993</v>
      </c>
      <c r="H38" s="192">
        <v>8.1999999999999993</v>
      </c>
      <c r="I38" s="192">
        <v>8.1999999999999993</v>
      </c>
      <c r="J38" s="192">
        <v>8.1999999999999993</v>
      </c>
      <c r="K38" s="192">
        <v>7</v>
      </c>
      <c r="L38" s="192"/>
      <c r="M38" s="192"/>
      <c r="N38" s="192">
        <v>8.1999999999999993</v>
      </c>
      <c r="O38" s="192">
        <v>8.1999999999999993</v>
      </c>
      <c r="P38" s="192">
        <v>8.1999999999999993</v>
      </c>
      <c r="Q38" s="192">
        <v>8.1999999999999993</v>
      </c>
      <c r="R38" s="192">
        <v>7.2</v>
      </c>
      <c r="S38" s="192"/>
      <c r="T38" s="192"/>
      <c r="U38" s="192">
        <v>8.1999999999999993</v>
      </c>
      <c r="V38" s="192">
        <v>8.1999999999999993</v>
      </c>
      <c r="W38" s="192">
        <v>8.1999999999999993</v>
      </c>
      <c r="X38" s="192">
        <v>8.1999999999999993</v>
      </c>
      <c r="Y38" s="192">
        <v>7.2</v>
      </c>
      <c r="Z38" s="192"/>
      <c r="AA38" s="192"/>
      <c r="AB38" s="192">
        <v>8.1999999999999993</v>
      </c>
      <c r="AC38" s="192">
        <v>8.1999999999999993</v>
      </c>
      <c r="AD38" s="192">
        <v>8.1999999999999993</v>
      </c>
      <c r="AE38" s="192">
        <v>8.1999999999999993</v>
      </c>
      <c r="AF38" s="192">
        <v>7.2</v>
      </c>
      <c r="AG38" s="192"/>
      <c r="AH38" s="192"/>
      <c r="AI38" s="192">
        <v>8.1999999999999993</v>
      </c>
      <c r="AJ38" s="214"/>
      <c r="AK38" s="203"/>
      <c r="AL38" s="203"/>
      <c r="AM38" s="203"/>
      <c r="AN38" s="212"/>
      <c r="AO38" s="203"/>
      <c r="AP38" s="203"/>
      <c r="AQ38" s="203"/>
      <c r="AR38" s="203"/>
      <c r="AS38" s="203"/>
      <c r="AT38" s="203"/>
      <c r="AU38" s="203"/>
      <c r="AV38" s="203"/>
      <c r="AW38" s="203"/>
      <c r="AX38" s="203"/>
      <c r="AY38" s="203"/>
      <c r="AZ38" s="201"/>
    </row>
    <row r="39" spans="1:52" ht="18" customHeight="1" x14ac:dyDescent="0.2">
      <c r="A39" s="289">
        <f t="shared" si="5"/>
        <v>12</v>
      </c>
      <c r="B39" s="228" t="s">
        <v>94</v>
      </c>
      <c r="C39" s="228">
        <v>1778</v>
      </c>
      <c r="D39" s="228" t="s">
        <v>65</v>
      </c>
      <c r="E39" s="191" t="s">
        <v>142</v>
      </c>
      <c r="F39" s="191" t="s">
        <v>142</v>
      </c>
      <c r="G39" s="191" t="s">
        <v>4</v>
      </c>
      <c r="H39" s="191" t="s">
        <v>4</v>
      </c>
      <c r="I39" s="191" t="s">
        <v>4</v>
      </c>
      <c r="J39" s="191" t="s">
        <v>4</v>
      </c>
      <c r="K39" s="191" t="s">
        <v>4</v>
      </c>
      <c r="L39" s="191" t="s">
        <v>142</v>
      </c>
      <c r="M39" s="191" t="s">
        <v>142</v>
      </c>
      <c r="N39" s="191" t="s">
        <v>4</v>
      </c>
      <c r="O39" s="191" t="s">
        <v>4</v>
      </c>
      <c r="P39" s="191" t="s">
        <v>4</v>
      </c>
      <c r="Q39" s="191" t="s">
        <v>4</v>
      </c>
      <c r="R39" s="191" t="s">
        <v>4</v>
      </c>
      <c r="S39" s="191" t="s">
        <v>142</v>
      </c>
      <c r="T39" s="191" t="s">
        <v>142</v>
      </c>
      <c r="U39" s="191" t="s">
        <v>4</v>
      </c>
      <c r="V39" s="191" t="s">
        <v>4</v>
      </c>
      <c r="W39" s="191" t="s">
        <v>4</v>
      </c>
      <c r="X39" s="191" t="s">
        <v>4</v>
      </c>
      <c r="Y39" s="191" t="s">
        <v>4</v>
      </c>
      <c r="Z39" s="191" t="s">
        <v>142</v>
      </c>
      <c r="AA39" s="191" t="s">
        <v>142</v>
      </c>
      <c r="AB39" s="191" t="s">
        <v>4</v>
      </c>
      <c r="AC39" s="191" t="s">
        <v>4</v>
      </c>
      <c r="AD39" s="191" t="s">
        <v>4</v>
      </c>
      <c r="AE39" s="191" t="s">
        <v>4</v>
      </c>
      <c r="AF39" s="191" t="s">
        <v>4</v>
      </c>
      <c r="AG39" s="191" t="s">
        <v>142</v>
      </c>
      <c r="AH39" s="191" t="s">
        <v>142</v>
      </c>
      <c r="AI39" s="191" t="s">
        <v>4</v>
      </c>
      <c r="AJ39" s="213">
        <f>IFERROR(COUNTIF(E39:AI39,"=Р")+COUNTIF(E39:AI39,"=Р1")+COUNTIF(E39:AI39,"=ВЧ")+COUNTIF(E39:AI39,"=РН")+COUNTIF(E39:AI39,"=Р2")+COUNTIF(E39:AI39,"=Р1/РВ")+COUNTIF(E39:AI39,"=Р2/РВ")+COUNTIF(E39:AI39,"=ВЧ/РВ")+COUNTIF(E39:AI39,"=РН/РВ"),0)</f>
        <v>21</v>
      </c>
      <c r="AK39" s="202">
        <f>IFERROR(SUMIF(E39:AI39,"=Р2",E40:AI40)+SUMIF(E39:AI39,"=ВЧ/РВ",E40:AI40)+SUMIF(E39:AI39,"=РН/РВ",E40:AI40)+SUMIF(E39:AI39,"=Р1/РВ",E40:AI40)+SUMIF(E39:AI39,"=ВЧ2/РВ",E40:AI40)+SUMIF(E39:AI39,"=Р2/РВ",E40:AI40)+SUMIF(E39:AI39,"=Р",E40:AI40)+SUMIF(E39:AI39,"=Р1",E40:AI40)+SUMIF(E39:AI39,"=ВЧ1",E40:AI40)+SUMIF(E39:AI39,"=РН",E40:AI40)+SUMIF(E39:AI39,"=ВЧ",E40:AI40),0)+AL39</f>
        <v>167.99999999999997</v>
      </c>
      <c r="AL39" s="202">
        <f>IFERROR(SUMIF(E39:AI39,"=НУ",E40:AI40),0)</f>
        <v>0</v>
      </c>
      <c r="AM39" s="202">
        <f>IFERROR(SUMIF(E39:AI39,"=РН",E40:AI40)+SUMIF(E39:AI39,"=РН/РВ",E40:AI40)+SUMIFS(E40:AI40,E39:AI39,"=Р2",E40:AI40,"=8"),0)</f>
        <v>0</v>
      </c>
      <c r="AN39" s="211">
        <f t="shared" si="2"/>
        <v>0</v>
      </c>
      <c r="AO39" s="202">
        <f>IFERROR(SUMIF(E39:AI39,"=РВ",E40:AI40)+SUMIF(E39:AI39,"=ВЧ/РВ",E40:AI40)+SUMIF(E39:AI39,"=РН/РВ",E40:AI40)+SUMIF(E39:AI39,"=Р1/РВ",E40:AI40)+SUMIF(E39:AI39,"=ВЧ2/РВ",E40:AI40)+SUMIF(E39:AI39,"=Р2/РВ",E40:AI40),0)</f>
        <v>0</v>
      </c>
      <c r="AP39" s="202">
        <f t="shared" si="3"/>
        <v>10</v>
      </c>
      <c r="AQ39" s="202">
        <f>SUM(AR39:AZ39)</f>
        <v>0</v>
      </c>
      <c r="AR39" s="202">
        <f>IFERROR(SUMIF(E39:AI39,"=В",E40:AI40)+SUMIF(E39:AI39,"=Ч",E40:AI40)+SUMIF(E39:AI39,"=ВБ",E40:AI40),0)</f>
        <v>0</v>
      </c>
      <c r="AS39" s="202">
        <f>IFERROR(SUMIF(E39:AI39,"=Н",E40:AI40),0)</f>
        <v>0</v>
      </c>
      <c r="AT39" s="202">
        <f>IFERROR(SUMIF(E39:AI39,"=НА",E40:AI40),0)</f>
        <v>0</v>
      </c>
      <c r="AU39" s="202">
        <f>IFERROR(SUMIF(E39:AI39,"=ВП",E40:AI40),0)</f>
        <v>0</v>
      </c>
      <c r="AV39" s="202">
        <f>IFERROR(SUMIF(E39:AI39,"=ДД",E40:AI40),0)</f>
        <v>0</v>
      </c>
      <c r="AW39" s="202">
        <f>IFERROR(SUMIF(E39:AI39,"=ДО",E40:AI40),0)</f>
        <v>0</v>
      </c>
      <c r="AX39" s="202">
        <f>IFERROR(SUMIF(E39:AI39,"=ТН",E40:AI40),0)</f>
        <v>0</v>
      </c>
      <c r="AY39" s="202">
        <f>IFERROR(SUMIF(E39:AI39,"=ВД",E40:AI40),0)</f>
        <v>0</v>
      </c>
      <c r="AZ39" s="200">
        <f>IFERROR(SUMIF(E39:AI39,"=ІН",E40:AI40),0)+SUMIF(E39:AI39,"=НЗ",E40:AI40)</f>
        <v>0</v>
      </c>
    </row>
    <row r="40" spans="1:52" ht="20.100000000000001" customHeight="1" thickBot="1" x14ac:dyDescent="0.25">
      <c r="A40" s="290"/>
      <c r="B40" s="229"/>
      <c r="C40" s="229"/>
      <c r="D40" s="229"/>
      <c r="E40" s="192"/>
      <c r="F40" s="192"/>
      <c r="G40" s="192">
        <v>8.1999999999999993</v>
      </c>
      <c r="H40" s="192">
        <v>8.1999999999999993</v>
      </c>
      <c r="I40" s="192">
        <v>8.1999999999999993</v>
      </c>
      <c r="J40" s="192">
        <v>8.1999999999999993</v>
      </c>
      <c r="K40" s="192">
        <v>7</v>
      </c>
      <c r="L40" s="192"/>
      <c r="M40" s="192"/>
      <c r="N40" s="192">
        <v>8.1999999999999993</v>
      </c>
      <c r="O40" s="192">
        <v>8.1999999999999993</v>
      </c>
      <c r="P40" s="192">
        <v>8.1999999999999993</v>
      </c>
      <c r="Q40" s="192">
        <v>8.1999999999999993</v>
      </c>
      <c r="R40" s="192">
        <v>7.2</v>
      </c>
      <c r="S40" s="192"/>
      <c r="T40" s="192"/>
      <c r="U40" s="192">
        <v>8.1999999999999993</v>
      </c>
      <c r="V40" s="192">
        <v>8.1999999999999993</v>
      </c>
      <c r="W40" s="192">
        <v>8.1999999999999993</v>
      </c>
      <c r="X40" s="192">
        <v>8.1999999999999993</v>
      </c>
      <c r="Y40" s="192">
        <v>7.2</v>
      </c>
      <c r="Z40" s="192"/>
      <c r="AA40" s="192"/>
      <c r="AB40" s="192">
        <v>8.1999999999999993</v>
      </c>
      <c r="AC40" s="192">
        <v>8.1999999999999993</v>
      </c>
      <c r="AD40" s="192">
        <v>8.1999999999999993</v>
      </c>
      <c r="AE40" s="192">
        <v>8.1999999999999993</v>
      </c>
      <c r="AF40" s="192">
        <v>7.2</v>
      </c>
      <c r="AG40" s="192"/>
      <c r="AH40" s="192"/>
      <c r="AI40" s="192">
        <v>8.1999999999999993</v>
      </c>
      <c r="AJ40" s="214"/>
      <c r="AK40" s="203"/>
      <c r="AL40" s="203"/>
      <c r="AM40" s="203"/>
      <c r="AN40" s="212"/>
      <c r="AO40" s="203"/>
      <c r="AP40" s="203"/>
      <c r="AQ40" s="203"/>
      <c r="AR40" s="203"/>
      <c r="AS40" s="203"/>
      <c r="AT40" s="203"/>
      <c r="AU40" s="203"/>
      <c r="AV40" s="203"/>
      <c r="AW40" s="203"/>
      <c r="AX40" s="203"/>
      <c r="AY40" s="203"/>
      <c r="AZ40" s="201"/>
    </row>
    <row r="41" spans="1:52" s="177" customFormat="1" ht="17.25" customHeight="1" x14ac:dyDescent="0.2">
      <c r="A41" s="289">
        <f t="shared" si="5"/>
        <v>13</v>
      </c>
      <c r="B41" s="228" t="s">
        <v>423</v>
      </c>
      <c r="C41" s="228">
        <v>1487</v>
      </c>
      <c r="D41" s="228" t="s">
        <v>72</v>
      </c>
      <c r="E41" s="191" t="s">
        <v>309</v>
      </c>
      <c r="F41" s="191" t="s">
        <v>43</v>
      </c>
      <c r="G41" s="191" t="s">
        <v>142</v>
      </c>
      <c r="H41" s="191" t="s">
        <v>4</v>
      </c>
      <c r="I41" s="191" t="s">
        <v>41</v>
      </c>
      <c r="J41" s="191" t="s">
        <v>43</v>
      </c>
      <c r="K41" s="191" t="s">
        <v>142</v>
      </c>
      <c r="L41" s="191" t="s">
        <v>4</v>
      </c>
      <c r="M41" s="191" t="s">
        <v>41</v>
      </c>
      <c r="N41" s="191" t="s">
        <v>43</v>
      </c>
      <c r="O41" s="191" t="s">
        <v>142</v>
      </c>
      <c r="P41" s="191" t="s">
        <v>4</v>
      </c>
      <c r="Q41" s="191" t="s">
        <v>41</v>
      </c>
      <c r="R41" s="191" t="s">
        <v>43</v>
      </c>
      <c r="S41" s="191" t="s">
        <v>142</v>
      </c>
      <c r="T41" s="191" t="s">
        <v>4</v>
      </c>
      <c r="U41" s="191" t="s">
        <v>41</v>
      </c>
      <c r="V41" s="191" t="s">
        <v>43</v>
      </c>
      <c r="W41" s="191" t="s">
        <v>142</v>
      </c>
      <c r="X41" s="191" t="s">
        <v>4</v>
      </c>
      <c r="Y41" s="191" t="s">
        <v>41</v>
      </c>
      <c r="Z41" s="191" t="s">
        <v>43</v>
      </c>
      <c r="AA41" s="191" t="s">
        <v>142</v>
      </c>
      <c r="AB41" s="191" t="s">
        <v>4</v>
      </c>
      <c r="AC41" s="191" t="s">
        <v>41</v>
      </c>
      <c r="AD41" s="191" t="s">
        <v>43</v>
      </c>
      <c r="AE41" s="191" t="s">
        <v>142</v>
      </c>
      <c r="AF41" s="191" t="s">
        <v>4</v>
      </c>
      <c r="AG41" s="191"/>
      <c r="AH41" s="191"/>
      <c r="AI41" s="191"/>
      <c r="AJ41" s="213">
        <f>IFERROR(COUNTIF(E41:AI41,"=Р")+COUNTIF(E41:AI41,"=Р1")+COUNTIF(E41:AI41,"=ВЧ")+COUNTIF(E41:AI41,"=РН")+COUNTIF(E41:AI41,"=Р2")+COUNTIF(E41:AI41,"=Р1/РВ")+COUNTIF(E41:AI41,"=Р2/РВ")+COUNTIF(E41:AI41,"=ВЧ/РВ")+COUNTIF(E41:AI41,"=РН/РВ"),0)</f>
        <v>20</v>
      </c>
      <c r="AK41" s="202">
        <f>IFERROR(SUMIF(E41:AI41,"=Р2",E42:AI42)+SUMIF(E41:AI41,"=ВЧ/РВ",E42:AI42)+SUMIF(E41:AI41,"=РН/РВ",E42:AI42)+SUMIF(E41:AI41,"=Р1/РВ",E42:AI42)+SUMIF(E41:AI41,"=ВЧ2/РВ",E42:AI42)+SUMIF(E41:AI41,"=Р2/РВ",E42:AI42)+SUMIF(E41:AI41,"=Р",E42:AI42)+SUMIF(E41:AI41,"=Р1",E42:AI42)+SUMIF(E41:AI41,"=ВЧ1",E42:AI42)+SUMIF(E41:AI41,"=РН",E42:AI42)+SUMIF(E41:AI41,"=ВЧ",E42:AI42),0)+AL41</f>
        <v>164</v>
      </c>
      <c r="AL41" s="202">
        <f>IFERROR(SUMIF(E41:AI41,"=НУ",E42:AI42),0)</f>
        <v>0</v>
      </c>
      <c r="AM41" s="202">
        <f>IFERROR(SUMIF(E41:AI41,"=РН",E42:AI42)+SUMIF(E41:AI41,"=РН/РВ",E42:AI42)+SUMIFS(E42:AI42,E41:AI41,"=Р2",E42:AI42,"=8"),0)</f>
        <v>56</v>
      </c>
      <c r="AN41" s="211">
        <f>IFERROR(SUMIF(E41:AI41,"=ВЧ",E42:AI42)+SUMIF(E41:AI41,"=ВЧ/РВ",E42:AI42)+CEILING(COUNTIFS(E41:AI41,"=Р2",E42:AI42,"=7")*4,1)+CEILING(COUNTIFS(E41:AI41,"=Р2/РВ",E42:AI42,"=7")*4,1)+SUMIFS(E42:AI42,E41:AI41,"=Р1/РВ",E42:AI42,"=12")/6+SUMIFS(E42:AI42,E41:AI41,"=ВЧ2/РВ",E42:AI42,"=4")/2+SUMIFS(E42:AI42,E41:AI41,"=Р1",E42:AI42,"=12")/6+SUMIFS(E42:AI42,E41:AI41,"=Р1",E42:AI42,"=8")/4+SUMIF(E41:AI41,"=ВЧ1",E42:AI42)/2,0)</f>
        <v>26</v>
      </c>
      <c r="AO41" s="202">
        <f>IFERROR(SUMIF(E41:AI41,"=РВ",E42:AI42)+SUMIF(E41:AI41,"=ВЧ/РВ",E42:AI42)+SUMIF(E41:AI41,"=РН/РВ",E42:AI42)+SUMIF(E41:AI41,"=Р1/РВ",E42:AI42)+SUMIF(E41:AI41,"=ВЧ2/РВ",E42:AI42)+SUMIF(E41:AI41,"=Р2/РВ",E42:AI42),0)</f>
        <v>0</v>
      </c>
      <c r="AP41" s="202">
        <f>IFERROR(COUNTIF(E41:AI41,"=ВВ")+COUNTIF(E41:AI41,"=Р1/ВВ")+COUNTIF(E41:AI41,"=РН/ВВ")+COUNTIF(E41:AI41,"=ВЧ/ВВ"),0)</f>
        <v>7</v>
      </c>
      <c r="AQ41" s="202">
        <f>SUM(AR41:AZ41)</f>
        <v>0</v>
      </c>
      <c r="AR41" s="202">
        <f>IFERROR(SUMIF(E41:AI41,"=В",E42:AI42)+SUMIF(E41:AI41,"=Ч",E42:AI42)+SUMIF(E41:AI41,"=ВБ",E42:AI42),0)</f>
        <v>0</v>
      </c>
      <c r="AS41" s="202">
        <f>IFERROR(SUMIF(E41:AI41,"=Н",E42:AI42),0)</f>
        <v>0</v>
      </c>
      <c r="AT41" s="202">
        <f>IFERROR(SUMIF(E41:AI41,"=НА",E42:AI42),0)</f>
        <v>0</v>
      </c>
      <c r="AU41" s="202">
        <f>IFERROR(SUMIF(E41:AI41,"=ВП",E42:AI42),0)</f>
        <v>0</v>
      </c>
      <c r="AV41" s="202">
        <f>IFERROR(SUMIF(E41:AI41,"=ДД",E42:AI42),0)</f>
        <v>0</v>
      </c>
      <c r="AW41" s="202">
        <f>IFERROR(SUMIF(E41:AI41,"=ДО",E42:AI42),0)</f>
        <v>0</v>
      </c>
      <c r="AX41" s="202">
        <f>IFERROR(SUMIF(E41:AI41,"=ТН",E42:AI42),0)</f>
        <v>0</v>
      </c>
      <c r="AY41" s="202">
        <f>IFERROR(SUMIF(E41:AI41,"=ВД",E42:AI42),0)</f>
        <v>0</v>
      </c>
      <c r="AZ41" s="200">
        <f>IFERROR(SUMIF(E41:AI41,"=ІН",E42:AI42),0)+SUMIF(E41:AI41,"=НЗ",E42:AI42)</f>
        <v>0</v>
      </c>
    </row>
    <row r="42" spans="1:52" s="177" customFormat="1" ht="20.100000000000001" customHeight="1" thickBot="1" x14ac:dyDescent="0.25">
      <c r="A42" s="290"/>
      <c r="B42" s="229"/>
      <c r="C42" s="229"/>
      <c r="D42" s="229"/>
      <c r="E42" s="192">
        <v>4</v>
      </c>
      <c r="F42" s="192">
        <v>8</v>
      </c>
      <c r="G42" s="192"/>
      <c r="H42" s="192">
        <v>12</v>
      </c>
      <c r="I42" s="192">
        <v>4</v>
      </c>
      <c r="J42" s="192">
        <v>8</v>
      </c>
      <c r="K42" s="192"/>
      <c r="L42" s="192">
        <v>12</v>
      </c>
      <c r="M42" s="192">
        <v>4</v>
      </c>
      <c r="N42" s="192">
        <v>8</v>
      </c>
      <c r="O42" s="192"/>
      <c r="P42" s="192">
        <v>12</v>
      </c>
      <c r="Q42" s="192">
        <v>4</v>
      </c>
      <c r="R42" s="192">
        <v>8</v>
      </c>
      <c r="S42" s="192"/>
      <c r="T42" s="192">
        <v>12</v>
      </c>
      <c r="U42" s="192">
        <v>4</v>
      </c>
      <c r="V42" s="192">
        <v>8</v>
      </c>
      <c r="W42" s="192"/>
      <c r="X42" s="192">
        <v>12</v>
      </c>
      <c r="Y42" s="192">
        <v>4</v>
      </c>
      <c r="Z42" s="192">
        <v>8</v>
      </c>
      <c r="AA42" s="192"/>
      <c r="AB42" s="192">
        <v>8</v>
      </c>
      <c r="AC42" s="192">
        <v>4</v>
      </c>
      <c r="AD42" s="192">
        <v>8</v>
      </c>
      <c r="AE42" s="192"/>
      <c r="AF42" s="192">
        <v>12</v>
      </c>
      <c r="AG42" s="192" t="s">
        <v>491</v>
      </c>
      <c r="AH42" s="192" t="s">
        <v>492</v>
      </c>
      <c r="AI42" s="192" t="s">
        <v>493</v>
      </c>
      <c r="AJ42" s="214"/>
      <c r="AK42" s="203"/>
      <c r="AL42" s="203"/>
      <c r="AM42" s="203"/>
      <c r="AN42" s="212"/>
      <c r="AO42" s="203"/>
      <c r="AP42" s="203"/>
      <c r="AQ42" s="203"/>
      <c r="AR42" s="203"/>
      <c r="AS42" s="203"/>
      <c r="AT42" s="203"/>
      <c r="AU42" s="203"/>
      <c r="AV42" s="203"/>
      <c r="AW42" s="203"/>
      <c r="AX42" s="203"/>
      <c r="AY42" s="203"/>
      <c r="AZ42" s="201"/>
    </row>
    <row r="43" spans="1:52" ht="20.100000000000001" customHeight="1" x14ac:dyDescent="0.2">
      <c r="A43" s="289">
        <f t="shared" si="5"/>
        <v>14</v>
      </c>
      <c r="B43" s="228" t="s">
        <v>210</v>
      </c>
      <c r="C43" s="228">
        <v>1885</v>
      </c>
      <c r="D43" s="228" t="s">
        <v>65</v>
      </c>
      <c r="E43" s="191" t="s">
        <v>309</v>
      </c>
      <c r="F43" s="191" t="s">
        <v>43</v>
      </c>
      <c r="G43" s="191" t="s">
        <v>142</v>
      </c>
      <c r="H43" s="191" t="s">
        <v>4</v>
      </c>
      <c r="I43" s="191" t="s">
        <v>41</v>
      </c>
      <c r="J43" s="191" t="s">
        <v>43</v>
      </c>
      <c r="K43" s="191" t="s">
        <v>142</v>
      </c>
      <c r="L43" s="191" t="s">
        <v>4</v>
      </c>
      <c r="M43" s="191" t="s">
        <v>41</v>
      </c>
      <c r="N43" s="191" t="s">
        <v>43</v>
      </c>
      <c r="O43" s="191" t="s">
        <v>142</v>
      </c>
      <c r="P43" s="191" t="s">
        <v>142</v>
      </c>
      <c r="Q43" s="191" t="s">
        <v>309</v>
      </c>
      <c r="R43" s="191" t="s">
        <v>43</v>
      </c>
      <c r="S43" s="191" t="s">
        <v>142</v>
      </c>
      <c r="T43" s="191" t="s">
        <v>4</v>
      </c>
      <c r="U43" s="191" t="s">
        <v>41</v>
      </c>
      <c r="V43" s="191" t="s">
        <v>43</v>
      </c>
      <c r="W43" s="191" t="s">
        <v>142</v>
      </c>
      <c r="X43" s="191" t="s">
        <v>4</v>
      </c>
      <c r="Y43" s="191" t="s">
        <v>41</v>
      </c>
      <c r="Z43" s="191" t="s">
        <v>43</v>
      </c>
      <c r="AA43" s="191" t="s">
        <v>142</v>
      </c>
      <c r="AB43" s="191" t="s">
        <v>4</v>
      </c>
      <c r="AC43" s="191" t="s">
        <v>41</v>
      </c>
      <c r="AD43" s="191" t="s">
        <v>43</v>
      </c>
      <c r="AE43" s="191" t="s">
        <v>142</v>
      </c>
      <c r="AF43" s="191" t="s">
        <v>4</v>
      </c>
      <c r="AG43" s="191" t="s">
        <v>41</v>
      </c>
      <c r="AH43" s="191" t="s">
        <v>43</v>
      </c>
      <c r="AI43" s="191" t="s">
        <v>142</v>
      </c>
      <c r="AJ43" s="213">
        <f>IFERROR(COUNTIF(E43:AI43,"=Р")+COUNTIF(E43:AI43,"=Р1")+COUNTIF(E43:AI43,"=ВЧ")+COUNTIF(E43:AI43,"=РН")+COUNTIF(E43:AI43,"=Р2")+COUNTIF(E43:AI43,"=Р1/РВ")+COUNTIF(E43:AI43,"=Р2/РВ")+COUNTIF(E43:AI43,"=ВЧ/РВ")+COUNTIF(E43:AI43,"=РН/РВ"),0)</f>
        <v>20</v>
      </c>
      <c r="AK43" s="202">
        <f>IFERROR(SUMIF(E43:AI43,"=Р2",E44:AI44)+SUMIF(E43:AI43,"=ВЧ/РВ",E44:AI44)+SUMIF(E43:AI43,"=РН/РВ",E44:AI44)+SUMIF(E43:AI43,"=Р1/РВ",E44:AI44)+SUMIF(E43:AI43,"=ВЧ2/РВ",E44:AI44)+SUMIF(E43:AI43,"=Р2/РВ",E44:AI44)+SUMIF(E43:AI43,"=Р",E44:AI44)+SUMIF(E43:AI43,"=Р1",E44:AI44)+SUMIF(E43:AI43,"=ВЧ1",E44:AI44)+SUMIF(E43:AI43,"=РН",E44:AI44)+SUMIF(E43:AI43,"=ВЧ",E44:AI44),0)+AL43</f>
        <v>168</v>
      </c>
      <c r="AL43" s="202">
        <f>IFERROR(SUMIF(E43:AI43,"=НУ",E44:AI44),0)</f>
        <v>0</v>
      </c>
      <c r="AM43" s="202">
        <f>IFERROR(SUMIF(E43:AI43,"=РН",E44:AI44)+SUMIF(E43:AI43,"=РН/РВ",E44:AI44)+SUMIFS(E44:AI44,E43:AI43,"=Р2",E44:AI44,"=8"),0)</f>
        <v>64</v>
      </c>
      <c r="AN43" s="211">
        <f t="shared" si="2"/>
        <v>28</v>
      </c>
      <c r="AO43" s="202">
        <f>IFERROR(SUMIF(E43:AI43,"=РВ",E44:AI44)+SUMIF(E43:AI43,"=ВЧ/РВ",E44:AI44)+SUMIF(E43:AI43,"=РН/РВ",E44:AI44)+SUMIF(E43:AI43,"=Р1/РВ",E44:AI44)+SUMIF(E43:AI43,"=ВЧ2/РВ",E44:AI44)+SUMIF(E43:AI43,"=Р2/РВ",E44:AI44),0)</f>
        <v>0</v>
      </c>
      <c r="AP43" s="202">
        <f t="shared" si="3"/>
        <v>9</v>
      </c>
      <c r="AQ43" s="202">
        <f>SUM(AR43:AZ43)</f>
        <v>0</v>
      </c>
      <c r="AR43" s="202">
        <f>IFERROR(SUMIF(E43:AI43,"=В",E44:AI44)+SUMIF(E43:AI43,"=Ч",E44:AI44)+SUMIF(E43:AI43,"=ВБ",E44:AI44),0)</f>
        <v>0</v>
      </c>
      <c r="AS43" s="202">
        <f>IFERROR(SUMIF(E43:AI43,"=Н",E44:AI44),0)</f>
        <v>0</v>
      </c>
      <c r="AT43" s="202">
        <f>IFERROR(SUMIF(E43:AI43,"=НА",E44:AI44),0)</f>
        <v>0</v>
      </c>
      <c r="AU43" s="202">
        <f>IFERROR(SUMIF(E43:AI43,"=ВП",E44:AI44),0)</f>
        <v>0</v>
      </c>
      <c r="AV43" s="202">
        <f>IFERROR(SUMIF(E43:AI43,"=ДД",E44:AI44),0)</f>
        <v>0</v>
      </c>
      <c r="AW43" s="202">
        <f>IFERROR(SUMIF(E43:AI43,"=ДО",E44:AI44),0)</f>
        <v>0</v>
      </c>
      <c r="AX43" s="202">
        <f>IFERROR(SUMIF(E43:AI43,"=ТН",E44:AI44),0)</f>
        <v>0</v>
      </c>
      <c r="AY43" s="202">
        <f>IFERROR(SUMIF(E43:AI43,"=ВД",E44:AI44),0)</f>
        <v>0</v>
      </c>
      <c r="AZ43" s="200">
        <f>IFERROR(SUMIF(E43:AI43,"=ІН",E44:AI44),0)+SUMIF(E43:AI43,"=НЗ",E44:AI44)</f>
        <v>0</v>
      </c>
    </row>
    <row r="44" spans="1:52" ht="17.25" customHeight="1" thickBot="1" x14ac:dyDescent="0.25">
      <c r="A44" s="290"/>
      <c r="B44" s="229"/>
      <c r="C44" s="229"/>
      <c r="D44" s="229"/>
      <c r="E44" s="192">
        <v>4</v>
      </c>
      <c r="F44" s="192">
        <v>8</v>
      </c>
      <c r="G44" s="192"/>
      <c r="H44" s="192">
        <v>12</v>
      </c>
      <c r="I44" s="192">
        <v>4</v>
      </c>
      <c r="J44" s="192">
        <v>8</v>
      </c>
      <c r="K44" s="192"/>
      <c r="L44" s="192">
        <v>12</v>
      </c>
      <c r="M44" s="192">
        <v>4</v>
      </c>
      <c r="N44" s="192">
        <v>8</v>
      </c>
      <c r="O44" s="192"/>
      <c r="P44" s="192"/>
      <c r="Q44" s="192">
        <v>4</v>
      </c>
      <c r="R44" s="192">
        <v>8</v>
      </c>
      <c r="S44" s="192"/>
      <c r="T44" s="192">
        <v>12</v>
      </c>
      <c r="U44" s="192">
        <v>4</v>
      </c>
      <c r="V44" s="192">
        <v>8</v>
      </c>
      <c r="W44" s="192"/>
      <c r="X44" s="192">
        <v>12</v>
      </c>
      <c r="Y44" s="192">
        <v>4</v>
      </c>
      <c r="Z44" s="192">
        <v>8</v>
      </c>
      <c r="AA44" s="192"/>
      <c r="AB44" s="192">
        <v>12</v>
      </c>
      <c r="AC44" s="192">
        <v>4</v>
      </c>
      <c r="AD44" s="192">
        <v>8</v>
      </c>
      <c r="AE44" s="192"/>
      <c r="AF44" s="192">
        <v>12</v>
      </c>
      <c r="AG44" s="192">
        <v>4</v>
      </c>
      <c r="AH44" s="192">
        <v>8</v>
      </c>
      <c r="AI44" s="192"/>
      <c r="AJ44" s="214"/>
      <c r="AK44" s="203"/>
      <c r="AL44" s="203"/>
      <c r="AM44" s="203"/>
      <c r="AN44" s="212"/>
      <c r="AO44" s="203"/>
      <c r="AP44" s="203"/>
      <c r="AQ44" s="203"/>
      <c r="AR44" s="203"/>
      <c r="AS44" s="203"/>
      <c r="AT44" s="203"/>
      <c r="AU44" s="203"/>
      <c r="AV44" s="203"/>
      <c r="AW44" s="203"/>
      <c r="AX44" s="203"/>
      <c r="AY44" s="203"/>
      <c r="AZ44" s="201"/>
    </row>
    <row r="45" spans="1:52" s="177" customFormat="1" ht="17.25" customHeight="1" x14ac:dyDescent="0.2">
      <c r="A45" s="289">
        <f t="shared" si="5"/>
        <v>15</v>
      </c>
      <c r="B45" s="228" t="s">
        <v>426</v>
      </c>
      <c r="C45" s="228">
        <v>149</v>
      </c>
      <c r="D45" s="228" t="s">
        <v>72</v>
      </c>
      <c r="E45" s="191" t="s">
        <v>43</v>
      </c>
      <c r="F45" s="191" t="s">
        <v>142</v>
      </c>
      <c r="G45" s="191" t="s">
        <v>4</v>
      </c>
      <c r="H45" s="191" t="s">
        <v>41</v>
      </c>
      <c r="I45" s="191" t="s">
        <v>43</v>
      </c>
      <c r="J45" s="191" t="s">
        <v>142</v>
      </c>
      <c r="K45" s="191" t="s">
        <v>4</v>
      </c>
      <c r="L45" s="191" t="s">
        <v>41</v>
      </c>
      <c r="M45" s="191" t="s">
        <v>43</v>
      </c>
      <c r="N45" s="191" t="s">
        <v>142</v>
      </c>
      <c r="O45" s="191" t="s">
        <v>4</v>
      </c>
      <c r="P45" s="191" t="s">
        <v>41</v>
      </c>
      <c r="Q45" s="191" t="s">
        <v>43</v>
      </c>
      <c r="R45" s="191" t="s">
        <v>142</v>
      </c>
      <c r="S45" s="191" t="s">
        <v>4</v>
      </c>
      <c r="T45" s="191" t="s">
        <v>41</v>
      </c>
      <c r="U45" s="191" t="s">
        <v>43</v>
      </c>
      <c r="V45" s="191" t="s">
        <v>142</v>
      </c>
      <c r="W45" s="191" t="s">
        <v>4</v>
      </c>
      <c r="X45" s="191" t="s">
        <v>41</v>
      </c>
      <c r="Y45" s="191" t="s">
        <v>43</v>
      </c>
      <c r="Z45" s="191" t="s">
        <v>142</v>
      </c>
      <c r="AA45" s="191" t="s">
        <v>4</v>
      </c>
      <c r="AB45" s="191" t="s">
        <v>41</v>
      </c>
      <c r="AC45" s="191" t="s">
        <v>43</v>
      </c>
      <c r="AD45" s="191" t="s">
        <v>142</v>
      </c>
      <c r="AE45" s="191" t="s">
        <v>4</v>
      </c>
      <c r="AF45" s="191" t="s">
        <v>41</v>
      </c>
      <c r="AG45" s="191"/>
      <c r="AH45" s="191"/>
      <c r="AI45" s="191"/>
      <c r="AJ45" s="213">
        <f>IFERROR(COUNTIF(E45:AI45,"=Р")+COUNTIF(E45:AI45,"=Р1")+COUNTIF(E45:AI45,"=ВЧ")+COUNTIF(E45:AI45,"=РН")+COUNTIF(E45:AI45,"=Р2")+COUNTIF(E45:AI45,"=Р1/РВ")+COUNTIF(E45:AI45,"=Р2/РВ")+COUNTIF(E45:AI45,"=ВЧ/РВ")+COUNTIF(E45:AI45,"=РН/РВ"),0)</f>
        <v>21</v>
      </c>
      <c r="AK45" s="202">
        <f>IFERROR(SUMIF(E45:AI45,"=Р2",E46:AI46)+SUMIF(E45:AI45,"=ВЧ/РВ",E46:AI46)+SUMIF(E45:AI45,"=РН/РВ",E46:AI46)+SUMIF(E45:AI45,"=Р1/РВ",E46:AI46)+SUMIF(E45:AI45,"=ВЧ2/РВ",E46:AI46)+SUMIF(E45:AI45,"=Р2/РВ",E46:AI46)+SUMIF(E45:AI45,"=Р",E46:AI46)+SUMIF(E45:AI45,"=Р1",E46:AI46)+SUMIF(E45:AI45,"=ВЧ1",E46:AI46)+SUMIF(E45:AI45,"=РН",E46:AI46)+SUMIF(E45:AI45,"=ВЧ",E46:AI46),0)+AL45</f>
        <v>164</v>
      </c>
      <c r="AL45" s="202">
        <f>IFERROR(SUMIF(E45:AI45,"=НУ",E46:AI46),0)</f>
        <v>0</v>
      </c>
      <c r="AM45" s="202">
        <f>IFERROR(SUMIF(E45:AI45,"=РН",E46:AI46)+SUMIF(E45:AI45,"=РН/РВ",E46:AI46)+SUMIFS(E46:AI46,E45:AI45,"=Р2",E46:AI46,"=8"),0)</f>
        <v>56</v>
      </c>
      <c r="AN45" s="211">
        <f>IFERROR(SUMIF(E45:AI45,"=ВЧ",E46:AI46)+SUMIF(E45:AI45,"=ВЧ/РВ",E46:AI46)+CEILING(COUNTIFS(E45:AI45,"=Р2",E46:AI46,"=7")*4,1)+CEILING(COUNTIFS(E45:AI45,"=Р2/РВ",E46:AI46,"=7")*4,1)+SUMIFS(E46:AI46,E45:AI45,"=Р1/РВ",E46:AI46,"=12")/6+SUMIFS(E46:AI46,E45:AI45,"=ВЧ2/РВ",E46:AI46,"=4")/2+SUMIFS(E46:AI46,E45:AI45,"=Р1",E46:AI46,"=12")/6+SUMIFS(E46:AI46,E45:AI45,"=Р1",E46:AI46,"=8")/4+SUMIF(E45:AI45,"=ВЧ1",E46:AI46)/2,0)</f>
        <v>28</v>
      </c>
      <c r="AO45" s="202">
        <f>IFERROR(SUMIF(E45:AI45,"=РВ",E46:AI46)+SUMIF(E45:AI45,"=ВЧ/РВ",E46:AI46)+SUMIF(E45:AI45,"=РН/РВ",E46:AI46)+SUMIF(E45:AI45,"=Р1/РВ",E46:AI46)+SUMIF(E45:AI45,"=ВЧ2/РВ",E46:AI46)+SUMIF(E45:AI45,"=Р2/РВ",E46:AI46),0)</f>
        <v>0</v>
      </c>
      <c r="AP45" s="202">
        <f>IFERROR(COUNTIF(E45:AI45,"=ВВ")+COUNTIF(E45:AI45,"=Р1/ВВ")+COUNTIF(E45:AI45,"=РН/ВВ")+COUNTIF(E45:AI45,"=ВЧ/ВВ"),0)</f>
        <v>7</v>
      </c>
      <c r="AQ45" s="202">
        <f>SUM(AR45:AZ45)</f>
        <v>0</v>
      </c>
      <c r="AR45" s="202">
        <f>IFERROR(SUMIF(E45:AI45,"=В",E46:AI46)+SUMIF(E45:AI45,"=Ч",E46:AI46)+SUMIF(E45:AI45,"=ВБ",E46:AI46),0)</f>
        <v>0</v>
      </c>
      <c r="AS45" s="202">
        <f>IFERROR(SUMIF(E45:AI45,"=Н",E46:AI46),0)</f>
        <v>0</v>
      </c>
      <c r="AT45" s="202">
        <f>IFERROR(SUMIF(E45:AI45,"=НА",E46:AI46),0)</f>
        <v>0</v>
      </c>
      <c r="AU45" s="202">
        <f>IFERROR(SUMIF(E45:AI45,"=ВП",E46:AI46),0)</f>
        <v>0</v>
      </c>
      <c r="AV45" s="202">
        <f>IFERROR(SUMIF(E45:AI45,"=ДД",E46:AI46),0)</f>
        <v>0</v>
      </c>
      <c r="AW45" s="202">
        <f>IFERROR(SUMIF(E45:AI45,"=ДО",E46:AI46),0)</f>
        <v>0</v>
      </c>
      <c r="AX45" s="202">
        <f>IFERROR(SUMIF(E45:AI45,"=ТН",E46:AI46),0)</f>
        <v>0</v>
      </c>
      <c r="AY45" s="202">
        <f>IFERROR(SUMIF(E45:AI45,"=ВД",E46:AI46),0)</f>
        <v>0</v>
      </c>
      <c r="AZ45" s="200">
        <f>IFERROR(SUMIF(E45:AI45,"=ІН",E46:AI46),0)+SUMIF(E45:AI45,"=НЗ",E46:AI46)</f>
        <v>0</v>
      </c>
    </row>
    <row r="46" spans="1:52" s="177" customFormat="1" ht="20.100000000000001" customHeight="1" thickBot="1" x14ac:dyDescent="0.25">
      <c r="A46" s="290"/>
      <c r="B46" s="229"/>
      <c r="C46" s="229"/>
      <c r="D46" s="229"/>
      <c r="E46" s="192">
        <v>8</v>
      </c>
      <c r="F46" s="192"/>
      <c r="G46" s="192">
        <v>8</v>
      </c>
      <c r="H46" s="192">
        <v>4</v>
      </c>
      <c r="I46" s="192">
        <v>8</v>
      </c>
      <c r="J46" s="192"/>
      <c r="K46" s="192">
        <v>12</v>
      </c>
      <c r="L46" s="192">
        <v>4</v>
      </c>
      <c r="M46" s="192">
        <v>8</v>
      </c>
      <c r="N46" s="192"/>
      <c r="O46" s="192">
        <v>12</v>
      </c>
      <c r="P46" s="192">
        <v>4</v>
      </c>
      <c r="Q46" s="192">
        <v>8</v>
      </c>
      <c r="R46" s="192"/>
      <c r="S46" s="192">
        <v>12</v>
      </c>
      <c r="T46" s="192">
        <v>4</v>
      </c>
      <c r="U46" s="192">
        <v>8</v>
      </c>
      <c r="V46" s="192"/>
      <c r="W46" s="192">
        <v>12</v>
      </c>
      <c r="X46" s="192">
        <v>4</v>
      </c>
      <c r="Y46" s="192">
        <v>8</v>
      </c>
      <c r="Z46" s="192"/>
      <c r="AA46" s="192">
        <v>12</v>
      </c>
      <c r="AB46" s="192">
        <v>4</v>
      </c>
      <c r="AC46" s="192">
        <v>8</v>
      </c>
      <c r="AD46" s="192"/>
      <c r="AE46" s="192">
        <v>12</v>
      </c>
      <c r="AF46" s="192">
        <v>4</v>
      </c>
      <c r="AG46" s="192" t="s">
        <v>491</v>
      </c>
      <c r="AH46" s="192" t="s">
        <v>492</v>
      </c>
      <c r="AI46" s="192" t="s">
        <v>493</v>
      </c>
      <c r="AJ46" s="214"/>
      <c r="AK46" s="203"/>
      <c r="AL46" s="203"/>
      <c r="AM46" s="203"/>
      <c r="AN46" s="212"/>
      <c r="AO46" s="203"/>
      <c r="AP46" s="203"/>
      <c r="AQ46" s="203"/>
      <c r="AR46" s="203"/>
      <c r="AS46" s="203"/>
      <c r="AT46" s="203"/>
      <c r="AU46" s="203"/>
      <c r="AV46" s="203"/>
      <c r="AW46" s="203"/>
      <c r="AX46" s="203"/>
      <c r="AY46" s="203"/>
      <c r="AZ46" s="201"/>
    </row>
    <row r="47" spans="1:52" ht="18" customHeight="1" x14ac:dyDescent="0.2">
      <c r="A47" s="289">
        <f t="shared" si="5"/>
        <v>16</v>
      </c>
      <c r="B47" s="228" t="s">
        <v>211</v>
      </c>
      <c r="C47" s="228">
        <v>42</v>
      </c>
      <c r="D47" s="228" t="s">
        <v>65</v>
      </c>
      <c r="E47" s="191" t="s">
        <v>142</v>
      </c>
      <c r="F47" s="191" t="s">
        <v>142</v>
      </c>
      <c r="G47" s="191" t="s">
        <v>4</v>
      </c>
      <c r="H47" s="191" t="s">
        <v>4</v>
      </c>
      <c r="I47" s="191" t="s">
        <v>4</v>
      </c>
      <c r="J47" s="191" t="s">
        <v>4</v>
      </c>
      <c r="K47" s="191" t="s">
        <v>4</v>
      </c>
      <c r="L47" s="191" t="s">
        <v>142</v>
      </c>
      <c r="M47" s="191" t="s">
        <v>142</v>
      </c>
      <c r="N47" s="191" t="s">
        <v>4</v>
      </c>
      <c r="O47" s="191" t="s">
        <v>4</v>
      </c>
      <c r="P47" s="191" t="s">
        <v>4</v>
      </c>
      <c r="Q47" s="191" t="s">
        <v>4</v>
      </c>
      <c r="R47" s="191" t="s">
        <v>4</v>
      </c>
      <c r="S47" s="191" t="s">
        <v>142</v>
      </c>
      <c r="T47" s="191" t="s">
        <v>142</v>
      </c>
      <c r="U47" s="191" t="s">
        <v>4</v>
      </c>
      <c r="V47" s="191" t="s">
        <v>4</v>
      </c>
      <c r="W47" s="191" t="s">
        <v>4</v>
      </c>
      <c r="X47" s="191" t="s">
        <v>4</v>
      </c>
      <c r="Y47" s="191" t="s">
        <v>4</v>
      </c>
      <c r="Z47" s="191" t="s">
        <v>142</v>
      </c>
      <c r="AA47" s="191" t="s">
        <v>142</v>
      </c>
      <c r="AB47" s="191" t="s">
        <v>4</v>
      </c>
      <c r="AC47" s="191" t="s">
        <v>4</v>
      </c>
      <c r="AD47" s="191" t="s">
        <v>4</v>
      </c>
      <c r="AE47" s="191" t="s">
        <v>4</v>
      </c>
      <c r="AF47" s="191" t="s">
        <v>4</v>
      </c>
      <c r="AG47" s="191" t="s">
        <v>142</v>
      </c>
      <c r="AH47" s="191" t="s">
        <v>142</v>
      </c>
      <c r="AI47" s="191" t="s">
        <v>4</v>
      </c>
      <c r="AJ47" s="213">
        <f>IFERROR(COUNTIF(E47:AI47,"=Р")+COUNTIF(E47:AI47,"=Р1")+COUNTIF(E47:AI47,"=ВЧ")+COUNTIF(E47:AI47,"=РН")+COUNTIF(E47:AI47,"=Р2")+COUNTIF(E47:AI47,"=Р1/РВ")+COUNTIF(E47:AI47,"=Р2/РВ")+COUNTIF(E47:AI47,"=ВЧ/РВ")+COUNTIF(E47:AI47,"=РН/РВ"),0)</f>
        <v>21</v>
      </c>
      <c r="AK47" s="202">
        <f>IFERROR(SUMIF(E47:AI47,"=Р2",E48:AI48)+SUMIF(E47:AI47,"=ВЧ/РВ",E48:AI48)+SUMIF(E47:AI47,"=РН/РВ",E48:AI48)+SUMIF(E47:AI47,"=Р1/РВ",E48:AI48)+SUMIF(E47:AI47,"=ВЧ2/РВ",E48:AI48)+SUMIF(E47:AI47,"=Р2/РВ",E48:AI48)+SUMIF(E47:AI47,"=Р",E48:AI48)+SUMIF(E47:AI47,"=Р1",E48:AI48)+SUMIF(E47:AI47,"=ВЧ1",E48:AI48)+SUMIF(E47:AI47,"=РН",E48:AI48)+SUMIF(E47:AI47,"=ВЧ",E48:AI48),0)+AL47</f>
        <v>167.99999999999997</v>
      </c>
      <c r="AL47" s="202">
        <f>IFERROR(SUMIF(E47:AI47,"=НУ",E48:AI48),0)</f>
        <v>0</v>
      </c>
      <c r="AM47" s="202">
        <f>IFERROR(SUMIF(E47:AI47,"=РН",E48:AI48)+SUMIF(E47:AI47,"=РН/РВ",E48:AI48)+SUMIFS(E48:AI48,E47:AI47,"=Р2",E48:AI48,"=8"),0)</f>
        <v>0</v>
      </c>
      <c r="AN47" s="211">
        <f t="shared" si="2"/>
        <v>0</v>
      </c>
      <c r="AO47" s="202">
        <f>IFERROR(SUMIF(E47:AI47,"=РВ",E48:AI48)+SUMIF(E47:AI47,"=ВЧ/РВ",E48:AI48)+SUMIF(E47:AI47,"=РН/РВ",E48:AI48)+SUMIF(E47:AI47,"=Р1/РВ",E48:AI48)+SUMIF(E47:AI47,"=ВЧ2/РВ",E48:AI48)+SUMIF(E47:AI47,"=Р2/РВ",E48:AI48),0)</f>
        <v>0</v>
      </c>
      <c r="AP47" s="202">
        <f t="shared" si="3"/>
        <v>10</v>
      </c>
      <c r="AQ47" s="202">
        <f>SUM(AR47:AZ47)</f>
        <v>0</v>
      </c>
      <c r="AR47" s="202">
        <f>IFERROR(SUMIF(E47:AI47,"=В",E48:AI48)+SUMIF(E47:AI47,"=Ч",E48:AI48)+SUMIF(E47:AI47,"=ВБ",E48:AI48),0)</f>
        <v>0</v>
      </c>
      <c r="AS47" s="202">
        <f>IFERROR(SUMIF(E47:AI47,"=Н",E48:AI48),0)</f>
        <v>0</v>
      </c>
      <c r="AT47" s="202">
        <f>IFERROR(SUMIF(E47:AI47,"=НА",E48:AI48),0)</f>
        <v>0</v>
      </c>
      <c r="AU47" s="202">
        <f>IFERROR(SUMIF(E47:AI47,"=ВП",E48:AI48),0)</f>
        <v>0</v>
      </c>
      <c r="AV47" s="202">
        <f>IFERROR(SUMIF(E47:AI47,"=ДД",E48:AI48),0)</f>
        <v>0</v>
      </c>
      <c r="AW47" s="202">
        <f>IFERROR(SUMIF(E47:AI47,"=ДО",E48:AI48),0)</f>
        <v>0</v>
      </c>
      <c r="AX47" s="202">
        <f>IFERROR(SUMIF(E47:AI47,"=ТН",E48:AI48),0)</f>
        <v>0</v>
      </c>
      <c r="AY47" s="202">
        <f>IFERROR(SUMIF(E47:AI47,"=ВД",E48:AI48),0)</f>
        <v>0</v>
      </c>
      <c r="AZ47" s="200">
        <f>IFERROR(SUMIF(E47:AI47,"=ІН",E48:AI48),0)+SUMIF(E47:AI47,"=НЗ",E48:AI48)</f>
        <v>0</v>
      </c>
    </row>
    <row r="48" spans="1:52" ht="20.100000000000001" customHeight="1" thickBot="1" x14ac:dyDescent="0.25">
      <c r="A48" s="290"/>
      <c r="B48" s="229"/>
      <c r="C48" s="229"/>
      <c r="D48" s="229"/>
      <c r="E48" s="192"/>
      <c r="F48" s="192"/>
      <c r="G48" s="192">
        <v>8.1999999999999993</v>
      </c>
      <c r="H48" s="192">
        <v>8.1999999999999993</v>
      </c>
      <c r="I48" s="192">
        <v>8.1999999999999993</v>
      </c>
      <c r="J48" s="192">
        <v>8.1999999999999993</v>
      </c>
      <c r="K48" s="192">
        <v>7</v>
      </c>
      <c r="L48" s="192"/>
      <c r="M48" s="192"/>
      <c r="N48" s="192">
        <v>8.1999999999999993</v>
      </c>
      <c r="O48" s="192">
        <v>8.1999999999999993</v>
      </c>
      <c r="P48" s="192">
        <v>8.1999999999999993</v>
      </c>
      <c r="Q48" s="192">
        <v>8.1999999999999993</v>
      </c>
      <c r="R48" s="192">
        <v>7.2</v>
      </c>
      <c r="S48" s="192"/>
      <c r="T48" s="192"/>
      <c r="U48" s="192">
        <v>8.1999999999999993</v>
      </c>
      <c r="V48" s="192">
        <v>8.1999999999999993</v>
      </c>
      <c r="W48" s="192">
        <v>8.1999999999999993</v>
      </c>
      <c r="X48" s="192">
        <v>8.1999999999999993</v>
      </c>
      <c r="Y48" s="192">
        <v>7.2</v>
      </c>
      <c r="Z48" s="192"/>
      <c r="AA48" s="192"/>
      <c r="AB48" s="192">
        <v>8.1999999999999993</v>
      </c>
      <c r="AC48" s="192">
        <v>8.1999999999999993</v>
      </c>
      <c r="AD48" s="192">
        <v>8.1999999999999993</v>
      </c>
      <c r="AE48" s="192">
        <v>8.1999999999999993</v>
      </c>
      <c r="AF48" s="192">
        <v>7.2</v>
      </c>
      <c r="AG48" s="192"/>
      <c r="AH48" s="192"/>
      <c r="AI48" s="192">
        <v>8.1999999999999993</v>
      </c>
      <c r="AJ48" s="214"/>
      <c r="AK48" s="203"/>
      <c r="AL48" s="203"/>
      <c r="AM48" s="203"/>
      <c r="AN48" s="212"/>
      <c r="AO48" s="203"/>
      <c r="AP48" s="203"/>
      <c r="AQ48" s="203"/>
      <c r="AR48" s="203"/>
      <c r="AS48" s="203"/>
      <c r="AT48" s="203"/>
      <c r="AU48" s="203"/>
      <c r="AV48" s="203"/>
      <c r="AW48" s="203"/>
      <c r="AX48" s="203"/>
      <c r="AY48" s="203"/>
      <c r="AZ48" s="201"/>
    </row>
    <row r="49" spans="1:52" ht="20.100000000000001" customHeight="1" x14ac:dyDescent="0.2">
      <c r="A49" s="289">
        <f t="shared" si="5"/>
        <v>17</v>
      </c>
      <c r="B49" s="228" t="s">
        <v>212</v>
      </c>
      <c r="C49" s="228">
        <v>1910</v>
      </c>
      <c r="D49" s="228" t="s">
        <v>65</v>
      </c>
      <c r="E49" s="191" t="s">
        <v>142</v>
      </c>
      <c r="F49" s="191" t="s">
        <v>142</v>
      </c>
      <c r="G49" s="191" t="s">
        <v>4</v>
      </c>
      <c r="H49" s="191" t="s">
        <v>4</v>
      </c>
      <c r="I49" s="191" t="s">
        <v>4</v>
      </c>
      <c r="J49" s="191" t="s">
        <v>4</v>
      </c>
      <c r="K49" s="191" t="s">
        <v>4</v>
      </c>
      <c r="L49" s="191" t="s">
        <v>142</v>
      </c>
      <c r="M49" s="191" t="s">
        <v>142</v>
      </c>
      <c r="N49" s="191" t="s">
        <v>4</v>
      </c>
      <c r="O49" s="191" t="s">
        <v>4</v>
      </c>
      <c r="P49" s="191" t="s">
        <v>4</v>
      </c>
      <c r="Q49" s="191" t="s">
        <v>4</v>
      </c>
      <c r="R49" s="191" t="s">
        <v>4</v>
      </c>
      <c r="S49" s="191" t="s">
        <v>142</v>
      </c>
      <c r="T49" s="191" t="s">
        <v>142</v>
      </c>
      <c r="U49" s="191" t="s">
        <v>4</v>
      </c>
      <c r="V49" s="191" t="s">
        <v>4</v>
      </c>
      <c r="W49" s="191" t="s">
        <v>4</v>
      </c>
      <c r="X49" s="191" t="s">
        <v>4</v>
      </c>
      <c r="Y49" s="191" t="s">
        <v>4</v>
      </c>
      <c r="Z49" s="191" t="s">
        <v>142</v>
      </c>
      <c r="AA49" s="191" t="s">
        <v>142</v>
      </c>
      <c r="AB49" s="191" t="s">
        <v>4</v>
      </c>
      <c r="AC49" s="191" t="s">
        <v>4</v>
      </c>
      <c r="AD49" s="191" t="s">
        <v>4</v>
      </c>
      <c r="AE49" s="191" t="s">
        <v>4</v>
      </c>
      <c r="AF49" s="191" t="s">
        <v>4</v>
      </c>
      <c r="AG49" s="191" t="s">
        <v>142</v>
      </c>
      <c r="AH49" s="191" t="s">
        <v>142</v>
      </c>
      <c r="AI49" s="191" t="s">
        <v>4</v>
      </c>
      <c r="AJ49" s="213">
        <f>IFERROR(COUNTIF(E49:AI49,"=Р")+COUNTIF(E49:AI49,"=Р1")+COUNTIF(E49:AI49,"=ВЧ")+COUNTIF(E49:AI49,"=РН")+COUNTIF(E49:AI49,"=Р2")+COUNTIF(E49:AI49,"=Р1/РВ")+COUNTIF(E49:AI49,"=Р2/РВ")+COUNTIF(E49:AI49,"=ВЧ/РВ")+COUNTIF(E49:AI49,"=РН/РВ"),0)</f>
        <v>21</v>
      </c>
      <c r="AK49" s="202">
        <f>IFERROR(SUMIF(E49:AI49,"=Р2",E50:AI50)+SUMIF(E49:AI49,"=ВЧ/РВ",E50:AI50)+SUMIF(E49:AI49,"=РН/РВ",E50:AI50)+SUMIF(E49:AI49,"=Р1/РВ",E50:AI50)+SUMIF(E49:AI49,"=ВЧ2/РВ",E50:AI50)+SUMIF(E49:AI49,"=Р2/РВ",E50:AI50)+SUMIF(E49:AI49,"=Р",E50:AI50)+SUMIF(E49:AI49,"=Р1",E50:AI50)+SUMIF(E49:AI49,"=ВЧ1",E50:AI50)+SUMIF(E49:AI49,"=РН",E50:AI50)+SUMIF(E49:AI49,"=ВЧ",E50:AI50),0)+AL49</f>
        <v>167.99999999999997</v>
      </c>
      <c r="AL49" s="202">
        <f>IFERROR(SUMIF(E49:AI49,"=НУ",E50:AI50),0)</f>
        <v>0</v>
      </c>
      <c r="AM49" s="202">
        <f>IFERROR(SUMIF(E49:AI49,"=РН",E50:AI50)+SUMIF(E49:AI49,"=РН/РВ",E50:AI50)+SUMIFS(E50:AI50,E49:AI49,"=Р2",E50:AI50,"=8"),0)</f>
        <v>0</v>
      </c>
      <c r="AN49" s="211">
        <f t="shared" si="2"/>
        <v>0</v>
      </c>
      <c r="AO49" s="202">
        <f>IFERROR(SUMIF(E49:AI49,"=РВ",E50:AI50)+SUMIF(E49:AI49,"=ВЧ/РВ",E50:AI50)+SUMIF(E49:AI49,"=РН/РВ",E50:AI50)+SUMIF(E49:AI49,"=Р1/РВ",E50:AI50)+SUMIF(E49:AI49,"=ВЧ2/РВ",E50:AI50)+SUMIF(E49:AI49,"=Р2/РВ",E50:AI50),0)</f>
        <v>0</v>
      </c>
      <c r="AP49" s="202">
        <f t="shared" si="3"/>
        <v>10</v>
      </c>
      <c r="AQ49" s="202">
        <f>SUM(AR49:AZ49)</f>
        <v>0</v>
      </c>
      <c r="AR49" s="202">
        <f>IFERROR(SUMIF(E49:AI49,"=В",E50:AI50)+SUMIF(E49:AI49,"=Ч",E50:AI50)+SUMIF(E49:AI49,"=ВБ",E50:AI50),0)</f>
        <v>0</v>
      </c>
      <c r="AS49" s="202">
        <f>IFERROR(SUMIF(E49:AI49,"=Н",E50:AI50),0)</f>
        <v>0</v>
      </c>
      <c r="AT49" s="202">
        <f>IFERROR(SUMIF(E49:AI49,"=НА",E50:AI50),0)</f>
        <v>0</v>
      </c>
      <c r="AU49" s="202">
        <f>IFERROR(SUMIF(E49:AI49,"=ВП",E50:AI50),0)</f>
        <v>0</v>
      </c>
      <c r="AV49" s="202">
        <f>IFERROR(SUMIF(E49:AI49,"=ДД",E50:AI50),0)</f>
        <v>0</v>
      </c>
      <c r="AW49" s="202">
        <f>IFERROR(SUMIF(E49:AI49,"=ДО",E50:AI50),0)</f>
        <v>0</v>
      </c>
      <c r="AX49" s="202">
        <f>IFERROR(SUMIF(E49:AI49,"=ТН",E50:AI50),0)</f>
        <v>0</v>
      </c>
      <c r="AY49" s="202">
        <f>IFERROR(SUMIF(E49:AI49,"=ВД",E50:AI50),0)</f>
        <v>0</v>
      </c>
      <c r="AZ49" s="200">
        <f>IFERROR(SUMIF(E49:AI49,"=ІН",E50:AI50),0)+SUMIF(E49:AI49,"=НЗ",E50:AI50)</f>
        <v>0</v>
      </c>
    </row>
    <row r="50" spans="1:52" ht="20.100000000000001" customHeight="1" thickBot="1" x14ac:dyDescent="0.25">
      <c r="A50" s="290"/>
      <c r="B50" s="229"/>
      <c r="C50" s="229"/>
      <c r="D50" s="229"/>
      <c r="E50" s="192"/>
      <c r="F50" s="192"/>
      <c r="G50" s="192">
        <v>8.1999999999999993</v>
      </c>
      <c r="H50" s="192">
        <v>8.1999999999999993</v>
      </c>
      <c r="I50" s="192">
        <v>8.1999999999999993</v>
      </c>
      <c r="J50" s="192">
        <v>8.1999999999999993</v>
      </c>
      <c r="K50" s="192">
        <v>7</v>
      </c>
      <c r="L50" s="192"/>
      <c r="M50" s="192"/>
      <c r="N50" s="192">
        <v>8.1999999999999993</v>
      </c>
      <c r="O50" s="192">
        <v>8.1999999999999993</v>
      </c>
      <c r="P50" s="192">
        <v>8.1999999999999993</v>
      </c>
      <c r="Q50" s="192">
        <v>8.1999999999999993</v>
      </c>
      <c r="R50" s="192">
        <v>7.2</v>
      </c>
      <c r="S50" s="192"/>
      <c r="T50" s="192"/>
      <c r="U50" s="192">
        <v>8.1999999999999993</v>
      </c>
      <c r="V50" s="192">
        <v>8.1999999999999993</v>
      </c>
      <c r="W50" s="192">
        <v>8.1999999999999993</v>
      </c>
      <c r="X50" s="192">
        <v>8.1999999999999993</v>
      </c>
      <c r="Y50" s="192">
        <v>7.2</v>
      </c>
      <c r="Z50" s="192"/>
      <c r="AA50" s="192"/>
      <c r="AB50" s="192">
        <v>8.1999999999999993</v>
      </c>
      <c r="AC50" s="192">
        <v>8.1999999999999993</v>
      </c>
      <c r="AD50" s="192">
        <v>8.1999999999999993</v>
      </c>
      <c r="AE50" s="192">
        <v>8.1999999999999993</v>
      </c>
      <c r="AF50" s="192">
        <v>7.2</v>
      </c>
      <c r="AG50" s="192"/>
      <c r="AH50" s="192"/>
      <c r="AI50" s="192">
        <v>8.1999999999999993</v>
      </c>
      <c r="AJ50" s="214"/>
      <c r="AK50" s="203"/>
      <c r="AL50" s="203"/>
      <c r="AM50" s="203"/>
      <c r="AN50" s="212"/>
      <c r="AO50" s="203"/>
      <c r="AP50" s="203"/>
      <c r="AQ50" s="203"/>
      <c r="AR50" s="203"/>
      <c r="AS50" s="203"/>
      <c r="AT50" s="203"/>
      <c r="AU50" s="203"/>
      <c r="AV50" s="203"/>
      <c r="AW50" s="203"/>
      <c r="AX50" s="203"/>
      <c r="AY50" s="203"/>
      <c r="AZ50" s="201"/>
    </row>
    <row r="51" spans="1:52" s="176" customFormat="1" ht="15.75" customHeight="1" x14ac:dyDescent="0.2">
      <c r="A51" s="289">
        <f t="shared" si="5"/>
        <v>18</v>
      </c>
      <c r="B51" s="228" t="s">
        <v>365</v>
      </c>
      <c r="C51" s="228">
        <v>1828</v>
      </c>
      <c r="D51" s="228" t="s">
        <v>72</v>
      </c>
      <c r="E51" s="191" t="s">
        <v>142</v>
      </c>
      <c r="F51" s="191" t="s">
        <v>4</v>
      </c>
      <c r="G51" s="191" t="s">
        <v>41</v>
      </c>
      <c r="H51" s="191" t="s">
        <v>43</v>
      </c>
      <c r="I51" s="191" t="s">
        <v>142</v>
      </c>
      <c r="J51" s="191" t="s">
        <v>4</v>
      </c>
      <c r="K51" s="191" t="s">
        <v>41</v>
      </c>
      <c r="L51" s="191" t="s">
        <v>43</v>
      </c>
      <c r="M51" s="191" t="s">
        <v>142</v>
      </c>
      <c r="N51" s="191" t="s">
        <v>4</v>
      </c>
      <c r="O51" s="191" t="s">
        <v>41</v>
      </c>
      <c r="P51" s="191" t="s">
        <v>43</v>
      </c>
      <c r="Q51" s="191" t="s">
        <v>142</v>
      </c>
      <c r="R51" s="191" t="s">
        <v>4</v>
      </c>
      <c r="S51" s="191" t="s">
        <v>41</v>
      </c>
      <c r="T51" s="191" t="s">
        <v>43</v>
      </c>
      <c r="U51" s="191" t="s">
        <v>142</v>
      </c>
      <c r="V51" s="191" t="s">
        <v>4</v>
      </c>
      <c r="W51" s="191" t="s">
        <v>41</v>
      </c>
      <c r="X51" s="191" t="s">
        <v>43</v>
      </c>
      <c r="Y51" s="191" t="s">
        <v>142</v>
      </c>
      <c r="Z51" s="191" t="s">
        <v>4</v>
      </c>
      <c r="AA51" s="191" t="s">
        <v>41</v>
      </c>
      <c r="AB51" s="191" t="s">
        <v>43</v>
      </c>
      <c r="AC51" s="191" t="s">
        <v>142</v>
      </c>
      <c r="AD51" s="191" t="s">
        <v>4</v>
      </c>
      <c r="AE51" s="191" t="s">
        <v>41</v>
      </c>
      <c r="AF51" s="191" t="s">
        <v>43</v>
      </c>
      <c r="AG51" s="191"/>
      <c r="AH51" s="191"/>
      <c r="AI51" s="191"/>
      <c r="AJ51" s="294">
        <f>IFERROR(COUNTIF(E51:AI51,"=Р")+COUNTIF(E51:AI51,"=Р1")+COUNTIF(E51:AI51,"=ВЧ")+COUNTIF(E51:AI51,"=РН")+COUNTIF(E51:AI51,"=Р2")+COUNTIF(E51:AI51,"=Р1/РВ")+COUNTIF(E51:AI51,"=Р2/РВ")+COUNTIF(E51:AI51,"=ВЧ/РВ")+COUNTIF(E51:AI51,"=РН/РВ"),0)</f>
        <v>21</v>
      </c>
      <c r="AK51" s="211">
        <f>IFERROR(SUMIF(E51:AI51,"=Р2",E52:AI52)+SUMIF(E51:AI51,"=ВЧ/РВ",E52:AI52)+SUMIF(E51:AI51,"=РН/РВ",E52:AI52)+SUMIF(E51:AI51,"=Р1/РВ",E52:AI52)+SUMIF(E51:AI51,"=ВЧ2/РВ",E52:AI52)+SUMIF(E51:AI51,"=Р2/РВ",E52:AI52)+SUMIF(E51:AI51,"=Р",E52:AI52)+SUMIF(E51:AI51,"=Р1",E52:AI52)+SUMIF(E51:AI51,"=ВЧ1",E52:AI52)+SUMIF(E51:AI51,"=РН",E52:AI52)+SUMIF(E51:AI51,"=ВЧ",E52:AI52),0)+AL51</f>
        <v>164</v>
      </c>
      <c r="AL51" s="211">
        <f>IFERROR(SUMIF(E51:AI51,"=НУ",E52:AI52),0)</f>
        <v>0</v>
      </c>
      <c r="AM51" s="211">
        <f>IFERROR(SUMIF(E51:AI51,"=РН",E52:AI52)+SUMIF(E51:AI51,"=РН/РВ",E52:AI52)+SUMIFS(E52:AI52,E51:AI51,"=Р2",E52:AI52,"=8"),0)</f>
        <v>56</v>
      </c>
      <c r="AN51" s="211">
        <f>IFERROR(SUMIF(E51:AI51,"=ВЧ",E52:AI52)+SUMIF(E51:AI51,"=ВЧ/РВ",E52:AI52)+CEILING(COUNTIFS(E51:AI51,"=Р2",E52:AI52,"=7")*4,1)+CEILING(COUNTIFS(E51:AI51,"=Р2/РВ",E52:AI52,"=7")*4,1)+SUMIFS(E52:AI52,E51:AI51,"=Р1/РВ",E52:AI52,"=12")/6+SUMIFS(E52:AI52,E51:AI51,"=ВЧ2/РВ",E52:AI52,"=4")/2+SUMIFS(E52:AI52,E51:AI51,"=Р1",E52:AI52,"=12")/6+SUMIFS(E52:AI52,E51:AI51,"=Р1",E52:AI52,"=8")/4+SUMIF(E51:AI51,"=ВЧ1",E52:AI52)/2,0)</f>
        <v>28</v>
      </c>
      <c r="AO51" s="211">
        <f>IFERROR(SUMIF(E51:AI51,"=РВ",E52:AI52)+SUMIF(E51:AI51,"=ВЧ/РВ",E52:AI52)+SUMIF(E51:AI51,"=РН/РВ",E52:AI52)+SUMIF(E51:AI51,"=Р1/РВ",E52:AI52)+SUMIF(E51:AI51,"=ВЧ2/РВ",E52:AI52)+SUMIF(E51:AI51,"=Р2/РВ",E52:AI52),0)</f>
        <v>0</v>
      </c>
      <c r="AP51" s="211">
        <f>IFERROR(COUNTIF(E51:AI51,"=ВВ")+COUNTIF(E51:AI51,"=Р1/ВВ")+COUNTIF(E51:AI51,"=РН/ВВ")+COUNTIF(E51:AI51,"=ВЧ/ВВ"),0)</f>
        <v>7</v>
      </c>
      <c r="AQ51" s="211">
        <f>SUM(AR51:AZ51)</f>
        <v>0</v>
      </c>
      <c r="AR51" s="211">
        <f>IFERROR(SUMIF(E51:AI51,"=В",E52:AI52)+SUMIF(E51:AI51,"=Ч",E52:AI52)+SUMIF(E51:AI51,"=ВБ",E52:AI52),0)</f>
        <v>0</v>
      </c>
      <c r="AS51" s="211">
        <f>IFERROR(SUMIF(E51:AI51,"=Н",E52:AI52),0)</f>
        <v>0</v>
      </c>
      <c r="AT51" s="211">
        <f>IFERROR(SUMIF(E51:AI51,"=НА",E52:AI52),0)</f>
        <v>0</v>
      </c>
      <c r="AU51" s="211">
        <f>IFERROR(SUMIF(E51:AI51,"=ВП",E52:AI52),0)</f>
        <v>0</v>
      </c>
      <c r="AV51" s="211">
        <f>IFERROR(SUMIF(E51:AI51,"=ДД",E52:AI52),0)</f>
        <v>0</v>
      </c>
      <c r="AW51" s="202">
        <f>IFERROR(SUMIF(E51:AI51,"=ДО",E52:AI52),0)</f>
        <v>0</v>
      </c>
      <c r="AX51" s="211">
        <f>IFERROR(SUMIF(E51:AI51,"=ТН",E52:AI52),0)</f>
        <v>0</v>
      </c>
      <c r="AY51" s="211">
        <f>IFERROR(SUMIF(E51:AI51,"=ВД",E52:AI52),0)</f>
        <v>0</v>
      </c>
      <c r="AZ51" s="312">
        <f>IFERROR(SUMIF(E51:AI51,"=ІН",E52:AI52),0)+SUMIF(E51:AI51,"=НЗ",E52:AI52)</f>
        <v>0</v>
      </c>
    </row>
    <row r="52" spans="1:52" s="176" customFormat="1" ht="20.100000000000001" customHeight="1" thickBot="1" x14ac:dyDescent="0.25">
      <c r="A52" s="290"/>
      <c r="B52" s="229"/>
      <c r="C52" s="229"/>
      <c r="D52" s="229"/>
      <c r="E52" s="192"/>
      <c r="F52" s="192">
        <v>12</v>
      </c>
      <c r="G52" s="192">
        <v>4</v>
      </c>
      <c r="H52" s="192">
        <v>8</v>
      </c>
      <c r="I52" s="192"/>
      <c r="J52" s="192">
        <v>12</v>
      </c>
      <c r="K52" s="192">
        <v>4</v>
      </c>
      <c r="L52" s="192">
        <v>8</v>
      </c>
      <c r="M52" s="192"/>
      <c r="N52" s="192">
        <v>8</v>
      </c>
      <c r="O52" s="192">
        <v>4</v>
      </c>
      <c r="P52" s="192">
        <v>8</v>
      </c>
      <c r="Q52" s="192"/>
      <c r="R52" s="192">
        <v>12</v>
      </c>
      <c r="S52" s="192">
        <v>4</v>
      </c>
      <c r="T52" s="192">
        <v>8</v>
      </c>
      <c r="U52" s="192"/>
      <c r="V52" s="192">
        <v>12</v>
      </c>
      <c r="W52" s="192">
        <v>4</v>
      </c>
      <c r="X52" s="192">
        <v>8</v>
      </c>
      <c r="Y52" s="192"/>
      <c r="Z52" s="192">
        <v>12</v>
      </c>
      <c r="AA52" s="192">
        <v>4</v>
      </c>
      <c r="AB52" s="192">
        <v>8</v>
      </c>
      <c r="AC52" s="192"/>
      <c r="AD52" s="192">
        <v>12</v>
      </c>
      <c r="AE52" s="192">
        <v>4</v>
      </c>
      <c r="AF52" s="192">
        <v>8</v>
      </c>
      <c r="AG52" s="192" t="s">
        <v>491</v>
      </c>
      <c r="AH52" s="192" t="s">
        <v>492</v>
      </c>
      <c r="AI52" s="192" t="s">
        <v>493</v>
      </c>
      <c r="AJ52" s="314"/>
      <c r="AK52" s="212"/>
      <c r="AL52" s="212"/>
      <c r="AM52" s="212"/>
      <c r="AN52" s="212"/>
      <c r="AO52" s="212"/>
      <c r="AP52" s="212"/>
      <c r="AQ52" s="311"/>
      <c r="AR52" s="311"/>
      <c r="AS52" s="311"/>
      <c r="AT52" s="311"/>
      <c r="AU52" s="311"/>
      <c r="AV52" s="311"/>
      <c r="AW52" s="203"/>
      <c r="AX52" s="311"/>
      <c r="AY52" s="311"/>
      <c r="AZ52" s="313"/>
    </row>
    <row r="53" spans="1:52" ht="20.100000000000001" customHeight="1" x14ac:dyDescent="0.2">
      <c r="A53" s="289">
        <f t="shared" si="5"/>
        <v>19</v>
      </c>
      <c r="B53" s="228" t="s">
        <v>214</v>
      </c>
      <c r="C53" s="228">
        <v>968</v>
      </c>
      <c r="D53" s="228" t="s">
        <v>65</v>
      </c>
      <c r="E53" s="191" t="s">
        <v>142</v>
      </c>
      <c r="F53" s="191" t="s">
        <v>142</v>
      </c>
      <c r="G53" s="191" t="s">
        <v>4</v>
      </c>
      <c r="H53" s="191" t="s">
        <v>4</v>
      </c>
      <c r="I53" s="191" t="s">
        <v>51</v>
      </c>
      <c r="J53" s="191" t="s">
        <v>4</v>
      </c>
      <c r="K53" s="191" t="s">
        <v>4</v>
      </c>
      <c r="L53" s="191" t="s">
        <v>142</v>
      </c>
      <c r="M53" s="191" t="s">
        <v>142</v>
      </c>
      <c r="N53" s="191" t="s">
        <v>4</v>
      </c>
      <c r="O53" s="191" t="s">
        <v>4</v>
      </c>
      <c r="P53" s="191" t="s">
        <v>4</v>
      </c>
      <c r="Q53" s="191" t="s">
        <v>4</v>
      </c>
      <c r="R53" s="191" t="s">
        <v>52</v>
      </c>
      <c r="S53" s="191" t="s">
        <v>52</v>
      </c>
      <c r="T53" s="191" t="s">
        <v>52</v>
      </c>
      <c r="U53" s="191" t="s">
        <v>52</v>
      </c>
      <c r="V53" s="191" t="s">
        <v>52</v>
      </c>
      <c r="W53" s="191" t="s">
        <v>52</v>
      </c>
      <c r="X53" s="191" t="s">
        <v>4</v>
      </c>
      <c r="Y53" s="191" t="s">
        <v>4</v>
      </c>
      <c r="Z53" s="191" t="s">
        <v>142</v>
      </c>
      <c r="AA53" s="191" t="s">
        <v>142</v>
      </c>
      <c r="AB53" s="191" t="s">
        <v>4</v>
      </c>
      <c r="AC53" s="191" t="s">
        <v>4</v>
      </c>
      <c r="AD53" s="191" t="s">
        <v>4</v>
      </c>
      <c r="AE53" s="191" t="s">
        <v>4</v>
      </c>
      <c r="AF53" s="191" t="s">
        <v>4</v>
      </c>
      <c r="AG53" s="191" t="s">
        <v>142</v>
      </c>
      <c r="AH53" s="191" t="s">
        <v>142</v>
      </c>
      <c r="AI53" s="191" t="s">
        <v>4</v>
      </c>
      <c r="AJ53" s="213">
        <f>IFERROR(COUNTIF(E53:AI53,"=Р")+COUNTIF(E53:AI53,"=Р1")+COUNTIF(E53:AI53,"=ВЧ")+COUNTIF(E53:AI53,"=РН")+COUNTIF(E53:AI53,"=Р2")+COUNTIF(E53:AI53,"=Р1/РВ")+COUNTIF(E53:AI53,"=Р2/РВ")+COUNTIF(E53:AI53,"=ВЧ/РВ")+COUNTIF(E53:AI53,"=РН/РВ"),0)</f>
        <v>16</v>
      </c>
      <c r="AK53" s="202">
        <f>IFERROR(SUMIF(E53:AI53,"=Р2",E54:AI54)+SUMIF(E53:AI53,"=ВЧ/РВ",E54:AI54)+SUMIF(E53:AI53,"=РН/РВ",E54:AI54)+SUMIF(E53:AI53,"=Р1/РВ",E54:AI54)+SUMIF(E53:AI53,"=ВЧ2/РВ",E54:AI54)+SUMIF(E53:AI53,"=Р2/РВ",E54:AI54)+SUMIF(E53:AI53,"=Р",E54:AI54)+SUMIF(E53:AI53,"=Р1",E54:AI54)+SUMIF(E53:AI53,"=ВЧ1",E54:AI54)+SUMIF(E53:AI53,"=РН",E54:AI54)+SUMIF(E53:AI53,"=ВЧ",E54:AI54),0)+AL53</f>
        <v>128.00000000000003</v>
      </c>
      <c r="AL53" s="202">
        <f>IFERROR(SUMIF(E53:AI53,"=НУ",E54:AI54),0)</f>
        <v>0</v>
      </c>
      <c r="AM53" s="202">
        <f>IFERROR(SUMIF(E53:AI53,"=РН",E54:AI54)+SUMIF(E53:AI53,"=РН/РВ",E54:AI54)+SUMIFS(E54:AI54,E53:AI53,"=Р2",E54:AI54,"=8"),0)</f>
        <v>0</v>
      </c>
      <c r="AN53" s="211">
        <f t="shared" si="2"/>
        <v>0</v>
      </c>
      <c r="AO53" s="202">
        <f>IFERROR(SUMIF(E53:AI53,"=РВ",E54:AI54)+SUMIF(E53:AI53,"=ВЧ/РВ",E54:AI54)+SUMIF(E53:AI53,"=РН/РВ",E54:AI54)+SUMIF(E53:AI53,"=Р1/РВ",E54:AI54)+SUMIF(E53:AI53,"=ВЧ2/РВ",E54:AI54)+SUMIF(E53:AI53,"=Р2/РВ",E54:AI54),0)</f>
        <v>0</v>
      </c>
      <c r="AP53" s="202">
        <f t="shared" si="3"/>
        <v>8</v>
      </c>
      <c r="AQ53" s="202">
        <f>SUM(AR53:AZ53)</f>
        <v>40</v>
      </c>
      <c r="AR53" s="202">
        <f>IFERROR(SUMIF(E53:AI53,"=В",E54:AI54)+SUMIF(E53:AI53,"=Ч",E54:AI54)+SUMIF(E53:AI53,"=ВБ",E54:AI54),0)</f>
        <v>0</v>
      </c>
      <c r="AS53" s="202">
        <f>IFERROR(SUMIF(E53:AI53,"=Н",E54:AI54),0)</f>
        <v>0</v>
      </c>
      <c r="AT53" s="202">
        <f>IFERROR(SUMIF(E53:AI53,"=НА",E54:AI54),0)</f>
        <v>8.1999999999999993</v>
      </c>
      <c r="AU53" s="202">
        <f>IFERROR(SUMIF(E53:AI53,"=ВП",E54:AI54),0)</f>
        <v>0</v>
      </c>
      <c r="AV53" s="202">
        <f>IFERROR(SUMIF(E53:AI53,"=ДД",E54:AI54),0)</f>
        <v>0</v>
      </c>
      <c r="AW53" s="202">
        <f>IFERROR(SUMIF(E53:AI53,"=ДО",E54:AI54),0)</f>
        <v>0</v>
      </c>
      <c r="AX53" s="202">
        <f>IFERROR(SUMIF(E53:AI53,"=ТН",E54:AI54),0)</f>
        <v>31.799999999999997</v>
      </c>
      <c r="AY53" s="202">
        <f>IFERROR(SUMIF(E53:AI53,"=ВД",E54:AI54),0)</f>
        <v>0</v>
      </c>
      <c r="AZ53" s="200">
        <f>IFERROR(SUMIF(E53:AI53,"=ІН",E54:AI54),0)+SUMIF(E53:AI53,"=НЗ",E54:AI54)</f>
        <v>0</v>
      </c>
    </row>
    <row r="54" spans="1:52" ht="20.100000000000001" customHeight="1" thickBot="1" x14ac:dyDescent="0.25">
      <c r="A54" s="290"/>
      <c r="B54" s="229"/>
      <c r="C54" s="229"/>
      <c r="D54" s="229"/>
      <c r="E54" s="192"/>
      <c r="F54" s="192"/>
      <c r="G54" s="192">
        <v>8.1999999999999993</v>
      </c>
      <c r="H54" s="192">
        <v>8.1999999999999993</v>
      </c>
      <c r="I54" s="192">
        <v>8.1999999999999993</v>
      </c>
      <c r="J54" s="192">
        <v>8.1999999999999993</v>
      </c>
      <c r="K54" s="192">
        <v>7</v>
      </c>
      <c r="L54" s="192"/>
      <c r="M54" s="192"/>
      <c r="N54" s="192">
        <v>8.1999999999999993</v>
      </c>
      <c r="O54" s="192">
        <v>8.1999999999999993</v>
      </c>
      <c r="P54" s="192">
        <v>8.1999999999999993</v>
      </c>
      <c r="Q54" s="192">
        <v>8.1999999999999993</v>
      </c>
      <c r="R54" s="192">
        <v>7.2</v>
      </c>
      <c r="S54" s="192"/>
      <c r="T54" s="192"/>
      <c r="U54" s="192">
        <v>8.1999999999999993</v>
      </c>
      <c r="V54" s="192">
        <v>8.1999999999999993</v>
      </c>
      <c r="W54" s="192">
        <v>8.1999999999999993</v>
      </c>
      <c r="X54" s="192">
        <v>8.1999999999999993</v>
      </c>
      <c r="Y54" s="192">
        <v>7.2</v>
      </c>
      <c r="Z54" s="192"/>
      <c r="AA54" s="192"/>
      <c r="AB54" s="192">
        <v>8.1999999999999993</v>
      </c>
      <c r="AC54" s="192">
        <v>8.1999999999999993</v>
      </c>
      <c r="AD54" s="192">
        <v>8.1999999999999993</v>
      </c>
      <c r="AE54" s="192">
        <v>8.1999999999999993</v>
      </c>
      <c r="AF54" s="192">
        <v>7.2</v>
      </c>
      <c r="AG54" s="192"/>
      <c r="AH54" s="192"/>
      <c r="AI54" s="192">
        <v>8.1999999999999993</v>
      </c>
      <c r="AJ54" s="214"/>
      <c r="AK54" s="203"/>
      <c r="AL54" s="203"/>
      <c r="AM54" s="203"/>
      <c r="AN54" s="212"/>
      <c r="AO54" s="203"/>
      <c r="AP54" s="203"/>
      <c r="AQ54" s="203"/>
      <c r="AR54" s="203"/>
      <c r="AS54" s="203"/>
      <c r="AT54" s="203"/>
      <c r="AU54" s="203"/>
      <c r="AV54" s="203"/>
      <c r="AW54" s="203"/>
      <c r="AX54" s="203"/>
      <c r="AY54" s="203"/>
      <c r="AZ54" s="201"/>
    </row>
    <row r="55" spans="1:52" s="171" customFormat="1" ht="21" customHeight="1" x14ac:dyDescent="0.2">
      <c r="A55" s="289">
        <f t="shared" si="5"/>
        <v>20</v>
      </c>
      <c r="B55" s="228" t="s">
        <v>215</v>
      </c>
      <c r="C55" s="228">
        <v>577</v>
      </c>
      <c r="D55" s="228" t="s">
        <v>65</v>
      </c>
      <c r="E55" s="191" t="s">
        <v>142</v>
      </c>
      <c r="F55" s="191" t="s">
        <v>142</v>
      </c>
      <c r="G55" s="191" t="s">
        <v>4</v>
      </c>
      <c r="H55" s="191" t="s">
        <v>4</v>
      </c>
      <c r="I55" s="191" t="s">
        <v>4</v>
      </c>
      <c r="J55" s="191" t="s">
        <v>4</v>
      </c>
      <c r="K55" s="191" t="s">
        <v>4</v>
      </c>
      <c r="L55" s="191" t="s">
        <v>142</v>
      </c>
      <c r="M55" s="191" t="s">
        <v>142</v>
      </c>
      <c r="N55" s="191" t="s">
        <v>4</v>
      </c>
      <c r="O55" s="191" t="s">
        <v>4</v>
      </c>
      <c r="P55" s="191" t="s">
        <v>4</v>
      </c>
      <c r="Q55" s="191" t="s">
        <v>4</v>
      </c>
      <c r="R55" s="191" t="s">
        <v>4</v>
      </c>
      <c r="S55" s="191" t="s">
        <v>142</v>
      </c>
      <c r="T55" s="191" t="s">
        <v>142</v>
      </c>
      <c r="U55" s="191" t="s">
        <v>4</v>
      </c>
      <c r="V55" s="191" t="s">
        <v>4</v>
      </c>
      <c r="W55" s="191" t="s">
        <v>4</v>
      </c>
      <c r="X55" s="191" t="s">
        <v>4</v>
      </c>
      <c r="Y55" s="191" t="s">
        <v>4</v>
      </c>
      <c r="Z55" s="191" t="s">
        <v>142</v>
      </c>
      <c r="AA55" s="191" t="s">
        <v>142</v>
      </c>
      <c r="AB55" s="191" t="s">
        <v>4</v>
      </c>
      <c r="AC55" s="191" t="s">
        <v>4</v>
      </c>
      <c r="AD55" s="191" t="s">
        <v>4</v>
      </c>
      <c r="AE55" s="191" t="s">
        <v>4</v>
      </c>
      <c r="AF55" s="191" t="s">
        <v>4</v>
      </c>
      <c r="AG55" s="191" t="s">
        <v>142</v>
      </c>
      <c r="AH55" s="191" t="s">
        <v>142</v>
      </c>
      <c r="AI55" s="191" t="s">
        <v>4</v>
      </c>
      <c r="AJ55" s="213">
        <f>IFERROR(COUNTIF(E55:AI55,"=Р")+COUNTIF(E55:AI55,"=Р1")+COUNTIF(E55:AI55,"=ВЧ")+COUNTIF(E55:AI55,"=РН")+COUNTIF(E55:AI55,"=Р2")+COUNTIF(E55:AI55,"=Р1/РВ")+COUNTIF(E55:AI55,"=Р2/РВ")+COUNTIF(E55:AI55,"=ВЧ/РВ")+COUNTIF(E55:AI55,"=РН/РВ"),0)</f>
        <v>21</v>
      </c>
      <c r="AK55" s="202">
        <f>IFERROR(SUMIF(E55:AI55,"=Р2",E56:AI56)+SUMIF(E55:AI55,"=ВЧ/РВ",E56:AI56)+SUMIF(E55:AI55,"=РН/РВ",E56:AI56)+SUMIF(E55:AI55,"=Р1/РВ",E56:AI56)+SUMIF(E55:AI55,"=ВЧ2/РВ",E56:AI56)+SUMIF(E55:AI55,"=Р2/РВ",E56:AI56)+SUMIF(E55:AI55,"=Р",E56:AI56)+SUMIF(E55:AI55,"=Р1",E56:AI56)+SUMIF(E55:AI55,"=ВЧ1",E56:AI56)+SUMIF(E55:AI55,"=РН",E56:AI56)+SUMIF(E55:AI55,"=ВЧ",E56:AI56),0)+AL55</f>
        <v>167.99999999999997</v>
      </c>
      <c r="AL55" s="202">
        <f>IFERROR(SUMIF(E55:AI55,"=НУ",E56:AI56),0)</f>
        <v>0</v>
      </c>
      <c r="AM55" s="202">
        <f>IFERROR(SUMIF(E55:AI55,"=РН",E56:AI56)+SUMIF(E55:AI55,"=РН/РВ",E56:AI56)+SUMIFS(E56:AI56,E55:AI55,"=Р2",E56:AI56,"=8"),0)</f>
        <v>0</v>
      </c>
      <c r="AN55" s="211">
        <f>IFERROR(SUMIF(E55:AI55,"=ВЧ",E56:AI56)+SUMIF(E55:AI55,"=ВЧ/РВ",E56:AI56)+CEILING(COUNTIFS(E55:AI55,"=Р2",E56:AI56,"=7")*4,1)+CEILING(COUNTIFS(E55:AI55,"=Р2/РВ",E56:AI56,"=7")*4,1)+SUMIFS(E56:AI56,E55:AI55,"=Р1/РВ",E56:AI56,"=12")/6+SUMIFS(E56:AI56,E55:AI55,"=ВЧ2/РВ",E56:AI56,"=4")/2+SUMIFS(E56:AI56,E55:AI55,"=Р1",E56:AI56,"=12")/6+SUMIFS(E56:AI56,E55:AI55,"=Р1",E56:AI56,"=8")/4+SUMIF(E55:AI55,"=ВЧ1",E56:AI56)/2,0)</f>
        <v>0</v>
      </c>
      <c r="AO55" s="202">
        <f>IFERROR(SUMIF(E55:AI55,"=РВ",E56:AI56)+SUMIF(E55:AI55,"=ВЧ/РВ",E56:AI56)+SUMIF(E55:AI55,"=РН/РВ",E56:AI56)+SUMIF(E55:AI55,"=Р1/РВ",E56:AI56)+SUMIF(E55:AI55,"=ВЧ2/РВ",E56:AI56)+SUMIF(E55:AI55,"=Р2/РВ",E56:AI56),0)</f>
        <v>0</v>
      </c>
      <c r="AP55" s="202">
        <f>IFERROR(COUNTIF(E55:AI55,"=ВВ")+COUNTIF(E55:AI55,"=Р1/ВВ")+COUNTIF(E55:AI55,"=РН/ВВ")+COUNTIF(E55:AI55,"=ВЧ/ВВ"),0)</f>
        <v>10</v>
      </c>
      <c r="AQ55" s="202">
        <f>SUM(AR55:AZ55)</f>
        <v>0</v>
      </c>
      <c r="AR55" s="202">
        <f>IFERROR(SUMIF(E55:AI55,"=В",E56:AI56)+SUMIF(E55:AI55,"=Ч",E56:AI56)+SUMIF(E55:AI55,"=ВБ",E56:AI56),0)</f>
        <v>0</v>
      </c>
      <c r="AS55" s="202">
        <f>IFERROR(SUMIF(E55:AI55,"=Н",E56:AI56),0)</f>
        <v>0</v>
      </c>
      <c r="AT55" s="202">
        <f>IFERROR(SUMIF(E55:AI55,"=НА",E56:AI56),0)</f>
        <v>0</v>
      </c>
      <c r="AU55" s="202">
        <f>IFERROR(SUMIF(E55:AI55,"=ВП",E56:AI56),0)</f>
        <v>0</v>
      </c>
      <c r="AV55" s="202">
        <f>IFERROR(SUMIF(E55:AI55,"=ДД",E56:AI56),0)</f>
        <v>0</v>
      </c>
      <c r="AW55" s="202">
        <f>IFERROR(SUMIF(E55:AI55,"=ДО",E56:AI56),0)</f>
        <v>0</v>
      </c>
      <c r="AX55" s="202">
        <f>IFERROR(SUMIF(E55:AI55,"=ТН",E56:AI56),0)</f>
        <v>0</v>
      </c>
      <c r="AY55" s="202">
        <f>IFERROR(SUMIF(E55:AI55,"=ВД",E56:AI56),0)</f>
        <v>0</v>
      </c>
      <c r="AZ55" s="200">
        <f>IFERROR(SUMIF(E55:AI55,"=ІН",E56:AI56),0)+SUMIF(E55:AI55,"=НЗ",E56:AI56)</f>
        <v>0</v>
      </c>
    </row>
    <row r="56" spans="1:52" s="171" customFormat="1" ht="18.75" customHeight="1" thickBot="1" x14ac:dyDescent="0.25">
      <c r="A56" s="290"/>
      <c r="B56" s="229"/>
      <c r="C56" s="229"/>
      <c r="D56" s="229"/>
      <c r="E56" s="192"/>
      <c r="F56" s="192"/>
      <c r="G56" s="192">
        <v>8.1999999999999993</v>
      </c>
      <c r="H56" s="192">
        <v>8.1999999999999993</v>
      </c>
      <c r="I56" s="192">
        <v>8.1999999999999993</v>
      </c>
      <c r="J56" s="192">
        <v>8.1999999999999993</v>
      </c>
      <c r="K56" s="192">
        <v>7</v>
      </c>
      <c r="L56" s="192"/>
      <c r="M56" s="192"/>
      <c r="N56" s="192">
        <v>8.1999999999999993</v>
      </c>
      <c r="O56" s="192">
        <v>8.1999999999999993</v>
      </c>
      <c r="P56" s="192">
        <v>8.1999999999999993</v>
      </c>
      <c r="Q56" s="192">
        <v>8.1999999999999993</v>
      </c>
      <c r="R56" s="192">
        <v>7.2</v>
      </c>
      <c r="S56" s="192"/>
      <c r="T56" s="192"/>
      <c r="U56" s="192">
        <v>8.1999999999999993</v>
      </c>
      <c r="V56" s="192">
        <v>8.1999999999999993</v>
      </c>
      <c r="W56" s="192">
        <v>8.1999999999999993</v>
      </c>
      <c r="X56" s="192">
        <v>8.1999999999999993</v>
      </c>
      <c r="Y56" s="192">
        <v>7.2</v>
      </c>
      <c r="Z56" s="192"/>
      <c r="AA56" s="192"/>
      <c r="AB56" s="192">
        <v>8.1999999999999993</v>
      </c>
      <c r="AC56" s="192">
        <v>8.1999999999999993</v>
      </c>
      <c r="AD56" s="192">
        <v>8.1999999999999993</v>
      </c>
      <c r="AE56" s="192">
        <v>8.1999999999999993</v>
      </c>
      <c r="AF56" s="192">
        <v>7.2</v>
      </c>
      <c r="AG56" s="192"/>
      <c r="AH56" s="192"/>
      <c r="AI56" s="192">
        <v>8.1999999999999993</v>
      </c>
      <c r="AJ56" s="214"/>
      <c r="AK56" s="203"/>
      <c r="AL56" s="203"/>
      <c r="AM56" s="203"/>
      <c r="AN56" s="212"/>
      <c r="AO56" s="203"/>
      <c r="AP56" s="203"/>
      <c r="AQ56" s="203"/>
      <c r="AR56" s="203"/>
      <c r="AS56" s="203"/>
      <c r="AT56" s="203"/>
      <c r="AU56" s="203"/>
      <c r="AV56" s="203"/>
      <c r="AW56" s="203"/>
      <c r="AX56" s="203"/>
      <c r="AY56" s="203"/>
      <c r="AZ56" s="201"/>
    </row>
    <row r="57" spans="1:52" s="177" customFormat="1" ht="20.100000000000001" customHeight="1" x14ac:dyDescent="0.2">
      <c r="A57" s="289">
        <f t="shared" si="5"/>
        <v>21</v>
      </c>
      <c r="B57" s="228" t="s">
        <v>348</v>
      </c>
      <c r="C57" s="228">
        <v>1470</v>
      </c>
      <c r="D57" s="279" t="s">
        <v>65</v>
      </c>
      <c r="E57" s="191" t="s">
        <v>142</v>
      </c>
      <c r="F57" s="191" t="s">
        <v>4</v>
      </c>
      <c r="G57" s="191" t="s">
        <v>41</v>
      </c>
      <c r="H57" s="191" t="s">
        <v>43</v>
      </c>
      <c r="I57" s="191" t="s">
        <v>142</v>
      </c>
      <c r="J57" s="191" t="s">
        <v>4</v>
      </c>
      <c r="K57" s="191" t="s">
        <v>41</v>
      </c>
      <c r="L57" s="191" t="s">
        <v>43</v>
      </c>
      <c r="M57" s="191" t="s">
        <v>142</v>
      </c>
      <c r="N57" s="191" t="s">
        <v>142</v>
      </c>
      <c r="O57" s="191" t="s">
        <v>309</v>
      </c>
      <c r="P57" s="191" t="s">
        <v>43</v>
      </c>
      <c r="Q57" s="191" t="s">
        <v>142</v>
      </c>
      <c r="R57" s="191" t="s">
        <v>4</v>
      </c>
      <c r="S57" s="191" t="s">
        <v>41</v>
      </c>
      <c r="T57" s="191" t="s">
        <v>43</v>
      </c>
      <c r="U57" s="191" t="s">
        <v>142</v>
      </c>
      <c r="V57" s="191" t="s">
        <v>4</v>
      </c>
      <c r="W57" s="191" t="s">
        <v>41</v>
      </c>
      <c r="X57" s="191" t="s">
        <v>43</v>
      </c>
      <c r="Y57" s="191" t="s">
        <v>142</v>
      </c>
      <c r="Z57" s="191" t="s">
        <v>4</v>
      </c>
      <c r="AA57" s="191" t="s">
        <v>41</v>
      </c>
      <c r="AB57" s="191" t="s">
        <v>43</v>
      </c>
      <c r="AC57" s="191" t="s">
        <v>142</v>
      </c>
      <c r="AD57" s="191" t="s">
        <v>4</v>
      </c>
      <c r="AE57" s="191" t="s">
        <v>41</v>
      </c>
      <c r="AF57" s="191" t="s">
        <v>43</v>
      </c>
      <c r="AG57" s="191" t="s">
        <v>142</v>
      </c>
      <c r="AH57" s="191" t="s">
        <v>4</v>
      </c>
      <c r="AI57" s="191" t="s">
        <v>41</v>
      </c>
      <c r="AJ57" s="213">
        <f>IFERROR(COUNTIF(E57:AI57,"=Р")+COUNTIF(E57:AI57,"=Р1")+COUNTIF(E57:AI57,"=ВЧ")+COUNTIF(E57:AI57,"=РН")+COUNTIF(E57:AI57,"=Р2")+COUNTIF(E57:AI57,"=Р1/РВ")+COUNTIF(E57:AI57,"=Р2/РВ")+COUNTIF(E57:AI57,"=ВЧ/РВ")+COUNTIF(E57:AI57,"=РН/РВ"),0)</f>
        <v>21</v>
      </c>
      <c r="AK57" s="202">
        <f>IFERROR(SUMIF(E57:AI57,"=Р2",E58:AI58)+SUMIF(E57:AI57,"=ВЧ/РВ",E58:AI58)+SUMIF(E57:AI57,"=РН/РВ",E58:AI58)+SUMIF(E57:AI57,"=Р1/РВ",E58:AI58)+SUMIF(E57:AI57,"=ВЧ2/РВ",E58:AI58)+SUMIF(E57:AI57,"=Р2/РВ",E58:AI58)+SUMIF(E57:AI57,"=Р",E58:AI58)+SUMIF(E57:AI57,"=Р1",E58:AI58)+SUMIF(E57:AI57,"=ВЧ1",E58:AI58)+SUMIF(E57:AI57,"=РН",E58:AI58)+SUMIF(E57:AI57,"=ВЧ",E58:AI58),0)+AL57</f>
        <v>168</v>
      </c>
      <c r="AL57" s="202">
        <f>IFERROR(SUMIF(E57:AI57,"=НУ",E58:AI58),0)</f>
        <v>0</v>
      </c>
      <c r="AM57" s="202">
        <f>IFERROR(SUMIF(E57:AI57,"=РН",E58:AI58)+SUMIF(E57:AI57,"=РН/РВ",E58:AI58)+SUMIFS(E58:AI58,E57:AI57,"=Р2",E58:AI58,"=8"),0)</f>
        <v>56</v>
      </c>
      <c r="AN57" s="211">
        <f>IFERROR(SUMIF(E57:AI57,"=ВЧ",E58:AI58)+SUMIF(E57:AI57,"=ВЧ/РВ",E58:AI58)+CEILING(COUNTIFS(E57:AI57,"=Р2",E58:AI58,"=7")*4,1)+CEILING(COUNTIFS(E57:AI57,"=Р2/РВ",E58:AI58,"=7")*4,1)+SUMIFS(E58:AI58,E57:AI57,"=Р1/РВ",E58:AI58,"=12")/6+SUMIFS(E58:AI58,E57:AI57,"=ВЧ2/РВ",E58:AI58,"=4")/2+SUMIFS(E58:AI58,E57:AI57,"=Р1",E58:AI58,"=12")/6+SUMIFS(E58:AI58,E57:AI57,"=Р1",E58:AI58,"=8")/4+SUMIF(E57:AI57,"=ВЧ1",E58:AI58)/2,0)</f>
        <v>30</v>
      </c>
      <c r="AO57" s="202">
        <f>IFERROR(SUMIF(E57:AI57,"=РВ",E58:AI58)+SUMIF(E57:AI57,"=ВЧ/РВ",E58:AI58)+SUMIF(E57:AI57,"=РН/РВ",E58:AI58)+SUMIF(E57:AI57,"=Р1/РВ",E58:AI58)+SUMIF(E57:AI57,"=ВЧ2/РВ",E58:AI58)+SUMIF(E57:AI57,"=Р2/РВ",E58:AI58),0)</f>
        <v>0</v>
      </c>
      <c r="AP57" s="202">
        <f>IFERROR(COUNTIF(E57:AI57,"=ВВ")+COUNTIF(E57:AI57,"=Р1/ВВ")+COUNTIF(E57:AI57,"=РН/ВВ")+COUNTIF(E57:AI57,"=ВЧ/ВВ"),0)</f>
        <v>9</v>
      </c>
      <c r="AQ57" s="202">
        <f>SUM(AR57:AZ57)</f>
        <v>0</v>
      </c>
      <c r="AR57" s="202">
        <f>IFERROR(SUMIF(E57:AI57,"=В",E58:AI58)+SUMIF(E57:AI57,"=Ч",E58:AI58)+SUMIF(E57:AI57,"=ВБ",E58:AI58),0)</f>
        <v>0</v>
      </c>
      <c r="AS57" s="202">
        <f>IFERROR(SUMIF(E57:AI57,"=Н",E58:AI58),0)</f>
        <v>0</v>
      </c>
      <c r="AT57" s="202">
        <f>IFERROR(SUMIF(E57:AI57,"=НА",E58:AI58),0)</f>
        <v>0</v>
      </c>
      <c r="AU57" s="202">
        <f>IFERROR(SUMIF(E57:AI57,"=ВП",E58:AI58),0)</f>
        <v>0</v>
      </c>
      <c r="AV57" s="202">
        <f>IFERROR(SUMIF(E57:AI57,"=ДД",E58:AI58),0)</f>
        <v>0</v>
      </c>
      <c r="AW57" s="202">
        <f>IFERROR(SUMIF(E57:AI57,"=ДО",E58:AI58),0)</f>
        <v>0</v>
      </c>
      <c r="AX57" s="202">
        <f>IFERROR(SUMIF(E57:AI57,"=ТН",E58:AI58),0)</f>
        <v>0</v>
      </c>
      <c r="AY57" s="202">
        <f>IFERROR(SUMIF(E57:AI57,"=ВД",E58:AI58),0)</f>
        <v>0</v>
      </c>
      <c r="AZ57" s="200">
        <f>IFERROR(SUMIF(E57:AI57,"=ІН",E58:AI58),0)+SUMIF(E57:AI57,"=НЗ",E58:AI58)</f>
        <v>0</v>
      </c>
    </row>
    <row r="58" spans="1:52" s="177" customFormat="1" ht="20.100000000000001" customHeight="1" thickBot="1" x14ac:dyDescent="0.25">
      <c r="A58" s="290"/>
      <c r="B58" s="229"/>
      <c r="C58" s="229"/>
      <c r="D58" s="280"/>
      <c r="E58" s="192"/>
      <c r="F58" s="192">
        <v>12</v>
      </c>
      <c r="G58" s="192">
        <v>4</v>
      </c>
      <c r="H58" s="192">
        <v>8</v>
      </c>
      <c r="I58" s="192"/>
      <c r="J58" s="192">
        <v>8</v>
      </c>
      <c r="K58" s="192">
        <v>4</v>
      </c>
      <c r="L58" s="192">
        <v>8</v>
      </c>
      <c r="M58" s="192"/>
      <c r="N58" s="192"/>
      <c r="O58" s="192">
        <v>4</v>
      </c>
      <c r="P58" s="192">
        <v>8</v>
      </c>
      <c r="Q58" s="192"/>
      <c r="R58" s="192">
        <v>12</v>
      </c>
      <c r="S58" s="192">
        <v>4</v>
      </c>
      <c r="T58" s="192">
        <v>8</v>
      </c>
      <c r="U58" s="192"/>
      <c r="V58" s="192">
        <v>12</v>
      </c>
      <c r="W58" s="192">
        <v>4</v>
      </c>
      <c r="X58" s="192">
        <v>8</v>
      </c>
      <c r="Y58" s="192"/>
      <c r="Z58" s="192">
        <v>12</v>
      </c>
      <c r="AA58" s="192">
        <v>4</v>
      </c>
      <c r="AB58" s="192">
        <v>8</v>
      </c>
      <c r="AC58" s="192"/>
      <c r="AD58" s="192">
        <v>12</v>
      </c>
      <c r="AE58" s="192">
        <v>4</v>
      </c>
      <c r="AF58" s="192">
        <v>8</v>
      </c>
      <c r="AG58" s="192"/>
      <c r="AH58" s="192">
        <v>12</v>
      </c>
      <c r="AI58" s="192">
        <v>4</v>
      </c>
      <c r="AJ58" s="214"/>
      <c r="AK58" s="203"/>
      <c r="AL58" s="203"/>
      <c r="AM58" s="203"/>
      <c r="AN58" s="212"/>
      <c r="AO58" s="203"/>
      <c r="AP58" s="203"/>
      <c r="AQ58" s="203"/>
      <c r="AR58" s="203"/>
      <c r="AS58" s="203"/>
      <c r="AT58" s="203"/>
      <c r="AU58" s="203"/>
      <c r="AV58" s="203"/>
      <c r="AW58" s="203"/>
      <c r="AX58" s="203"/>
      <c r="AY58" s="203"/>
      <c r="AZ58" s="201"/>
    </row>
    <row r="59" spans="1:52" s="177" customFormat="1" ht="15.75" customHeight="1" x14ac:dyDescent="0.2">
      <c r="A59" s="289">
        <f t="shared" si="5"/>
        <v>22</v>
      </c>
      <c r="B59" s="228" t="s">
        <v>454</v>
      </c>
      <c r="C59" s="228">
        <v>1900</v>
      </c>
      <c r="D59" s="228" t="s">
        <v>72</v>
      </c>
      <c r="E59" s="191" t="s">
        <v>4</v>
      </c>
      <c r="F59" s="191" t="s">
        <v>41</v>
      </c>
      <c r="G59" s="191" t="s">
        <v>43</v>
      </c>
      <c r="H59" s="191" t="s">
        <v>142</v>
      </c>
      <c r="I59" s="191" t="s">
        <v>4</v>
      </c>
      <c r="J59" s="191" t="s">
        <v>41</v>
      </c>
      <c r="K59" s="191" t="s">
        <v>43</v>
      </c>
      <c r="L59" s="191" t="s">
        <v>142</v>
      </c>
      <c r="M59" s="191" t="s">
        <v>4</v>
      </c>
      <c r="N59" s="191" t="s">
        <v>41</v>
      </c>
      <c r="O59" s="191" t="s">
        <v>43</v>
      </c>
      <c r="P59" s="191" t="s">
        <v>142</v>
      </c>
      <c r="Q59" s="191" t="s">
        <v>4</v>
      </c>
      <c r="R59" s="191" t="s">
        <v>41</v>
      </c>
      <c r="S59" s="191" t="s">
        <v>43</v>
      </c>
      <c r="T59" s="191" t="s">
        <v>142</v>
      </c>
      <c r="U59" s="191" t="s">
        <v>4</v>
      </c>
      <c r="V59" s="191" t="s">
        <v>41</v>
      </c>
      <c r="W59" s="191" t="s">
        <v>43</v>
      </c>
      <c r="X59" s="191" t="s">
        <v>142</v>
      </c>
      <c r="Y59" s="191" t="s">
        <v>4</v>
      </c>
      <c r="Z59" s="191" t="s">
        <v>41</v>
      </c>
      <c r="AA59" s="191" t="s">
        <v>43</v>
      </c>
      <c r="AB59" s="191" t="s">
        <v>142</v>
      </c>
      <c r="AC59" s="191" t="s">
        <v>4</v>
      </c>
      <c r="AD59" s="191" t="s">
        <v>41</v>
      </c>
      <c r="AE59" s="191" t="s">
        <v>43</v>
      </c>
      <c r="AF59" s="191" t="s">
        <v>142</v>
      </c>
      <c r="AG59" s="191"/>
      <c r="AH59" s="191"/>
      <c r="AI59" s="191"/>
      <c r="AJ59" s="294">
        <f>IFERROR(COUNTIF(E59:AI59,"=Р")+COUNTIF(E59:AI59,"=Р1")+COUNTIF(E59:AI59,"=ВЧ")+COUNTIF(E59:AI59,"=РН")+COUNTIF(E59:AI59,"=Р2")+COUNTIF(E59:AI59,"=Р1/РВ")+COUNTIF(E59:AI59,"=Р2/РВ")+COUNTIF(E59:AI59,"=ВЧ/РВ")+COUNTIF(E59:AI59,"=РН/РВ"),0)</f>
        <v>21</v>
      </c>
      <c r="AK59" s="211">
        <f>IFERROR(SUMIF(E59:AI59,"=Р2",E60:AI60)+SUMIF(E59:AI59,"=ВЧ/РВ",E60:AI60)+SUMIF(E59:AI59,"=РН/РВ",E60:AI60)+SUMIF(E59:AI59,"=Р1/РВ",E60:AI60)+SUMIF(E59:AI59,"=ВЧ2/РВ",E60:AI60)+SUMIF(E59:AI59,"=Р2/РВ",E60:AI60)+SUMIF(E59:AI59,"=Р",E60:AI60)+SUMIF(E59:AI59,"=Р1",E60:AI60)+SUMIF(E59:AI59,"=ВЧ1",E60:AI60)+SUMIF(E59:AI59,"=РН",E60:AI60)+SUMIF(E59:AI59,"=ВЧ",E60:AI60),0)+AL59</f>
        <v>164</v>
      </c>
      <c r="AL59" s="211">
        <f>IFERROR(SUMIF(E59:AI59,"=НУ",E60:AI60),0)</f>
        <v>0</v>
      </c>
      <c r="AM59" s="211">
        <f>IFERROR(SUMIF(E59:AI59,"=РН",E60:AI60)+SUMIF(E59:AI59,"=РН/РВ",E60:AI60)+SUMIFS(E60:AI60,E59:AI59,"=Р2",E60:AI60,"=8"),0)</f>
        <v>56</v>
      </c>
      <c r="AN59" s="211">
        <f>IFERROR(SUMIF(E59:AI59,"=ВЧ",E60:AI60)+SUMIF(E59:AI59,"=ВЧ/РВ",E60:AI60)+CEILING(COUNTIFS(E59:AI59,"=Р2",E60:AI60,"=7")*4,1)+CEILING(COUNTIFS(E59:AI59,"=Р2/РВ",E60:AI60,"=7")*4,1)+SUMIFS(E60:AI60,E59:AI59,"=Р1/РВ",E60:AI60,"=12")/6+SUMIFS(E60:AI60,E59:AI59,"=ВЧ2/РВ",E60:AI60,"=4")/2+SUMIFS(E60:AI60,E59:AI59,"=Р1",E60:AI60,"=12")/6+SUMIFS(E60:AI60,E59:AI59,"=Р1",E60:AI60,"=8")/4+SUMIF(E59:AI59,"=ВЧ1",E60:AI60)/2,0)</f>
        <v>28</v>
      </c>
      <c r="AO59" s="211">
        <f>IFERROR(SUMIF(E59:AI59,"=РВ",E60:AI60)+SUMIF(E59:AI59,"=ВЧ/РВ",E60:AI60)+SUMIF(E59:AI59,"=РН/РВ",E60:AI60)+SUMIF(E59:AI59,"=Р1/РВ",E60:AI60)+SUMIF(E59:AI59,"=ВЧ2/РВ",E60:AI60)+SUMIF(E59:AI59,"=Р2/РВ",E60:AI60),0)</f>
        <v>0</v>
      </c>
      <c r="AP59" s="211">
        <f>IFERROR(COUNTIF(E59:AI59,"=ВВ")+COUNTIF(E59:AI59,"=Р1/ВВ")+COUNTIF(E59:AI59,"=РН/ВВ")+COUNTIF(E59:AI59,"=ВЧ/ВВ"),0)</f>
        <v>7</v>
      </c>
      <c r="AQ59" s="211">
        <f>SUM(AR59:AZ59)</f>
        <v>0</v>
      </c>
      <c r="AR59" s="211">
        <f>IFERROR(SUMIF(E59:AI59,"=В",E60:AI60)+SUMIF(E59:AI59,"=Ч",E60:AI60)+SUMIF(E59:AI59,"=ВБ",E60:AI60),0)</f>
        <v>0</v>
      </c>
      <c r="AS59" s="211">
        <f>IFERROR(SUMIF(E59:AI59,"=Н",E60:AI60),0)</f>
        <v>0</v>
      </c>
      <c r="AT59" s="211">
        <f>IFERROR(SUMIF(E59:AI59,"=НА",E60:AI60),0)</f>
        <v>0</v>
      </c>
      <c r="AU59" s="211">
        <f>IFERROR(SUMIF(E59:AI59,"=ВП",E60:AI60),0)</f>
        <v>0</v>
      </c>
      <c r="AV59" s="211">
        <f>IFERROR(SUMIF(E59:AI59,"=ДД",E60:AI60),0)</f>
        <v>0</v>
      </c>
      <c r="AW59" s="202">
        <f>IFERROR(SUMIF(E59:AI59,"=ДО",E60:AI60),0)</f>
        <v>0</v>
      </c>
      <c r="AX59" s="211">
        <f>IFERROR(SUMIF(E59:AI59,"=ТН",E60:AI60),0)</f>
        <v>0</v>
      </c>
      <c r="AY59" s="211">
        <f>IFERROR(SUMIF(E59:AI59,"=ВД",E60:AI60),0)</f>
        <v>0</v>
      </c>
      <c r="AZ59" s="312">
        <f>IFERROR(SUMIF(E59:AI59,"=ІН",E60:AI60),0)+SUMIF(E59:AI59,"=НЗ",E60:AI60)</f>
        <v>0</v>
      </c>
    </row>
    <row r="60" spans="1:52" s="177" customFormat="1" ht="20.100000000000001" customHeight="1" thickBot="1" x14ac:dyDescent="0.25">
      <c r="A60" s="290"/>
      <c r="B60" s="229"/>
      <c r="C60" s="229"/>
      <c r="D60" s="229"/>
      <c r="E60" s="192">
        <v>12</v>
      </c>
      <c r="F60" s="192">
        <v>4</v>
      </c>
      <c r="G60" s="192">
        <v>8</v>
      </c>
      <c r="H60" s="192"/>
      <c r="I60" s="192">
        <v>12</v>
      </c>
      <c r="J60" s="192">
        <v>4</v>
      </c>
      <c r="K60" s="192">
        <v>8</v>
      </c>
      <c r="L60" s="192"/>
      <c r="M60" s="192">
        <v>12</v>
      </c>
      <c r="N60" s="192">
        <v>4</v>
      </c>
      <c r="O60" s="192">
        <v>8</v>
      </c>
      <c r="P60" s="192"/>
      <c r="Q60" s="192">
        <v>12</v>
      </c>
      <c r="R60" s="192">
        <v>4</v>
      </c>
      <c r="S60" s="192">
        <v>8</v>
      </c>
      <c r="T60" s="192"/>
      <c r="U60" s="192">
        <v>12</v>
      </c>
      <c r="V60" s="192">
        <v>4</v>
      </c>
      <c r="W60" s="192">
        <v>8</v>
      </c>
      <c r="X60" s="192"/>
      <c r="Y60" s="192">
        <v>8</v>
      </c>
      <c r="Z60" s="192">
        <v>4</v>
      </c>
      <c r="AA60" s="192">
        <v>8</v>
      </c>
      <c r="AB60" s="192"/>
      <c r="AC60" s="192">
        <v>12</v>
      </c>
      <c r="AD60" s="192">
        <v>4</v>
      </c>
      <c r="AE60" s="192">
        <v>8</v>
      </c>
      <c r="AF60" s="192"/>
      <c r="AG60" s="192" t="s">
        <v>491</v>
      </c>
      <c r="AH60" s="192" t="s">
        <v>492</v>
      </c>
      <c r="AI60" s="192" t="s">
        <v>493</v>
      </c>
      <c r="AJ60" s="314"/>
      <c r="AK60" s="212"/>
      <c r="AL60" s="212"/>
      <c r="AM60" s="212"/>
      <c r="AN60" s="212"/>
      <c r="AO60" s="212"/>
      <c r="AP60" s="212"/>
      <c r="AQ60" s="311"/>
      <c r="AR60" s="311"/>
      <c r="AS60" s="311"/>
      <c r="AT60" s="311"/>
      <c r="AU60" s="311"/>
      <c r="AV60" s="311"/>
      <c r="AW60" s="203"/>
      <c r="AX60" s="311"/>
      <c r="AY60" s="311"/>
      <c r="AZ60" s="313"/>
    </row>
    <row r="61" spans="1:52" ht="20.100000000000001" customHeight="1" x14ac:dyDescent="0.2">
      <c r="A61" s="289"/>
      <c r="B61" s="228" t="s">
        <v>74</v>
      </c>
      <c r="C61" s="228">
        <v>0</v>
      </c>
      <c r="D61" s="228">
        <v>0</v>
      </c>
      <c r="E61" s="72">
        <v>0</v>
      </c>
      <c r="F61" s="72">
        <v>0</v>
      </c>
      <c r="G61" s="72">
        <v>0</v>
      </c>
      <c r="H61" s="72">
        <v>0</v>
      </c>
      <c r="I61" s="72">
        <v>0</v>
      </c>
      <c r="J61" s="72">
        <v>0</v>
      </c>
      <c r="K61" s="72">
        <v>0</v>
      </c>
      <c r="L61" s="72">
        <v>0</v>
      </c>
      <c r="M61" s="72">
        <v>0</v>
      </c>
      <c r="N61" s="72">
        <v>0</v>
      </c>
      <c r="O61" s="72">
        <v>0</v>
      </c>
      <c r="P61" s="72">
        <v>0</v>
      </c>
      <c r="Q61" s="72">
        <v>0</v>
      </c>
      <c r="R61" s="72">
        <v>0</v>
      </c>
      <c r="S61" s="72"/>
      <c r="T61" s="72"/>
      <c r="U61" s="72"/>
      <c r="V61" s="72"/>
      <c r="W61" s="72"/>
      <c r="X61" s="72"/>
      <c r="Y61" s="72"/>
      <c r="Z61" s="72"/>
      <c r="AA61" s="72"/>
      <c r="AB61" s="72"/>
      <c r="AC61" s="72"/>
      <c r="AD61" s="72"/>
      <c r="AE61" s="72"/>
      <c r="AF61" s="72"/>
      <c r="AG61" s="72"/>
      <c r="AH61" s="72"/>
      <c r="AI61" s="72"/>
      <c r="AJ61" s="217">
        <f t="shared" ref="AJ61:AZ61" si="8">SUM(AJ17:AJ60)</f>
        <v>427</v>
      </c>
      <c r="AK61" s="209">
        <f t="shared" si="8"/>
        <v>3423.2</v>
      </c>
      <c r="AL61" s="209">
        <f t="shared" si="8"/>
        <v>0</v>
      </c>
      <c r="AM61" s="209">
        <f t="shared" si="8"/>
        <v>752</v>
      </c>
      <c r="AN61" s="209">
        <f t="shared" si="8"/>
        <v>364</v>
      </c>
      <c r="AO61" s="209">
        <f t="shared" si="8"/>
        <v>0</v>
      </c>
      <c r="AP61" s="209">
        <f t="shared" si="8"/>
        <v>175</v>
      </c>
      <c r="AQ61" s="209">
        <f t="shared" si="8"/>
        <v>232.59999999999997</v>
      </c>
      <c r="AR61" s="209">
        <f t="shared" si="8"/>
        <v>0</v>
      </c>
      <c r="AS61" s="209">
        <f t="shared" si="8"/>
        <v>0</v>
      </c>
      <c r="AT61" s="209">
        <f t="shared" si="8"/>
        <v>8.1999999999999993</v>
      </c>
      <c r="AU61" s="209">
        <f t="shared" si="8"/>
        <v>0</v>
      </c>
      <c r="AV61" s="209">
        <f t="shared" si="8"/>
        <v>0</v>
      </c>
      <c r="AW61" s="209">
        <f t="shared" si="8"/>
        <v>0</v>
      </c>
      <c r="AX61" s="209">
        <f t="shared" si="8"/>
        <v>56.399999999999991</v>
      </c>
      <c r="AY61" s="209">
        <f t="shared" si="8"/>
        <v>0</v>
      </c>
      <c r="AZ61" s="215">
        <f t="shared" si="8"/>
        <v>167.99999999999997</v>
      </c>
    </row>
    <row r="62" spans="1:52" ht="11.25" customHeight="1" thickBot="1" x14ac:dyDescent="0.25">
      <c r="A62" s="290"/>
      <c r="B62" s="229"/>
      <c r="C62" s="229"/>
      <c r="D62" s="229"/>
      <c r="E62" s="73">
        <v>0</v>
      </c>
      <c r="F62" s="73">
        <v>0</v>
      </c>
      <c r="G62" s="73">
        <v>0</v>
      </c>
      <c r="H62" s="73">
        <v>0</v>
      </c>
      <c r="I62" s="73">
        <v>0</v>
      </c>
      <c r="J62" s="73">
        <v>0</v>
      </c>
      <c r="K62" s="73">
        <v>0</v>
      </c>
      <c r="L62" s="73">
        <v>0</v>
      </c>
      <c r="M62" s="73">
        <v>0</v>
      </c>
      <c r="N62" s="73">
        <v>0</v>
      </c>
      <c r="O62" s="73">
        <v>0</v>
      </c>
      <c r="P62" s="73">
        <v>0</v>
      </c>
      <c r="Q62" s="73">
        <v>0</v>
      </c>
      <c r="R62" s="73">
        <v>0</v>
      </c>
      <c r="S62" s="73"/>
      <c r="T62" s="73"/>
      <c r="U62" s="73"/>
      <c r="V62" s="73"/>
      <c r="W62" s="73"/>
      <c r="X62" s="73"/>
      <c r="Y62" s="73"/>
      <c r="Z62" s="73"/>
      <c r="AA62" s="73"/>
      <c r="AB62" s="73"/>
      <c r="AC62" s="73"/>
      <c r="AD62" s="73"/>
      <c r="AE62" s="73"/>
      <c r="AF62" s="73"/>
      <c r="AG62" s="73"/>
      <c r="AH62" s="73"/>
      <c r="AI62" s="73"/>
      <c r="AJ62" s="218"/>
      <c r="AK62" s="210"/>
      <c r="AL62" s="210"/>
      <c r="AM62" s="210"/>
      <c r="AN62" s="210"/>
      <c r="AO62" s="210"/>
      <c r="AP62" s="210"/>
      <c r="AQ62" s="210"/>
      <c r="AR62" s="210"/>
      <c r="AS62" s="210"/>
      <c r="AT62" s="210"/>
      <c r="AU62" s="210"/>
      <c r="AV62" s="210"/>
      <c r="AW62" s="210"/>
      <c r="AX62" s="210"/>
      <c r="AY62" s="210"/>
      <c r="AZ62" s="216"/>
    </row>
    <row r="63" spans="1:52" ht="14.25" customHeight="1" x14ac:dyDescent="0.2">
      <c r="C63" s="20"/>
      <c r="D63" s="8"/>
      <c r="AJ63" s="26"/>
    </row>
    <row r="64" spans="1:52" ht="12.75" customHeight="1" x14ac:dyDescent="0.2">
      <c r="A64" s="226" t="s">
        <v>32</v>
      </c>
      <c r="B64" s="226"/>
      <c r="C64" s="226"/>
      <c r="D64" s="227" t="s">
        <v>81</v>
      </c>
      <c r="E64" s="227"/>
      <c r="F64" s="227"/>
      <c r="G64" s="227"/>
      <c r="H64" s="227"/>
      <c r="I64" s="227"/>
      <c r="J64" s="69"/>
      <c r="K64" s="224"/>
      <c r="L64" s="224"/>
      <c r="M64" s="224"/>
      <c r="N64" s="69"/>
      <c r="O64" s="225" t="s">
        <v>278</v>
      </c>
      <c r="P64" s="225"/>
      <c r="Q64" s="225"/>
      <c r="R64" s="225"/>
      <c r="S64" s="225"/>
      <c r="T64" s="9"/>
      <c r="U64" s="283">
        <v>45747</v>
      </c>
      <c r="V64" s="283"/>
      <c r="W64" s="283"/>
      <c r="X64" s="283"/>
      <c r="Y64" s="283"/>
      <c r="Z64" s="283"/>
      <c r="AA64" s="69"/>
      <c r="AB64" s="69"/>
      <c r="AC64" s="69"/>
      <c r="AD64" s="69"/>
      <c r="AE64" s="69"/>
      <c r="AF64" s="69"/>
      <c r="AG64" s="69"/>
      <c r="AH64" s="69"/>
      <c r="AI64" s="69"/>
      <c r="AJ64" s="69"/>
      <c r="AK64" s="69"/>
      <c r="AL64" s="69"/>
      <c r="AM64" s="69"/>
      <c r="AN64" s="69"/>
      <c r="AO64" s="69"/>
      <c r="AP64" s="69"/>
      <c r="AQ64" s="69"/>
      <c r="AR64" s="69"/>
      <c r="AS64" s="69"/>
      <c r="AT64" s="69"/>
    </row>
    <row r="65" spans="1:46" x14ac:dyDescent="0.15">
      <c r="A65" s="13"/>
      <c r="B65" s="16"/>
      <c r="D65" s="222" t="s">
        <v>34</v>
      </c>
      <c r="E65" s="222"/>
      <c r="F65" s="222"/>
      <c r="G65" s="222"/>
      <c r="H65" s="222"/>
      <c r="I65" s="222"/>
      <c r="J65" s="13"/>
      <c r="K65" s="222" t="s">
        <v>35</v>
      </c>
      <c r="L65" s="222"/>
      <c r="M65" s="222"/>
      <c r="N65" s="13"/>
      <c r="O65" s="222" t="s">
        <v>36</v>
      </c>
      <c r="P65" s="222"/>
      <c r="Q65" s="222"/>
      <c r="R65" s="222"/>
      <c r="S65" s="222"/>
      <c r="T65" s="13"/>
      <c r="U65" s="13"/>
      <c r="V65" s="31"/>
      <c r="W65" s="13"/>
      <c r="X65" s="17"/>
      <c r="Y65" s="17"/>
      <c r="Z65" s="17"/>
      <c r="AA65" s="13"/>
      <c r="AB65" s="13"/>
      <c r="AC65" s="13"/>
      <c r="AD65" s="13"/>
      <c r="AE65" s="13"/>
      <c r="AF65" s="13"/>
      <c r="AG65" s="13"/>
      <c r="AH65" s="13"/>
      <c r="AI65" s="13"/>
      <c r="AJ65" s="13"/>
      <c r="AK65" s="13"/>
      <c r="AL65" s="13"/>
      <c r="AM65" s="13"/>
      <c r="AN65" s="13"/>
      <c r="AO65" s="13"/>
      <c r="AP65" s="13"/>
      <c r="AQ65" s="13"/>
      <c r="AR65" s="13"/>
      <c r="AS65" s="13"/>
      <c r="AT65" s="13"/>
    </row>
    <row r="66" spans="1:46" ht="12.75" customHeight="1" x14ac:dyDescent="0.2">
      <c r="A66" s="32" t="s">
        <v>33</v>
      </c>
      <c r="B66" s="32"/>
      <c r="C66" s="69"/>
      <c r="D66" s="223" t="s">
        <v>277</v>
      </c>
      <c r="E66" s="223"/>
      <c r="F66" s="223"/>
      <c r="G66" s="223"/>
      <c r="H66" s="223"/>
      <c r="I66" s="223"/>
      <c r="J66" s="69"/>
      <c r="K66" s="224"/>
      <c r="L66" s="224"/>
      <c r="M66" s="224"/>
      <c r="N66" s="69"/>
      <c r="O66" s="225" t="s">
        <v>279</v>
      </c>
      <c r="P66" s="225"/>
      <c r="Q66" s="225"/>
      <c r="R66" s="225"/>
      <c r="S66" s="225"/>
      <c r="T66" s="9"/>
      <c r="U66" s="283">
        <f>U64</f>
        <v>45747</v>
      </c>
      <c r="V66" s="283"/>
      <c r="W66" s="283"/>
      <c r="X66" s="283"/>
      <c r="Y66" s="283"/>
      <c r="Z66" s="283"/>
      <c r="AA66" s="69"/>
      <c r="AB66" s="69"/>
      <c r="AC66" s="69"/>
      <c r="AD66" s="69"/>
      <c r="AE66" s="69"/>
      <c r="AF66" s="69"/>
      <c r="AG66" s="69"/>
      <c r="AH66" s="69"/>
      <c r="AI66" s="69"/>
      <c r="AJ66" s="69"/>
      <c r="AK66" s="69"/>
      <c r="AL66" s="69"/>
      <c r="AM66" s="69"/>
      <c r="AN66" s="69"/>
      <c r="AO66" s="69"/>
      <c r="AP66" s="69"/>
      <c r="AQ66" s="69"/>
      <c r="AR66" s="69"/>
      <c r="AS66" s="69"/>
      <c r="AT66" s="69"/>
    </row>
    <row r="67" spans="1:46" x14ac:dyDescent="0.2">
      <c r="A67" s="13"/>
      <c r="B67" s="13"/>
      <c r="D67" s="222" t="s">
        <v>34</v>
      </c>
      <c r="E67" s="222"/>
      <c r="F67" s="222"/>
      <c r="G67" s="222"/>
      <c r="H67" s="222"/>
      <c r="I67" s="222"/>
      <c r="J67" s="13"/>
      <c r="K67" s="222" t="s">
        <v>35</v>
      </c>
      <c r="L67" s="222"/>
      <c r="M67" s="222"/>
      <c r="N67" s="13"/>
      <c r="O67" s="222" t="s">
        <v>36</v>
      </c>
      <c r="P67" s="222"/>
      <c r="Q67" s="222"/>
      <c r="R67" s="222"/>
      <c r="S67" s="222"/>
      <c r="T67" s="17"/>
      <c r="U67" s="17"/>
      <c r="V67" s="13"/>
      <c r="W67" s="17"/>
      <c r="X67" s="17"/>
      <c r="Y67" s="17"/>
      <c r="Z67" s="69"/>
      <c r="AA67" s="69"/>
      <c r="AB67" s="69"/>
      <c r="AC67" s="69"/>
      <c r="AD67" s="69"/>
      <c r="AE67" s="69"/>
      <c r="AF67" s="69"/>
      <c r="AG67" s="69"/>
      <c r="AH67" s="69"/>
      <c r="AI67" s="69"/>
      <c r="AJ67" s="69"/>
      <c r="AK67" s="69"/>
      <c r="AL67" s="69"/>
      <c r="AM67" s="69"/>
      <c r="AN67" s="69"/>
      <c r="AO67" s="69"/>
      <c r="AP67" s="69"/>
      <c r="AQ67" s="69"/>
      <c r="AR67" s="69"/>
      <c r="AS67" s="69"/>
      <c r="AT67" s="69"/>
    </row>
    <row r="68" spans="1:46" x14ac:dyDescent="0.2">
      <c r="A68" s="69"/>
      <c r="B68" s="69"/>
      <c r="C68" s="33" t="s">
        <v>39</v>
      </c>
      <c r="D68" s="70"/>
      <c r="E68" s="70"/>
      <c r="F68" s="70"/>
      <c r="G68" s="70"/>
      <c r="H68" s="70"/>
      <c r="I68" s="70"/>
      <c r="J68" s="70"/>
      <c r="K68" s="70"/>
      <c r="L68" s="70"/>
      <c r="M68" s="70"/>
      <c r="N68" s="70"/>
      <c r="O68" s="70"/>
      <c r="P68" s="70"/>
      <c r="Q68" s="70"/>
      <c r="R68" s="69"/>
      <c r="S68" s="69"/>
      <c r="T68" s="69"/>
      <c r="U68" s="69"/>
      <c r="V68" s="69"/>
      <c r="W68" s="69"/>
      <c r="X68" s="69"/>
      <c r="Y68" s="69"/>
      <c r="Z68" s="69"/>
      <c r="AA68" s="69"/>
      <c r="AB68" s="69"/>
      <c r="AC68" s="69"/>
      <c r="AD68" s="69"/>
      <c r="AE68" s="69"/>
      <c r="AF68" s="69"/>
      <c r="AG68" s="69"/>
      <c r="AH68" s="69"/>
      <c r="AI68" s="69"/>
      <c r="AJ68" s="69"/>
      <c r="AK68" s="69"/>
      <c r="AL68" s="69"/>
      <c r="AM68" s="69"/>
      <c r="AN68" s="69"/>
      <c r="AO68" s="69"/>
      <c r="AP68" s="69"/>
      <c r="AQ68" s="69"/>
      <c r="AR68" s="69"/>
      <c r="AS68" s="69"/>
      <c r="AT68" s="69"/>
    </row>
    <row r="69" spans="1:46" x14ac:dyDescent="0.2">
      <c r="A69" s="69"/>
      <c r="B69" s="69"/>
      <c r="C69" s="34" t="s">
        <v>4</v>
      </c>
      <c r="D69" s="35" t="s">
        <v>49</v>
      </c>
      <c r="E69" t="s">
        <v>5</v>
      </c>
      <c r="F69"/>
      <c r="G69"/>
      <c r="H69"/>
      <c r="I69"/>
      <c r="J69"/>
      <c r="K69"/>
      <c r="L69"/>
      <c r="M69"/>
      <c r="N69" s="36"/>
      <c r="O69" s="3"/>
      <c r="P69" s="37"/>
      <c r="Q69" s="37"/>
      <c r="R69" s="69"/>
      <c r="S69" s="69"/>
      <c r="T69" s="69"/>
      <c r="U69" s="21" t="s">
        <v>2</v>
      </c>
      <c r="V69" s="15" t="s">
        <v>49</v>
      </c>
      <c r="W69" t="s">
        <v>61</v>
      </c>
      <c r="X69"/>
      <c r="Y69" s="69"/>
      <c r="Z69" s="69"/>
      <c r="AA69" s="69"/>
      <c r="AB69" s="69"/>
      <c r="AC69" s="69"/>
      <c r="AD69" s="69"/>
      <c r="AE69" s="69"/>
      <c r="AF69" s="69"/>
      <c r="AG69" s="69"/>
      <c r="AH69" s="69"/>
      <c r="AI69" s="69"/>
      <c r="AJ69" s="69"/>
      <c r="AK69" s="69"/>
      <c r="AL69" s="69"/>
      <c r="AM69" s="69"/>
      <c r="AN69" s="69"/>
      <c r="AO69" s="69"/>
      <c r="AP69" s="69"/>
      <c r="AQ69" s="69"/>
      <c r="AR69" s="69"/>
      <c r="AS69" s="69"/>
      <c r="AT69" s="69"/>
    </row>
    <row r="70" spans="1:46" x14ac:dyDescent="0.2">
      <c r="A70" s="69"/>
      <c r="B70" s="69"/>
      <c r="C70" s="34" t="s">
        <v>41</v>
      </c>
      <c r="D70" s="35" t="s">
        <v>49</v>
      </c>
      <c r="E70" t="s">
        <v>40</v>
      </c>
      <c r="F70"/>
      <c r="G70"/>
      <c r="H70"/>
      <c r="I70"/>
      <c r="J70"/>
      <c r="K70"/>
      <c r="L70"/>
      <c r="M70"/>
      <c r="N70" s="36"/>
      <c r="O70" s="3"/>
      <c r="P70" s="37"/>
      <c r="Q70" s="37"/>
      <c r="R70" s="69"/>
      <c r="S70" s="69"/>
      <c r="T70" s="69"/>
      <c r="U70" s="21" t="s">
        <v>50</v>
      </c>
      <c r="V70" s="15" t="s">
        <v>49</v>
      </c>
      <c r="W70" t="s">
        <v>62</v>
      </c>
      <c r="X70"/>
      <c r="Y70" s="69"/>
      <c r="Z70" s="69"/>
      <c r="AA70" s="69"/>
      <c r="AB70" s="69"/>
      <c r="AC70" s="69"/>
      <c r="AD70" s="69"/>
      <c r="AE70" s="69"/>
      <c r="AF70" s="69"/>
      <c r="AG70" s="69"/>
      <c r="AH70" s="69"/>
      <c r="AI70" s="69"/>
      <c r="AJ70" s="69"/>
      <c r="AK70" s="69"/>
      <c r="AL70" s="69"/>
      <c r="AM70" s="69"/>
      <c r="AN70" s="69"/>
      <c r="AO70" s="69"/>
      <c r="AP70" s="69"/>
      <c r="AQ70" s="69"/>
      <c r="AR70" s="69"/>
      <c r="AS70" s="69"/>
      <c r="AT70" s="69"/>
    </row>
    <row r="71" spans="1:46" x14ac:dyDescent="0.2">
      <c r="A71" s="69"/>
      <c r="B71" s="69"/>
      <c r="C71" s="34" t="s">
        <v>43</v>
      </c>
      <c r="D71" s="35" t="s">
        <v>49</v>
      </c>
      <c r="E71" t="s">
        <v>42</v>
      </c>
      <c r="F71"/>
      <c r="G71"/>
      <c r="H71"/>
      <c r="I71"/>
      <c r="J71"/>
      <c r="K71"/>
      <c r="L71"/>
      <c r="M71"/>
      <c r="N71" s="36"/>
      <c r="O71" s="3"/>
      <c r="P71" s="37"/>
      <c r="Q71" s="37"/>
      <c r="R71" s="69"/>
      <c r="S71" s="69"/>
      <c r="T71" s="69"/>
      <c r="U71" s="21" t="s">
        <v>51</v>
      </c>
      <c r="V71" s="15" t="s">
        <v>49</v>
      </c>
      <c r="W71" t="s">
        <v>53</v>
      </c>
      <c r="X71"/>
      <c r="Y71" s="69"/>
      <c r="Z71" s="69"/>
      <c r="AA71" s="69"/>
      <c r="AB71" s="69"/>
      <c r="AC71" s="69"/>
      <c r="AD71" s="69"/>
      <c r="AE71" s="69"/>
      <c r="AF71" s="69"/>
      <c r="AG71" s="69"/>
      <c r="AH71" s="69"/>
      <c r="AI71" s="69"/>
      <c r="AJ71" s="69"/>
      <c r="AK71" s="69"/>
      <c r="AL71" s="69"/>
      <c r="AM71" s="69"/>
      <c r="AN71" s="69"/>
      <c r="AO71" s="69"/>
      <c r="AP71" s="69"/>
      <c r="AQ71" s="69"/>
      <c r="AR71" s="69"/>
      <c r="AS71" s="69"/>
      <c r="AT71" s="69"/>
    </row>
    <row r="72" spans="1:46" x14ac:dyDescent="0.2">
      <c r="A72" s="69"/>
      <c r="B72" s="69"/>
      <c r="C72" s="34" t="s">
        <v>45</v>
      </c>
      <c r="D72" s="35" t="s">
        <v>49</v>
      </c>
      <c r="E72" t="s">
        <v>44</v>
      </c>
      <c r="F72"/>
      <c r="G72"/>
      <c r="H72"/>
      <c r="I72"/>
      <c r="J72"/>
      <c r="K72"/>
      <c r="L72"/>
      <c r="M72"/>
      <c r="N72" s="3"/>
      <c r="O72" s="3"/>
      <c r="P72" s="37"/>
      <c r="Q72" s="37"/>
      <c r="R72" s="69"/>
      <c r="S72" s="69"/>
      <c r="T72" s="69"/>
      <c r="U72" s="15" t="s">
        <v>63</v>
      </c>
      <c r="V72" s="15" t="s">
        <v>49</v>
      </c>
      <c r="W72" t="s">
        <v>64</v>
      </c>
      <c r="X72"/>
      <c r="Y72" s="69"/>
      <c r="Z72" s="69"/>
      <c r="AA72" s="69"/>
      <c r="AB72" s="69"/>
      <c r="AC72" s="69"/>
      <c r="AD72" s="69"/>
      <c r="AE72" s="69"/>
      <c r="AF72" s="69"/>
      <c r="AG72" s="69"/>
      <c r="AH72" s="69"/>
      <c r="AI72" s="69"/>
      <c r="AJ72" s="69"/>
      <c r="AK72" s="69"/>
      <c r="AL72" s="69"/>
      <c r="AM72" s="69"/>
      <c r="AN72" s="69"/>
      <c r="AO72" s="69"/>
      <c r="AP72" s="69"/>
      <c r="AQ72" s="69"/>
      <c r="AR72" s="69"/>
      <c r="AS72" s="69"/>
      <c r="AT72" s="69"/>
    </row>
    <row r="73" spans="1:46" x14ac:dyDescent="0.2">
      <c r="A73" s="69"/>
      <c r="B73" s="69"/>
      <c r="C73" s="34" t="s">
        <v>47</v>
      </c>
      <c r="D73" s="35" t="s">
        <v>49</v>
      </c>
      <c r="E73" t="s">
        <v>46</v>
      </c>
      <c r="F73"/>
      <c r="G73"/>
      <c r="H73"/>
      <c r="I73"/>
      <c r="J73"/>
      <c r="K73"/>
      <c r="L73"/>
      <c r="M73"/>
      <c r="N73" s="3"/>
      <c r="O73" s="3"/>
      <c r="P73" s="37"/>
      <c r="Q73" s="37"/>
      <c r="R73" s="69"/>
      <c r="S73" s="69"/>
      <c r="T73" s="69"/>
      <c r="U73" s="15" t="s">
        <v>65</v>
      </c>
      <c r="V73" s="15" t="s">
        <v>49</v>
      </c>
      <c r="W73" t="s">
        <v>66</v>
      </c>
      <c r="X73"/>
      <c r="Y73" s="69"/>
      <c r="Z73" s="69"/>
      <c r="AA73" s="69"/>
      <c r="AB73" s="69"/>
      <c r="AC73" s="69"/>
      <c r="AD73" s="69"/>
      <c r="AE73" s="69"/>
      <c r="AF73" s="69"/>
      <c r="AG73" s="69"/>
      <c r="AH73" s="69"/>
      <c r="AI73" s="69"/>
      <c r="AJ73" s="69"/>
      <c r="AK73" s="69"/>
      <c r="AL73" s="69"/>
      <c r="AM73" s="69"/>
      <c r="AN73" s="69"/>
      <c r="AO73" s="69"/>
      <c r="AP73" s="69"/>
      <c r="AQ73" s="69"/>
      <c r="AR73" s="69"/>
      <c r="AS73" s="69"/>
      <c r="AT73" s="69"/>
    </row>
    <row r="74" spans="1:46" x14ac:dyDescent="0.2">
      <c r="A74" s="69"/>
      <c r="B74" s="69"/>
      <c r="C74" s="34" t="s">
        <v>48</v>
      </c>
      <c r="D74" s="35" t="s">
        <v>49</v>
      </c>
      <c r="E74" t="s">
        <v>29</v>
      </c>
      <c r="F74"/>
      <c r="G74"/>
      <c r="H74"/>
      <c r="I74"/>
      <c r="J74"/>
      <c r="K74"/>
      <c r="L74"/>
      <c r="M74"/>
      <c r="N74" s="36"/>
      <c r="O74" s="3"/>
      <c r="P74" s="37"/>
      <c r="Q74" s="37"/>
      <c r="R74" s="69"/>
      <c r="S74" s="69"/>
      <c r="T74" s="69"/>
      <c r="U74" s="21" t="s">
        <v>52</v>
      </c>
      <c r="V74" s="15" t="s">
        <v>49</v>
      </c>
      <c r="W74" t="s">
        <v>54</v>
      </c>
      <c r="X74"/>
      <c r="Y74" s="69"/>
      <c r="Z74" s="69"/>
      <c r="AA74" s="69"/>
      <c r="AB74" s="69"/>
      <c r="AC74" s="69"/>
      <c r="AD74" s="69"/>
      <c r="AE74" s="69"/>
      <c r="AF74" s="69"/>
      <c r="AG74" s="69"/>
      <c r="AH74" s="69"/>
      <c r="AI74" s="69"/>
      <c r="AJ74" s="69"/>
      <c r="AK74" s="69"/>
      <c r="AL74" s="69"/>
      <c r="AM74" s="69"/>
      <c r="AN74" s="69"/>
      <c r="AO74" s="69"/>
      <c r="AP74" s="69"/>
      <c r="AQ74" s="69"/>
      <c r="AR74" s="69"/>
      <c r="AS74" s="69"/>
      <c r="AT74" s="69"/>
    </row>
    <row r="75" spans="1:46" x14ac:dyDescent="0.2">
      <c r="A75" s="69"/>
      <c r="B75" s="69"/>
      <c r="C75" s="34" t="s">
        <v>3</v>
      </c>
      <c r="D75" s="35" t="s">
        <v>49</v>
      </c>
      <c r="E75" t="s">
        <v>67</v>
      </c>
      <c r="F75"/>
      <c r="G75"/>
      <c r="H75"/>
      <c r="I75"/>
      <c r="J75"/>
      <c r="K75"/>
      <c r="L75"/>
      <c r="M75"/>
      <c r="N75" s="36"/>
      <c r="O75" s="3"/>
      <c r="P75" s="37"/>
      <c r="Q75" s="37"/>
      <c r="R75" s="69"/>
      <c r="S75" s="69"/>
      <c r="T75" s="69"/>
      <c r="U75" s="21" t="s">
        <v>68</v>
      </c>
      <c r="V75" s="15" t="s">
        <v>49</v>
      </c>
      <c r="W75" t="s">
        <v>31</v>
      </c>
      <c r="X75"/>
      <c r="Y75" s="69"/>
      <c r="Z75" s="69"/>
      <c r="AA75" s="69"/>
      <c r="AB75" s="69"/>
      <c r="AC75" s="69"/>
      <c r="AD75" s="69"/>
      <c r="AE75" s="69"/>
      <c r="AF75" s="69"/>
      <c r="AG75" s="69"/>
      <c r="AH75" s="69"/>
      <c r="AI75" s="69"/>
      <c r="AJ75" s="69"/>
      <c r="AK75" s="69"/>
      <c r="AL75" s="69"/>
      <c r="AM75" s="69"/>
      <c r="AN75" s="69"/>
      <c r="AO75" s="69"/>
      <c r="AP75" s="69"/>
      <c r="AQ75" s="69"/>
      <c r="AR75" s="69"/>
      <c r="AS75" s="69"/>
      <c r="AT75" s="69"/>
    </row>
    <row r="76" spans="1:46" x14ac:dyDescent="0.2">
      <c r="A76" s="69"/>
      <c r="B76" s="69"/>
      <c r="C76" s="34" t="s">
        <v>73</v>
      </c>
      <c r="D76" s="35" t="s">
        <v>49</v>
      </c>
      <c r="E76" s="219" t="s">
        <v>75</v>
      </c>
      <c r="F76" s="220"/>
      <c r="G76" s="220"/>
      <c r="H76" s="220"/>
      <c r="I76" s="220"/>
      <c r="J76" s="220"/>
      <c r="K76" s="220"/>
      <c r="L76" s="220"/>
      <c r="M76" s="220"/>
      <c r="N76" s="220"/>
      <c r="O76" s="220"/>
      <c r="P76" s="220"/>
      <c r="Q76" s="220"/>
      <c r="R76" s="69"/>
      <c r="S76" s="69"/>
      <c r="T76" s="69"/>
      <c r="U76" s="21" t="s">
        <v>76</v>
      </c>
      <c r="V76" s="15" t="s">
        <v>49</v>
      </c>
      <c r="W76" t="s">
        <v>77</v>
      </c>
      <c r="X76" s="69"/>
      <c r="Y76" s="69"/>
      <c r="Z76" s="69"/>
      <c r="AA76" s="69"/>
      <c r="AB76" s="69"/>
      <c r="AC76" s="69"/>
      <c r="AD76" s="69"/>
      <c r="AE76" s="69"/>
      <c r="AF76" s="69"/>
      <c r="AG76" s="69"/>
      <c r="AH76" s="69"/>
      <c r="AI76" s="69"/>
      <c r="AJ76" s="69"/>
      <c r="AK76" s="69"/>
      <c r="AL76" s="69"/>
      <c r="AM76" s="69"/>
      <c r="AN76" s="69"/>
      <c r="AO76" s="69"/>
      <c r="AP76" s="69"/>
      <c r="AQ76" s="69"/>
      <c r="AR76" s="69"/>
      <c r="AS76" s="69"/>
      <c r="AT76" s="69"/>
    </row>
    <row r="77" spans="1:46" x14ac:dyDescent="0.2">
      <c r="A77" s="69"/>
      <c r="B77" s="69"/>
      <c r="C77" s="34" t="s">
        <v>142</v>
      </c>
      <c r="D77" s="35" t="s">
        <v>49</v>
      </c>
      <c r="E77" s="219" t="s">
        <v>143</v>
      </c>
      <c r="F77" s="220"/>
      <c r="G77" s="220"/>
      <c r="H77" s="220"/>
      <c r="I77" s="220"/>
      <c r="J77" s="220"/>
      <c r="K77" s="220"/>
      <c r="L77" s="220"/>
      <c r="M77" s="220"/>
      <c r="N77" s="220"/>
      <c r="O77" s="220"/>
      <c r="P77" s="220"/>
      <c r="Q77" s="220"/>
      <c r="R77" s="69"/>
      <c r="S77" s="69"/>
      <c r="T77" s="69"/>
      <c r="U77" s="69"/>
      <c r="V77" s="69"/>
      <c r="W77" s="69"/>
      <c r="X77" s="69"/>
      <c r="Y77" s="69"/>
      <c r="Z77" s="69"/>
      <c r="AA77" s="69"/>
      <c r="AB77" s="69"/>
      <c r="AC77" s="69"/>
      <c r="AD77" s="69"/>
      <c r="AE77" s="69"/>
      <c r="AF77" s="69"/>
      <c r="AG77" s="69"/>
      <c r="AH77" s="69"/>
      <c r="AI77" s="69"/>
      <c r="AJ77" s="69"/>
      <c r="AK77" s="69"/>
      <c r="AL77" s="69"/>
      <c r="AM77" s="69"/>
      <c r="AN77" s="69"/>
      <c r="AO77" s="69"/>
      <c r="AP77" s="69"/>
      <c r="AQ77" s="69"/>
      <c r="AR77" s="69"/>
      <c r="AS77" s="69"/>
      <c r="AT77" s="69"/>
    </row>
  </sheetData>
  <sheetProtection insertColumns="0" insertRows="0" deleteColumns="0" deleteRows="0" autoFilter="0"/>
  <mergeCells count="570">
    <mergeCell ref="AX51:AX52"/>
    <mergeCell ref="AY51:AY52"/>
    <mergeCell ref="AZ51:AZ52"/>
    <mergeCell ref="AO51:AO52"/>
    <mergeCell ref="AP51:AP52"/>
    <mergeCell ref="AQ51:AQ52"/>
    <mergeCell ref="AR51:AR52"/>
    <mergeCell ref="AS51:AS52"/>
    <mergeCell ref="AT51:AT52"/>
    <mergeCell ref="AU51:AU52"/>
    <mergeCell ref="AV51:AV52"/>
    <mergeCell ref="AW51:AW52"/>
    <mergeCell ref="A51:A52"/>
    <mergeCell ref="B51:B52"/>
    <mergeCell ref="C51:C52"/>
    <mergeCell ref="D51:D52"/>
    <mergeCell ref="AJ51:AJ52"/>
    <mergeCell ref="AK51:AK52"/>
    <mergeCell ref="AL51:AL52"/>
    <mergeCell ref="AM51:AM52"/>
    <mergeCell ref="AN51:AN52"/>
    <mergeCell ref="A53:A54"/>
    <mergeCell ref="AS55:AS56"/>
    <mergeCell ref="AT55:AT56"/>
    <mergeCell ref="AU55:AU56"/>
    <mergeCell ref="AV55:AV56"/>
    <mergeCell ref="AW55:AW56"/>
    <mergeCell ref="AX55:AX56"/>
    <mergeCell ref="AY55:AY56"/>
    <mergeCell ref="AZ55:AZ56"/>
    <mergeCell ref="AJ55:AJ56"/>
    <mergeCell ref="AK55:AK56"/>
    <mergeCell ref="AL55:AL56"/>
    <mergeCell ref="AM55:AM56"/>
    <mergeCell ref="AN55:AN56"/>
    <mergeCell ref="AO55:AO56"/>
    <mergeCell ref="AP55:AP56"/>
    <mergeCell ref="AQ55:AQ56"/>
    <mergeCell ref="AR55:AR56"/>
    <mergeCell ref="AW53:AW54"/>
    <mergeCell ref="AX53:AX54"/>
    <mergeCell ref="AY53:AY54"/>
    <mergeCell ref="AS53:AS54"/>
    <mergeCell ref="AT53:AT54"/>
    <mergeCell ref="AU53:AU54"/>
    <mergeCell ref="AQ39:AQ40"/>
    <mergeCell ref="AL23:AL24"/>
    <mergeCell ref="AJ27:AJ28"/>
    <mergeCell ref="AK27:AK28"/>
    <mergeCell ref="AL27:AL28"/>
    <mergeCell ref="AK23:AK24"/>
    <mergeCell ref="AL39:AL40"/>
    <mergeCell ref="AO39:AO40"/>
    <mergeCell ref="AP39:AP40"/>
    <mergeCell ref="AM27:AM28"/>
    <mergeCell ref="AN31:AN32"/>
    <mergeCell ref="AN37:AN38"/>
    <mergeCell ref="AN27:AN28"/>
    <mergeCell ref="AO27:AO28"/>
    <mergeCell ref="AP27:AP28"/>
    <mergeCell ref="AM23:AM24"/>
    <mergeCell ref="AN23:AN24"/>
    <mergeCell ref="AO23:AO24"/>
    <mergeCell ref="AP23:AP24"/>
    <mergeCell ref="AO33:AO34"/>
    <mergeCell ref="AP33:AP34"/>
    <mergeCell ref="AO35:AO36"/>
    <mergeCell ref="AP35:AP36"/>
    <mergeCell ref="AN33:AN34"/>
    <mergeCell ref="C47:C48"/>
    <mergeCell ref="D47:D48"/>
    <mergeCell ref="A39:A40"/>
    <mergeCell ref="A37:A38"/>
    <mergeCell ref="AJ37:AJ38"/>
    <mergeCell ref="AM31:AM32"/>
    <mergeCell ref="AM37:AM38"/>
    <mergeCell ref="AJ33:AJ34"/>
    <mergeCell ref="AK33:AK34"/>
    <mergeCell ref="AL33:AL34"/>
    <mergeCell ref="AM33:AM34"/>
    <mergeCell ref="B35:B36"/>
    <mergeCell ref="C35:C36"/>
    <mergeCell ref="D35:D36"/>
    <mergeCell ref="AJ35:AJ36"/>
    <mergeCell ref="AK35:AK36"/>
    <mergeCell ref="AL35:AL36"/>
    <mergeCell ref="AM35:AM36"/>
    <mergeCell ref="AZ59:AZ60"/>
    <mergeCell ref="A59:A60"/>
    <mergeCell ref="B59:B60"/>
    <mergeCell ref="C59:C60"/>
    <mergeCell ref="D59:D60"/>
    <mergeCell ref="AJ59:AJ60"/>
    <mergeCell ref="AK59:AK60"/>
    <mergeCell ref="AS59:AS60"/>
    <mergeCell ref="AT59:AT60"/>
    <mergeCell ref="AU59:AU60"/>
    <mergeCell ref="AV59:AV60"/>
    <mergeCell ref="AW59:AW60"/>
    <mergeCell ref="AX59:AX60"/>
    <mergeCell ref="AY59:AY60"/>
    <mergeCell ref="AM49:AM50"/>
    <mergeCell ref="AK49:AK50"/>
    <mergeCell ref="AJ39:AJ40"/>
    <mergeCell ref="AJ43:AJ44"/>
    <mergeCell ref="AJ47:AJ48"/>
    <mergeCell ref="AL49:AL50"/>
    <mergeCell ref="A23:A24"/>
    <mergeCell ref="AJ23:AJ24"/>
    <mergeCell ref="B23:B24"/>
    <mergeCell ref="C23:C24"/>
    <mergeCell ref="D23:D24"/>
    <mergeCell ref="C27:C28"/>
    <mergeCell ref="D27:D28"/>
    <mergeCell ref="B27:B28"/>
    <mergeCell ref="A27:A28"/>
    <mergeCell ref="AK47:AK48"/>
    <mergeCell ref="AL47:AL48"/>
    <mergeCell ref="AM47:AM48"/>
    <mergeCell ref="A31:A32"/>
    <mergeCell ref="AJ31:AJ32"/>
    <mergeCell ref="AK31:AK32"/>
    <mergeCell ref="AL31:AL32"/>
    <mergeCell ref="B43:B44"/>
    <mergeCell ref="B47:B48"/>
    <mergeCell ref="AR39:AR40"/>
    <mergeCell ref="AK39:AK40"/>
    <mergeCell ref="AQ17:AQ18"/>
    <mergeCell ref="AR17:AR18"/>
    <mergeCell ref="AU17:AU18"/>
    <mergeCell ref="AV17:AV18"/>
    <mergeCell ref="AW17:AW18"/>
    <mergeCell ref="AX17:AX18"/>
    <mergeCell ref="AY17:AY18"/>
    <mergeCell ref="AP17:AP18"/>
    <mergeCell ref="AK37:AK38"/>
    <mergeCell ref="AL37:AL38"/>
    <mergeCell ref="AR27:AR28"/>
    <mergeCell ref="AW27:AW28"/>
    <mergeCell ref="AO31:AO32"/>
    <mergeCell ref="AP31:AP32"/>
    <mergeCell ref="AQ31:AQ32"/>
    <mergeCell ref="AR31:AR32"/>
    <mergeCell ref="AQ37:AQ38"/>
    <mergeCell ref="AR37:AR38"/>
    <mergeCell ref="AO37:AO38"/>
    <mergeCell ref="AP37:AP38"/>
    <mergeCell ref="AQ33:AQ34"/>
    <mergeCell ref="AR33:AR34"/>
    <mergeCell ref="A17:A18"/>
    <mergeCell ref="B17:B18"/>
    <mergeCell ref="C17:C18"/>
    <mergeCell ref="D17:D18"/>
    <mergeCell ref="AJ17:AJ18"/>
    <mergeCell ref="AK17:AK18"/>
    <mergeCell ref="AL17:AL18"/>
    <mergeCell ref="AM17:AM18"/>
    <mergeCell ref="AN17:AN18"/>
    <mergeCell ref="AQ43:AQ44"/>
    <mergeCell ref="E76:Q76"/>
    <mergeCell ref="E77:Q77"/>
    <mergeCell ref="B39:B40"/>
    <mergeCell ref="C39:C40"/>
    <mergeCell ref="D39:D40"/>
    <mergeCell ref="K66:M66"/>
    <mergeCell ref="O66:S66"/>
    <mergeCell ref="D67:I67"/>
    <mergeCell ref="K67:M67"/>
    <mergeCell ref="O67:S67"/>
    <mergeCell ref="D66:I66"/>
    <mergeCell ref="U66:Z66"/>
    <mergeCell ref="AL53:AL54"/>
    <mergeCell ref="AJ53:AJ54"/>
    <mergeCell ref="AM59:AM60"/>
    <mergeCell ref="AN59:AN60"/>
    <mergeCell ref="AL59:AL60"/>
    <mergeCell ref="AQ53:AQ54"/>
    <mergeCell ref="O65:S65"/>
    <mergeCell ref="AO41:AO42"/>
    <mergeCell ref="AP41:AP42"/>
    <mergeCell ref="AQ41:AQ42"/>
    <mergeCell ref="AP49:AP50"/>
    <mergeCell ref="A55:A56"/>
    <mergeCell ref="B31:B32"/>
    <mergeCell ref="C31:C32"/>
    <mergeCell ref="D31:D32"/>
    <mergeCell ref="B37:B38"/>
    <mergeCell ref="C37:C38"/>
    <mergeCell ref="D37:D38"/>
    <mergeCell ref="D65:I65"/>
    <mergeCell ref="K65:M65"/>
    <mergeCell ref="B53:B54"/>
    <mergeCell ref="C53:C54"/>
    <mergeCell ref="D53:D54"/>
    <mergeCell ref="B61:B62"/>
    <mergeCell ref="C61:C62"/>
    <mergeCell ref="D61:D62"/>
    <mergeCell ref="C43:C44"/>
    <mergeCell ref="B55:B56"/>
    <mergeCell ref="C55:C56"/>
    <mergeCell ref="D55:D56"/>
    <mergeCell ref="A33:A34"/>
    <mergeCell ref="B33:B34"/>
    <mergeCell ref="C33:C34"/>
    <mergeCell ref="D33:D34"/>
    <mergeCell ref="A35:A36"/>
    <mergeCell ref="AZ61:AZ62"/>
    <mergeCell ref="A64:C64"/>
    <mergeCell ref="D64:I64"/>
    <mergeCell ref="K64:M64"/>
    <mergeCell ref="O64:S64"/>
    <mergeCell ref="AS61:AS62"/>
    <mergeCell ref="AT61:AT62"/>
    <mergeCell ref="AU61:AU62"/>
    <mergeCell ref="AV61:AV62"/>
    <mergeCell ref="AX61:AX62"/>
    <mergeCell ref="AY61:AY62"/>
    <mergeCell ref="AM61:AM62"/>
    <mergeCell ref="AN61:AN62"/>
    <mergeCell ref="AO61:AO62"/>
    <mergeCell ref="AP61:AP62"/>
    <mergeCell ref="AQ61:AQ62"/>
    <mergeCell ref="A61:A62"/>
    <mergeCell ref="AW61:AW62"/>
    <mergeCell ref="AJ61:AJ62"/>
    <mergeCell ref="AK61:AK62"/>
    <mergeCell ref="AL61:AL62"/>
    <mergeCell ref="AR61:AR62"/>
    <mergeCell ref="U64:Z64"/>
    <mergeCell ref="AR53:AR54"/>
    <mergeCell ref="AK53:AK54"/>
    <mergeCell ref="AM53:AM54"/>
    <mergeCell ref="AN53:AN54"/>
    <mergeCell ref="AO53:AO54"/>
    <mergeCell ref="AO59:AO60"/>
    <mergeCell ref="AP59:AP60"/>
    <mergeCell ref="AQ59:AQ60"/>
    <mergeCell ref="AR59:AR60"/>
    <mergeCell ref="AP53:AP54"/>
    <mergeCell ref="AR43:AR44"/>
    <mergeCell ref="A49:A50"/>
    <mergeCell ref="AJ49:AJ50"/>
    <mergeCell ref="AO47:AO48"/>
    <mergeCell ref="AP47:AP48"/>
    <mergeCell ref="AQ47:AQ48"/>
    <mergeCell ref="AR47:AR48"/>
    <mergeCell ref="A47:A48"/>
    <mergeCell ref="A43:A44"/>
    <mergeCell ref="AL43:AL44"/>
    <mergeCell ref="AM43:AM44"/>
    <mergeCell ref="AN43:AN44"/>
    <mergeCell ref="AO43:AO44"/>
    <mergeCell ref="AP43:AP44"/>
    <mergeCell ref="B49:B50"/>
    <mergeCell ref="C49:C50"/>
    <mergeCell ref="D49:D50"/>
    <mergeCell ref="AK43:AK44"/>
    <mergeCell ref="D43:D44"/>
    <mergeCell ref="AN47:AN48"/>
    <mergeCell ref="AQ49:AQ50"/>
    <mergeCell ref="AR49:AR50"/>
    <mergeCell ref="AN49:AN50"/>
    <mergeCell ref="AO49:AO50"/>
    <mergeCell ref="AZ37:AZ38"/>
    <mergeCell ref="AS37:AS38"/>
    <mergeCell ref="AT37:AT38"/>
    <mergeCell ref="AU37:AU38"/>
    <mergeCell ref="AV37:AV38"/>
    <mergeCell ref="AX31:AX32"/>
    <mergeCell ref="AY31:AY32"/>
    <mergeCell ref="AZ31:AZ32"/>
    <mergeCell ref="AS31:AS32"/>
    <mergeCell ref="AT31:AT32"/>
    <mergeCell ref="AV31:AV32"/>
    <mergeCell ref="AU31:AU32"/>
    <mergeCell ref="AW31:AW32"/>
    <mergeCell ref="AW37:AW38"/>
    <mergeCell ref="AZ33:AZ34"/>
    <mergeCell ref="AT35:AT36"/>
    <mergeCell ref="AU35:AU36"/>
    <mergeCell ref="AV35:AV36"/>
    <mergeCell ref="AW35:AW36"/>
    <mergeCell ref="AX35:AX36"/>
    <mergeCell ref="AY35:AY36"/>
    <mergeCell ref="AZ35:AZ36"/>
    <mergeCell ref="AX37:AX38"/>
    <mergeCell ref="AY37:AY38"/>
    <mergeCell ref="AS33:AS34"/>
    <mergeCell ref="AT33:AT34"/>
    <mergeCell ref="AU33:AU34"/>
    <mergeCell ref="AV33:AV34"/>
    <mergeCell ref="AW33:AW34"/>
    <mergeCell ref="AX33:AX34"/>
    <mergeCell ref="AY33:AY34"/>
    <mergeCell ref="AQ35:AQ36"/>
    <mergeCell ref="AR35:AR36"/>
    <mergeCell ref="AS35:AS36"/>
    <mergeCell ref="AZ13:AZ15"/>
    <mergeCell ref="AK14:AK15"/>
    <mergeCell ref="AL14:AO14"/>
    <mergeCell ref="AW13:AW15"/>
    <mergeCell ref="AY13:AY15"/>
    <mergeCell ref="AK13:AO13"/>
    <mergeCell ref="AR13:AR15"/>
    <mergeCell ref="AZ27:AZ28"/>
    <mergeCell ref="AV27:AV28"/>
    <mergeCell ref="AX27:AX28"/>
    <mergeCell ref="AY27:AY28"/>
    <mergeCell ref="AS27:AS28"/>
    <mergeCell ref="AT27:AT28"/>
    <mergeCell ref="AU27:AU28"/>
    <mergeCell ref="AX23:AX24"/>
    <mergeCell ref="AW23:AW24"/>
    <mergeCell ref="AY23:AY24"/>
    <mergeCell ref="AZ23:AZ24"/>
    <mergeCell ref="AS23:AS24"/>
    <mergeCell ref="AT23:AT24"/>
    <mergeCell ref="AU23:AU24"/>
    <mergeCell ref="AZ17:AZ18"/>
    <mergeCell ref="AS17:AS18"/>
    <mergeCell ref="AQ27:AQ28"/>
    <mergeCell ref="W6:Y7"/>
    <mergeCell ref="Z6:AB7"/>
    <mergeCell ref="A8:B8"/>
    <mergeCell ref="C8:F8"/>
    <mergeCell ref="W8:Y8"/>
    <mergeCell ref="Z8:AB8"/>
    <mergeCell ref="E13:E15"/>
    <mergeCell ref="AC13:AC15"/>
    <mergeCell ref="AD13:AD15"/>
    <mergeCell ref="U13:U15"/>
    <mergeCell ref="V13:V15"/>
    <mergeCell ref="W13:W15"/>
    <mergeCell ref="X13:X15"/>
    <mergeCell ref="Y13:Y15"/>
    <mergeCell ref="Z13:Z15"/>
    <mergeCell ref="H9:S9"/>
    <mergeCell ref="D10:P10"/>
    <mergeCell ref="O13:O15"/>
    <mergeCell ref="P13:P15"/>
    <mergeCell ref="Q13:Q15"/>
    <mergeCell ref="R13:R15"/>
    <mergeCell ref="S13:S15"/>
    <mergeCell ref="AA13:AA15"/>
    <mergeCell ref="AB13:AB15"/>
    <mergeCell ref="AV23:AV24"/>
    <mergeCell ref="AR23:AR24"/>
    <mergeCell ref="AQ23:AQ24"/>
    <mergeCell ref="AO17:AO18"/>
    <mergeCell ref="AT17:AT18"/>
    <mergeCell ref="A2:N2"/>
    <mergeCell ref="AJ12:AO12"/>
    <mergeCell ref="W2:AB2"/>
    <mergeCell ref="W3:Y3"/>
    <mergeCell ref="Z3:AB3"/>
    <mergeCell ref="W4:Y4"/>
    <mergeCell ref="Z4:AB4"/>
    <mergeCell ref="A12:A15"/>
    <mergeCell ref="B12:B15"/>
    <mergeCell ref="C12:C15"/>
    <mergeCell ref="D12:D15"/>
    <mergeCell ref="E12:AI12"/>
    <mergeCell ref="L13:L15"/>
    <mergeCell ref="M13:M15"/>
    <mergeCell ref="N13:N15"/>
    <mergeCell ref="A5:N5"/>
    <mergeCell ref="A6:N6"/>
    <mergeCell ref="F13:F15"/>
    <mergeCell ref="K13:K15"/>
    <mergeCell ref="E16:AI16"/>
    <mergeCell ref="AK16:AO16"/>
    <mergeCell ref="AS13:AS15"/>
    <mergeCell ref="AT13:AT15"/>
    <mergeCell ref="AU13:AU15"/>
    <mergeCell ref="AV13:AV15"/>
    <mergeCell ref="AX13:AX15"/>
    <mergeCell ref="AG13:AG15"/>
    <mergeCell ref="AH13:AH15"/>
    <mergeCell ref="AI13:AI15"/>
    <mergeCell ref="AJ13:AJ15"/>
    <mergeCell ref="I13:I15"/>
    <mergeCell ref="J13:J15"/>
    <mergeCell ref="AP12:AP15"/>
    <mergeCell ref="AQ12:AQ15"/>
    <mergeCell ref="AE13:AE15"/>
    <mergeCell ref="AF13:AF15"/>
    <mergeCell ref="T13:T15"/>
    <mergeCell ref="G13:G15"/>
    <mergeCell ref="H13:H15"/>
    <mergeCell ref="AZ39:AZ40"/>
    <mergeCell ref="AS39:AS40"/>
    <mergeCell ref="AT39:AT40"/>
    <mergeCell ref="AU39:AU40"/>
    <mergeCell ref="AV39:AV40"/>
    <mergeCell ref="AX39:AX40"/>
    <mergeCell ref="AY39:AY40"/>
    <mergeCell ref="AV43:AV44"/>
    <mergeCell ref="AW39:AW40"/>
    <mergeCell ref="AW43:AW44"/>
    <mergeCell ref="AX41:AX42"/>
    <mergeCell ref="AY41:AY42"/>
    <mergeCell ref="AZ41:AZ42"/>
    <mergeCell ref="AW49:AW50"/>
    <mergeCell ref="AX43:AX44"/>
    <mergeCell ref="AT43:AT44"/>
    <mergeCell ref="AU43:AU44"/>
    <mergeCell ref="AS43:AS44"/>
    <mergeCell ref="AZ47:AZ48"/>
    <mergeCell ref="AY43:AY44"/>
    <mergeCell ref="AZ43:AZ44"/>
    <mergeCell ref="AZ53:AZ54"/>
    <mergeCell ref="AY49:AY50"/>
    <mergeCell ref="AZ49:AZ50"/>
    <mergeCell ref="AU47:AU48"/>
    <mergeCell ref="AV47:AV48"/>
    <mergeCell ref="AS47:AS48"/>
    <mergeCell ref="AT47:AT48"/>
    <mergeCell ref="AX49:AX50"/>
    <mergeCell ref="AS49:AS50"/>
    <mergeCell ref="AT49:AT50"/>
    <mergeCell ref="AU49:AU50"/>
    <mergeCell ref="AV49:AV50"/>
    <mergeCell ref="AX47:AX48"/>
    <mergeCell ref="AY47:AY48"/>
    <mergeCell ref="AW47:AW48"/>
    <mergeCell ref="AV53:AV54"/>
    <mergeCell ref="A19:A20"/>
    <mergeCell ref="B19:B20"/>
    <mergeCell ref="C19:C20"/>
    <mergeCell ref="D19:D20"/>
    <mergeCell ref="AJ19:AJ20"/>
    <mergeCell ref="AK19:AK20"/>
    <mergeCell ref="AL19:AL20"/>
    <mergeCell ref="AM19:AM20"/>
    <mergeCell ref="AN19:AN20"/>
    <mergeCell ref="AX19:AX20"/>
    <mergeCell ref="AY19:AY20"/>
    <mergeCell ref="AZ19:AZ20"/>
    <mergeCell ref="AO19:AO20"/>
    <mergeCell ref="AP19:AP20"/>
    <mergeCell ref="AQ19:AQ20"/>
    <mergeCell ref="AR19:AR20"/>
    <mergeCell ref="AS19:AS20"/>
    <mergeCell ref="AT19:AT20"/>
    <mergeCell ref="AU19:AU20"/>
    <mergeCell ref="AV19:AV20"/>
    <mergeCell ref="AW19:AW20"/>
    <mergeCell ref="A21:A22"/>
    <mergeCell ref="B21:B22"/>
    <mergeCell ref="C21:C22"/>
    <mergeCell ref="D21:D22"/>
    <mergeCell ref="AJ21:AJ22"/>
    <mergeCell ref="AK21:AK22"/>
    <mergeCell ref="AL21:AL22"/>
    <mergeCell ref="AM21:AM22"/>
    <mergeCell ref="AN21:AN22"/>
    <mergeCell ref="AO21:AO22"/>
    <mergeCell ref="AP21:AP22"/>
    <mergeCell ref="AQ21:AQ22"/>
    <mergeCell ref="AR21:AR22"/>
    <mergeCell ref="AS21:AS22"/>
    <mergeCell ref="AT21:AT22"/>
    <mergeCell ref="AU21:AU22"/>
    <mergeCell ref="AV21:AV22"/>
    <mergeCell ref="AW21:AW22"/>
    <mergeCell ref="AX21:AX22"/>
    <mergeCell ref="AY21:AY22"/>
    <mergeCell ref="AZ21:AZ22"/>
    <mergeCell ref="A25:A26"/>
    <mergeCell ref="B25:B26"/>
    <mergeCell ref="C25:C26"/>
    <mergeCell ref="D25:D26"/>
    <mergeCell ref="AJ25:AJ26"/>
    <mergeCell ref="AK25:AK26"/>
    <mergeCell ref="AL25:AL26"/>
    <mergeCell ref="AM25:AM26"/>
    <mergeCell ref="AN25:AN26"/>
    <mergeCell ref="AO25:AO26"/>
    <mergeCell ref="AP25:AP26"/>
    <mergeCell ref="AQ25:AQ26"/>
    <mergeCell ref="AR25:AR26"/>
    <mergeCell ref="AS25:AS26"/>
    <mergeCell ref="AT25:AT26"/>
    <mergeCell ref="AU25:AU26"/>
    <mergeCell ref="AV25:AV26"/>
    <mergeCell ref="AW25:AW26"/>
    <mergeCell ref="AX25:AX26"/>
    <mergeCell ref="AY25:AY26"/>
    <mergeCell ref="AZ25:AZ26"/>
    <mergeCell ref="AN35:AN36"/>
    <mergeCell ref="A41:A42"/>
    <mergeCell ref="B41:B42"/>
    <mergeCell ref="C41:C42"/>
    <mergeCell ref="D41:D42"/>
    <mergeCell ref="AJ41:AJ42"/>
    <mergeCell ref="AK41:AK42"/>
    <mergeCell ref="AL41:AL42"/>
    <mergeCell ref="AM41:AM42"/>
    <mergeCell ref="AN41:AN42"/>
    <mergeCell ref="AM39:AM40"/>
    <mergeCell ref="AN39:AN40"/>
    <mergeCell ref="AR41:AR42"/>
    <mergeCell ref="AS41:AS42"/>
    <mergeCell ref="AT41:AT42"/>
    <mergeCell ref="AU41:AU42"/>
    <mergeCell ref="AV41:AV42"/>
    <mergeCell ref="AW41:AW42"/>
    <mergeCell ref="A45:A46"/>
    <mergeCell ref="B45:B46"/>
    <mergeCell ref="C45:C46"/>
    <mergeCell ref="D45:D46"/>
    <mergeCell ref="AJ45:AJ46"/>
    <mergeCell ref="AK45:AK46"/>
    <mergeCell ref="AL45:AL46"/>
    <mergeCell ref="AM45:AM46"/>
    <mergeCell ref="AN45:AN46"/>
    <mergeCell ref="AO45:AO46"/>
    <mergeCell ref="AP45:AP46"/>
    <mergeCell ref="AQ45:AQ46"/>
    <mergeCell ref="AR45:AR46"/>
    <mergeCell ref="AS45:AS46"/>
    <mergeCell ref="AT45:AT46"/>
    <mergeCell ref="AU45:AU46"/>
    <mergeCell ref="AV45:AV46"/>
    <mergeCell ref="AW45:AW46"/>
    <mergeCell ref="AX45:AX46"/>
    <mergeCell ref="AY45:AY46"/>
    <mergeCell ref="AZ45:AZ46"/>
    <mergeCell ref="A57:A58"/>
    <mergeCell ref="B57:B58"/>
    <mergeCell ref="C57:C58"/>
    <mergeCell ref="D57:D58"/>
    <mergeCell ref="AJ57:AJ58"/>
    <mergeCell ref="AK57:AK58"/>
    <mergeCell ref="AL57:AL58"/>
    <mergeCell ref="AM57:AM58"/>
    <mergeCell ref="AN57:AN58"/>
    <mergeCell ref="AO57:AO58"/>
    <mergeCell ref="AP57:AP58"/>
    <mergeCell ref="AQ57:AQ58"/>
    <mergeCell ref="AR57:AR58"/>
    <mergeCell ref="AS57:AS58"/>
    <mergeCell ref="AT57:AT58"/>
    <mergeCell ref="AU57:AU58"/>
    <mergeCell ref="AV57:AV58"/>
    <mergeCell ref="AW57:AW58"/>
    <mergeCell ref="AX57:AX58"/>
    <mergeCell ref="AY57:AY58"/>
    <mergeCell ref="AZ57:AZ58"/>
    <mergeCell ref="A29:A30"/>
    <mergeCell ref="B29:B30"/>
    <mergeCell ref="C29:C30"/>
    <mergeCell ref="D29:D30"/>
    <mergeCell ref="AJ29:AJ30"/>
    <mergeCell ref="AK29:AK30"/>
    <mergeCell ref="AL29:AL30"/>
    <mergeCell ref="AM29:AM30"/>
    <mergeCell ref="AN29:AN30"/>
    <mergeCell ref="AX29:AX30"/>
    <mergeCell ref="AY29:AY30"/>
    <mergeCell ref="AZ29:AZ30"/>
    <mergeCell ref="AO29:AO30"/>
    <mergeCell ref="AP29:AP30"/>
    <mergeCell ref="AQ29:AQ30"/>
    <mergeCell ref="AR29:AR30"/>
    <mergeCell ref="AS29:AS30"/>
    <mergeCell ref="AT29:AT30"/>
    <mergeCell ref="AU29:AU30"/>
    <mergeCell ref="AV29:AV30"/>
    <mergeCell ref="AW29:AW30"/>
  </mergeCells>
  <conditionalFormatting sqref="E17">
    <cfRule type="expression" dxfId="1022" priority="73" stopIfTrue="1">
      <formula>(E17="Р")</formula>
    </cfRule>
    <cfRule type="expression" dxfId="1021" priority="74" stopIfTrue="1">
      <formula>(E17="ВЧ")</formula>
    </cfRule>
    <cfRule type="expression" dxfId="1020" priority="75" stopIfTrue="1">
      <formula>(E17="ВЧ1")</formula>
    </cfRule>
    <cfRule type="expression" dxfId="1019" priority="76" stopIfTrue="1">
      <formula>(E17="ВЧ2")</formula>
    </cfRule>
    <cfRule type="expression" dxfId="1018" priority="77" stopIfTrue="1">
      <formula>(E17="РН")</formula>
    </cfRule>
    <cfRule type="expression" dxfId="1017" priority="78" stopIfTrue="1">
      <formula>(E17="НУ")</formula>
    </cfRule>
    <cfRule type="expression" dxfId="1016" priority="79" stopIfTrue="1">
      <formula>(E17="Р1")</formula>
    </cfRule>
    <cfRule type="expression" dxfId="1015" priority="80" stopIfTrue="1">
      <formula>(E17="Р2")</formula>
    </cfRule>
    <cfRule type="expression" dxfId="1014" priority="81" stopIfTrue="1">
      <formula>(E17="Р1/РВ")</formula>
    </cfRule>
    <cfRule type="expression" dxfId="1013" priority="82" stopIfTrue="1">
      <formula>(E17="Р2/РВ")</formula>
    </cfRule>
    <cfRule type="expression" dxfId="1012" priority="83" stopIfTrue="1">
      <formula>(E17="ВЧ/РВ")</formula>
    </cfRule>
    <cfRule type="expression" priority="84" stopIfTrue="1">
      <formula>(E17="РН/РВ")</formula>
    </cfRule>
  </conditionalFormatting>
  <conditionalFormatting sqref="F17:AI17">
    <cfRule type="expression" dxfId="1011" priority="61" stopIfTrue="1">
      <formula>(F17="Р")</formula>
    </cfRule>
    <cfRule type="expression" dxfId="1010" priority="62" stopIfTrue="1">
      <formula>(F17="ВЧ")</formula>
    </cfRule>
    <cfRule type="expression" dxfId="1009" priority="63" stopIfTrue="1">
      <formula>(F17="ВЧ1")</formula>
    </cfRule>
    <cfRule type="expression" dxfId="1008" priority="64" stopIfTrue="1">
      <formula>(F17="ВЧ2")</formula>
    </cfRule>
    <cfRule type="expression" dxfId="1007" priority="65" stopIfTrue="1">
      <formula>(F17="РН")</formula>
    </cfRule>
    <cfRule type="expression" dxfId="1006" priority="66" stopIfTrue="1">
      <formula>(F17="НУ")</formula>
    </cfRule>
    <cfRule type="expression" dxfId="1005" priority="67" stopIfTrue="1">
      <formula>(F17="Р1")</formula>
    </cfRule>
    <cfRule type="expression" dxfId="1004" priority="68" stopIfTrue="1">
      <formula>(F17="Р2")</formula>
    </cfRule>
    <cfRule type="expression" dxfId="1003" priority="69" stopIfTrue="1">
      <formula>(F17="Р1/РВ")</formula>
    </cfRule>
    <cfRule type="expression" dxfId="1002" priority="70" stopIfTrue="1">
      <formula>(F17="Р2/РВ")</formula>
    </cfRule>
    <cfRule type="expression" dxfId="1001" priority="71" stopIfTrue="1">
      <formula>(F17="ВЧ/РВ")</formula>
    </cfRule>
    <cfRule type="expression" priority="72" stopIfTrue="1">
      <formula>(F17="РН/РВ")</formula>
    </cfRule>
  </conditionalFormatting>
  <conditionalFormatting sqref="E18">
    <cfRule type="expression" dxfId="1000" priority="85" stopIfTrue="1">
      <formula>(E17="ВД")</formula>
    </cfRule>
    <cfRule type="expression" dxfId="999" priority="86" stopIfTrue="1">
      <formula>(E17="В")</formula>
    </cfRule>
    <cfRule type="expression" dxfId="998" priority="87" stopIfTrue="1">
      <formula>(E17="ВП")</formula>
    </cfRule>
    <cfRule type="expression" dxfId="997" priority="88" stopIfTrue="1">
      <formula>(E17="ДД")</formula>
    </cfRule>
    <cfRule type="expression" dxfId="996" priority="89" stopIfTrue="1">
      <formula>(E17="НА")</formula>
    </cfRule>
    <cfRule type="expression" dxfId="995" priority="90" stopIfTrue="1">
      <formula>(E17="Ч")</formula>
    </cfRule>
    <cfRule type="expression" dxfId="994" priority="91" stopIfTrue="1">
      <formula>(E17="Н")</formula>
    </cfRule>
    <cfRule type="expression" dxfId="993" priority="92" stopIfTrue="1">
      <formula>(E17="ТН")</formula>
    </cfRule>
    <cfRule type="expression" dxfId="992" priority="93" stopIfTrue="1">
      <formula>(E17="ДО")</formula>
    </cfRule>
    <cfRule type="expression" dxfId="991" priority="94" stopIfTrue="1">
      <formula>(E17="ІН")</formula>
    </cfRule>
    <cfRule type="expression" dxfId="990" priority="95" stopIfTrue="1">
      <formula>(E17="РВ")</formula>
    </cfRule>
    <cfRule type="expression" dxfId="989" priority="96" stopIfTrue="1">
      <formula>(E17="ВБ")</formula>
    </cfRule>
  </conditionalFormatting>
  <conditionalFormatting sqref="F18:AI18">
    <cfRule type="expression" dxfId="988" priority="49" stopIfTrue="1">
      <formula>(F17="ВД")</formula>
    </cfRule>
    <cfRule type="expression" dxfId="987" priority="50" stopIfTrue="1">
      <formula>(F17="В")</formula>
    </cfRule>
    <cfRule type="expression" dxfId="986" priority="51" stopIfTrue="1">
      <formula>(F17="ВП")</formula>
    </cfRule>
    <cfRule type="expression" dxfId="985" priority="52" stopIfTrue="1">
      <formula>(F17="ДД")</formula>
    </cfRule>
    <cfRule type="expression" dxfId="984" priority="53" stopIfTrue="1">
      <formula>(F17="НА")</formula>
    </cfRule>
    <cfRule type="expression" dxfId="983" priority="54" stopIfTrue="1">
      <formula>(F17="Ч")</formula>
    </cfRule>
    <cfRule type="expression" dxfId="982" priority="55" stopIfTrue="1">
      <formula>(F17="Н")</formula>
    </cfRule>
    <cfRule type="expression" dxfId="981" priority="56" stopIfTrue="1">
      <formula>(F17="ТН")</formula>
    </cfRule>
    <cfRule type="expression" dxfId="980" priority="57" stopIfTrue="1">
      <formula>(F17="ДО")</formula>
    </cfRule>
    <cfRule type="expression" dxfId="979" priority="58" stopIfTrue="1">
      <formula>(F17="ІН")</formula>
    </cfRule>
    <cfRule type="expression" dxfId="978" priority="59" stopIfTrue="1">
      <formula>(F17="РВ")</formula>
    </cfRule>
    <cfRule type="expression" dxfId="977" priority="60" stopIfTrue="1">
      <formula>(F17="ВБ")</formula>
    </cfRule>
  </conditionalFormatting>
  <conditionalFormatting sqref="E19 E21 E23 E25 E27 E29 E31 E33 E35 E37 E39 E41 E43 E45 E47 E49 E51 E53 E55 E57 E59">
    <cfRule type="expression" dxfId="976" priority="25" stopIfTrue="1">
      <formula>(E19="Р")</formula>
    </cfRule>
    <cfRule type="expression" dxfId="975" priority="26" stopIfTrue="1">
      <formula>(E19="ВЧ")</formula>
    </cfRule>
    <cfRule type="expression" dxfId="974" priority="27" stopIfTrue="1">
      <formula>(E19="ВЧ1")</formula>
    </cfRule>
    <cfRule type="expression" dxfId="973" priority="28" stopIfTrue="1">
      <formula>(E19="ВЧ2")</formula>
    </cfRule>
    <cfRule type="expression" dxfId="972" priority="29" stopIfTrue="1">
      <formula>(E19="РН")</formula>
    </cfRule>
    <cfRule type="expression" dxfId="971" priority="30" stopIfTrue="1">
      <formula>(E19="НУ")</formula>
    </cfRule>
    <cfRule type="expression" dxfId="970" priority="31" stopIfTrue="1">
      <formula>(E19="Р1")</formula>
    </cfRule>
    <cfRule type="expression" dxfId="969" priority="32" stopIfTrue="1">
      <formula>(E19="Р2")</formula>
    </cfRule>
    <cfRule type="expression" dxfId="968" priority="33" stopIfTrue="1">
      <formula>(E19="Р1/РВ")</formula>
    </cfRule>
    <cfRule type="expression" dxfId="967" priority="34" stopIfTrue="1">
      <formula>(E19="Р2/РВ")</formula>
    </cfRule>
    <cfRule type="expression" dxfId="966" priority="35" stopIfTrue="1">
      <formula>(E19="ВЧ/РВ")</formula>
    </cfRule>
    <cfRule type="expression" priority="36" stopIfTrue="1">
      <formula>(E19="РН/РВ")</formula>
    </cfRule>
  </conditionalFormatting>
  <conditionalFormatting sqref="F19:AI19 F21:AI21 F23:AI23 F25:AI25 F27:AI27 F29:AI29 F31:AI31 F33:AI33 F35:AI35 F37:AI37 F39:AI39 F41:AI41 F43:AI43 F45:AI45 F47:AI47 F49:AI49 F51:AI51 F53:AI53 F55:AI55 F57:AI57 F59:AI59">
    <cfRule type="expression" dxfId="965" priority="13" stopIfTrue="1">
      <formula>(F19="Р")</formula>
    </cfRule>
    <cfRule type="expression" dxfId="964" priority="14" stopIfTrue="1">
      <formula>(F19="ВЧ")</formula>
    </cfRule>
    <cfRule type="expression" dxfId="963" priority="15" stopIfTrue="1">
      <formula>(F19="ВЧ1")</formula>
    </cfRule>
    <cfRule type="expression" dxfId="962" priority="16" stopIfTrue="1">
      <formula>(F19="ВЧ2")</formula>
    </cfRule>
    <cfRule type="expression" dxfId="961" priority="17" stopIfTrue="1">
      <formula>(F19="РН")</formula>
    </cfRule>
    <cfRule type="expression" dxfId="960" priority="18" stopIfTrue="1">
      <formula>(F19="НУ")</formula>
    </cfRule>
    <cfRule type="expression" dxfId="959" priority="19" stopIfTrue="1">
      <formula>(F19="Р1")</formula>
    </cfRule>
    <cfRule type="expression" dxfId="958" priority="20" stopIfTrue="1">
      <formula>(F19="Р2")</formula>
    </cfRule>
    <cfRule type="expression" dxfId="957" priority="21" stopIfTrue="1">
      <formula>(F19="Р1/РВ")</formula>
    </cfRule>
    <cfRule type="expression" dxfId="956" priority="22" stopIfTrue="1">
      <formula>(F19="Р2/РВ")</formula>
    </cfRule>
    <cfRule type="expression" dxfId="955" priority="23" stopIfTrue="1">
      <formula>(F19="ВЧ/РВ")</formula>
    </cfRule>
    <cfRule type="expression" priority="24" stopIfTrue="1">
      <formula>(F19="РН/РВ")</formula>
    </cfRule>
  </conditionalFormatting>
  <conditionalFormatting sqref="E20 E22 E24 E26 E28 E30 E32 E34 E36 E38 E40 E42 E44 E46 E48 E50 E52 E54 E56 E58 E60">
    <cfRule type="expression" dxfId="954" priority="37" stopIfTrue="1">
      <formula>(E19="ВД")</formula>
    </cfRule>
    <cfRule type="expression" dxfId="953" priority="38" stopIfTrue="1">
      <formula>(E19="В")</formula>
    </cfRule>
    <cfRule type="expression" dxfId="952" priority="39" stopIfTrue="1">
      <formula>(E19="ВП")</formula>
    </cfRule>
    <cfRule type="expression" dxfId="951" priority="40" stopIfTrue="1">
      <formula>(E19="ДД")</formula>
    </cfRule>
    <cfRule type="expression" dxfId="950" priority="41" stopIfTrue="1">
      <formula>(E19="НА")</formula>
    </cfRule>
    <cfRule type="expression" dxfId="949" priority="42" stopIfTrue="1">
      <formula>(E19="Ч")</formula>
    </cfRule>
    <cfRule type="expression" dxfId="948" priority="43" stopIfTrue="1">
      <formula>(E19="Н")</formula>
    </cfRule>
    <cfRule type="expression" dxfId="947" priority="44" stopIfTrue="1">
      <formula>(E19="ТН")</formula>
    </cfRule>
    <cfRule type="expression" dxfId="946" priority="45" stopIfTrue="1">
      <formula>(E19="ДО")</formula>
    </cfRule>
    <cfRule type="expression" dxfId="945" priority="46" stopIfTrue="1">
      <formula>(E19="ІН")</formula>
    </cfRule>
    <cfRule type="expression" dxfId="944" priority="47" stopIfTrue="1">
      <formula>(E19="РВ")</formula>
    </cfRule>
    <cfRule type="expression" dxfId="943" priority="48" stopIfTrue="1">
      <formula>(E19="ВБ")</formula>
    </cfRule>
  </conditionalFormatting>
  <conditionalFormatting sqref="F20:AI20 F22:AI22 F24:AI24 F26:AI26 F28:AI28 F30:AI30 F32:AI32 F34:AI34 F36:AI36 F38:AI38 F40:AI40 F42:AI42 F44:AI44 F46:AI46 F48:AI48 F50:AI50 F52:AI52 F54:AI54 F56:AI56 F58:AI58 F60:AI60">
    <cfRule type="expression" dxfId="942" priority="1" stopIfTrue="1">
      <formula>(F19="ВД")</formula>
    </cfRule>
    <cfRule type="expression" dxfId="941" priority="2" stopIfTrue="1">
      <formula>(F19="В")</formula>
    </cfRule>
    <cfRule type="expression" dxfId="940" priority="3" stopIfTrue="1">
      <formula>(F19="ВП")</formula>
    </cfRule>
    <cfRule type="expression" dxfId="939" priority="4" stopIfTrue="1">
      <formula>(F19="ДД")</formula>
    </cfRule>
    <cfRule type="expression" dxfId="938" priority="5" stopIfTrue="1">
      <formula>(F19="НА")</formula>
    </cfRule>
    <cfRule type="expression" dxfId="937" priority="6" stopIfTrue="1">
      <formula>(F19="Ч")</formula>
    </cfRule>
    <cfRule type="expression" dxfId="936" priority="7" stopIfTrue="1">
      <formula>(F19="Н")</formula>
    </cfRule>
    <cfRule type="expression" dxfId="935" priority="8" stopIfTrue="1">
      <formula>(F19="ТН")</formula>
    </cfRule>
    <cfRule type="expression" dxfId="934" priority="9" stopIfTrue="1">
      <formula>(F19="ДО")</formula>
    </cfRule>
    <cfRule type="expression" dxfId="933" priority="10" stopIfTrue="1">
      <formula>(F19="ІН")</formula>
    </cfRule>
    <cfRule type="expression" dxfId="932" priority="11" stopIfTrue="1">
      <formula>(F19="РВ")</formula>
    </cfRule>
    <cfRule type="expression" dxfId="931" priority="12" stopIfTrue="1">
      <formula>(F19="ВБ")</formula>
    </cfRule>
  </conditionalFormatting>
  <printOptions horizontalCentered="1"/>
  <pageMargins left="0.39370078740157483" right="0.39370078740157483" top="0.59055118110236227" bottom="0.59055118110236227" header="0" footer="0"/>
  <pageSetup paperSize="8" scale="81" fitToHeight="999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03" r:id="rId4" name="Button 7">
              <controlPr defaultSize="0" print="0" autoFill="0" autoPict="0" macro="[0]!Макрос1">
                <anchor moveWithCells="1" sizeWithCells="1">
                  <from>
                    <xdr:col>16</xdr:col>
                    <xdr:colOff>190500</xdr:colOff>
                    <xdr:row>1</xdr:row>
                    <xdr:rowOff>19050</xdr:rowOff>
                  </from>
                  <to>
                    <xdr:col>20</xdr:col>
                    <xdr:colOff>219075</xdr:colOff>
                    <xdr:row>2</xdr:row>
                    <xdr:rowOff>85725</xdr:rowOff>
                  </to>
                </anchor>
              </controlPr>
            </control>
          </mc:Choice>
        </mc:AlternateContent>
        <mc:AlternateContent xmlns:mc="http://schemas.openxmlformats.org/markup-compatibility/2006">
          <mc:Choice Requires="x14">
            <control shapeId="29704" r:id="rId5" name="Button 8">
              <controlPr defaultSize="0" print="0" autoFill="0" autoPict="0" macro="[0]!Макрос2">
                <anchor moveWithCells="1" sizeWithCells="1">
                  <from>
                    <xdr:col>16</xdr:col>
                    <xdr:colOff>190500</xdr:colOff>
                    <xdr:row>3</xdr:row>
                    <xdr:rowOff>66675</xdr:rowOff>
                  </from>
                  <to>
                    <xdr:col>20</xdr:col>
                    <xdr:colOff>228600</xdr:colOff>
                    <xdr:row>4</xdr:row>
                    <xdr:rowOff>104775</xdr:rowOff>
                  </to>
                </anchor>
              </controlPr>
            </control>
          </mc:Choice>
        </mc:AlternateContent>
        <mc:AlternateContent xmlns:mc="http://schemas.openxmlformats.org/markup-compatibility/2006">
          <mc:Choice Requires="x14">
            <control shapeId="29705" r:id="rId6" name="Button 9">
              <controlPr defaultSize="0" print="0" autoFill="0" autoPict="0" macro="[0]!Макрос3">
                <anchor moveWithCells="1" sizeWithCells="1">
                  <from>
                    <xdr:col>15</xdr:col>
                    <xdr:colOff>171450</xdr:colOff>
                    <xdr:row>5</xdr:row>
                    <xdr:rowOff>85725</xdr:rowOff>
                  </from>
                  <to>
                    <xdr:col>20</xdr:col>
                    <xdr:colOff>228600</xdr:colOff>
                    <xdr:row>6</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9">
    <pageSetUpPr fitToPage="1"/>
  </sheetPr>
  <dimension ref="A2:AZ85"/>
  <sheetViews>
    <sheetView showZeros="0" topLeftCell="C1" zoomScale="85" zoomScaleNormal="85" zoomScaleSheetLayoutView="80" workbookViewId="0">
      <pane ySplit="15" topLeftCell="A62" activePane="bottomLeft" state="frozen"/>
      <selection pane="bottomLeft" activeCell="AX69" sqref="AX69:AX70"/>
    </sheetView>
  </sheetViews>
  <sheetFormatPr defaultRowHeight="12.75" x14ac:dyDescent="0.2"/>
  <cols>
    <col min="1" max="1" width="5.28515625" style="1" customWidth="1"/>
    <col min="2" max="2" width="25.85546875" style="1" customWidth="1"/>
    <col min="3" max="3" width="5.85546875" style="13" customWidth="1"/>
    <col min="4" max="4" width="3.7109375" style="1" customWidth="1"/>
    <col min="5" max="5" width="4.28515625" style="1" customWidth="1"/>
    <col min="6" max="9" width="3.7109375" style="1" customWidth="1"/>
    <col min="10" max="10" width="4.28515625" style="1" customWidth="1"/>
    <col min="11" max="12" width="3.7109375" style="1" customWidth="1"/>
    <col min="13" max="13" width="4.42578125" style="1" customWidth="1"/>
    <col min="14" max="15" width="3.7109375" style="1" customWidth="1"/>
    <col min="16" max="16" width="4.28515625" style="1" customWidth="1"/>
    <col min="17" max="18" width="3.7109375" style="1" customWidth="1"/>
    <col min="19" max="19" width="5.28515625" style="1" customWidth="1"/>
    <col min="20" max="21" width="3.7109375" style="1" customWidth="1"/>
    <col min="22" max="22" width="4.28515625" style="1" customWidth="1"/>
    <col min="23" max="23" width="3.7109375" style="54" customWidth="1"/>
    <col min="24" max="31" width="3.7109375" style="1" customWidth="1"/>
    <col min="32" max="32" width="4.28515625" style="1" customWidth="1"/>
    <col min="33" max="33" width="3.85546875" style="1" customWidth="1"/>
    <col min="34" max="35" width="3.7109375" style="1" customWidth="1"/>
    <col min="36" max="36" width="4.7109375" style="1" customWidth="1"/>
    <col min="37" max="37" width="7.42578125" style="1" customWidth="1"/>
    <col min="38" max="42" width="4.7109375" style="1" customWidth="1"/>
    <col min="43" max="43" width="6.42578125" style="1" customWidth="1"/>
    <col min="44" max="45" width="4.7109375" style="1" customWidth="1"/>
    <col min="46" max="46" width="6.7109375" style="1" customWidth="1"/>
    <col min="47" max="48" width="4.7109375" style="1" customWidth="1"/>
    <col min="49" max="49" width="4.7109375" style="131" customWidth="1"/>
    <col min="50" max="52" width="4.7109375" style="1" customWidth="1"/>
    <col min="53" max="16384" width="9.140625" style="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96</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97</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2"/>
      <c r="U9" s="42"/>
      <c r="V9" s="42"/>
      <c r="W9" s="55"/>
      <c r="X9" s="42"/>
      <c r="Y9" s="42"/>
      <c r="Z9" s="42"/>
      <c r="AA9" s="42"/>
      <c r="AB9" s="42"/>
      <c r="AC9" s="42"/>
      <c r="AD9" s="42"/>
      <c r="AE9" s="42"/>
      <c r="AF9" s="42"/>
      <c r="AG9" s="42"/>
      <c r="AH9" s="42"/>
      <c r="AI9" s="42"/>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56"/>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67">
        <v>1</v>
      </c>
      <c r="B16" s="66">
        <v>2</v>
      </c>
      <c r="C16" s="71">
        <v>3</v>
      </c>
      <c r="D16" s="71" t="s">
        <v>27</v>
      </c>
      <c r="E16" s="232">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43">
        <v>6</v>
      </c>
      <c r="AK16" s="233">
        <v>7</v>
      </c>
      <c r="AL16" s="232"/>
      <c r="AM16" s="232"/>
      <c r="AN16" s="232"/>
      <c r="AO16" s="234"/>
      <c r="AP16" s="43">
        <v>8</v>
      </c>
      <c r="AQ16" s="27">
        <v>9</v>
      </c>
      <c r="AR16" s="28"/>
      <c r="AS16" s="28"/>
      <c r="AT16" s="28"/>
      <c r="AU16" s="28"/>
      <c r="AV16" s="28"/>
      <c r="AW16" s="28"/>
      <c r="AX16" s="28"/>
      <c r="AY16" s="29"/>
      <c r="AZ16" s="30"/>
    </row>
    <row r="17" spans="1:52" s="160" customFormat="1" ht="20.100000000000001" customHeight="1" x14ac:dyDescent="0.2">
      <c r="A17" s="289">
        <v>1</v>
      </c>
      <c r="B17" s="228" t="s">
        <v>455</v>
      </c>
      <c r="C17" s="228">
        <v>2201</v>
      </c>
      <c r="D17" s="228" t="s">
        <v>72</v>
      </c>
      <c r="E17" s="185" t="s">
        <v>142</v>
      </c>
      <c r="F17" s="191" t="s">
        <v>142</v>
      </c>
      <c r="G17" s="191" t="s">
        <v>4</v>
      </c>
      <c r="H17" s="191" t="s">
        <v>4</v>
      </c>
      <c r="I17" s="191" t="s">
        <v>4</v>
      </c>
      <c r="J17" s="191" t="s">
        <v>4</v>
      </c>
      <c r="K17" s="191" t="s">
        <v>4</v>
      </c>
      <c r="L17" s="191" t="s">
        <v>142</v>
      </c>
      <c r="M17" s="191" t="s">
        <v>142</v>
      </c>
      <c r="N17" s="191" t="s">
        <v>4</v>
      </c>
      <c r="O17" s="191" t="s">
        <v>4</v>
      </c>
      <c r="P17" s="191" t="s">
        <v>4</v>
      </c>
      <c r="Q17" s="191" t="s">
        <v>4</v>
      </c>
      <c r="R17" s="191" t="s">
        <v>4</v>
      </c>
      <c r="S17" s="191" t="s">
        <v>142</v>
      </c>
      <c r="T17" s="191" t="s">
        <v>142</v>
      </c>
      <c r="U17" s="191" t="s">
        <v>4</v>
      </c>
      <c r="V17" s="191" t="s">
        <v>4</v>
      </c>
      <c r="W17" s="191" t="s">
        <v>4</v>
      </c>
      <c r="X17" s="191" t="s">
        <v>4</v>
      </c>
      <c r="Y17" s="191" t="s">
        <v>4</v>
      </c>
      <c r="Z17" s="191" t="s">
        <v>142</v>
      </c>
      <c r="AA17" s="191" t="s">
        <v>142</v>
      </c>
      <c r="AB17" s="191" t="s">
        <v>4</v>
      </c>
      <c r="AC17" s="191" t="s">
        <v>4</v>
      </c>
      <c r="AD17" s="191" t="s">
        <v>4</v>
      </c>
      <c r="AE17" s="191" t="s">
        <v>4</v>
      </c>
      <c r="AF17" s="191" t="s">
        <v>4</v>
      </c>
      <c r="AG17" s="191"/>
      <c r="AH17" s="191"/>
      <c r="AI17" s="191"/>
      <c r="AJ17" s="213">
        <f>IFERROR(COUNTIF(E17:AI17,"=Р")+COUNTIF(E17:AI17,"=Р1")+COUNTIF(E17:AI17,"=ВЧ")+COUNTIF(E17:AI17,"=РН")+COUNTIF(E17:AI17,"=Р2")+COUNTIF(E17:AI17,"=Р1/РВ")+COUNTIF(E17:AI17,"=Р2/РВ")+COUNTIF(E17:AI17,"=ВЧ/РВ")+COUNTIF(E17:AI17,"=РН/РВ"),0)</f>
        <v>20</v>
      </c>
      <c r="AK17" s="202">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159.79999999999998</v>
      </c>
      <c r="AL17" s="202">
        <f>IFERROR(SUMIF(E17:AI17,"=НУ",E18:AI18),0)</f>
        <v>0</v>
      </c>
      <c r="AM17" s="202">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02">
        <f>IFERROR(SUMIF(E17:AI17,"=РВ",E18:AI18)+SUMIF(E17:AI17,"=ВЧ/РВ",E18:AI18)+SUMIF(E17:AI17,"=РН/РВ",E18:AI18)+SUMIF(E17:AI17,"=Р1/РВ",E18:AI18)+SUMIF(E17:AI17,"=ВЧ2/РВ",E18:AI18)+SUMIF(E17:AI17,"=Р2/РВ",E18:AI18),0)</f>
        <v>0</v>
      </c>
      <c r="AP17" s="202">
        <f>IFERROR(COUNTIF(E17:AI17,"=ВВ")+COUNTIF(E17:AI17,"=Р1/ВВ")+COUNTIF(E17:AI17,"=РН/ВВ")+COUNTIF(E17:AI17,"=ВЧ/ВВ"),0)</f>
        <v>8</v>
      </c>
      <c r="AQ17" s="202">
        <f>SUM(AR17:AZ17)</f>
        <v>0</v>
      </c>
      <c r="AR17" s="202">
        <f>IFERROR(SUMIF(E17:AI17,"='ТР1-2'!'ТР1-2'!Q21В",E18:AI18)+SUMIF(E17:AI17,"=Ч",E18:AI18)+SUMIF(E17:AI17,"=ВБ",E18:AI18),0)</f>
        <v>0</v>
      </c>
      <c r="AS17" s="202">
        <f>IFERROR(SUMIF(E17:AI17,"=Н",E18:AI18),0)</f>
        <v>0</v>
      </c>
      <c r="AT17" s="202">
        <f>IFERROR(SUMIF(E17:AI17,"=НА",E18:AI18),0)</f>
        <v>0</v>
      </c>
      <c r="AU17" s="202">
        <f>IFERROR(SUMIF(E17:AI17,"=ВП",E18:AI18),0)</f>
        <v>0</v>
      </c>
      <c r="AV17" s="202">
        <f>IFERROR(SUMIF(E17:AI17,"=ДД",E18:AI18),0)</f>
        <v>0</v>
      </c>
      <c r="AW17" s="202">
        <f>IFERROR(SUMIF(E17:AI17,"=ДО",E18:AI18),0)</f>
        <v>0</v>
      </c>
      <c r="AX17" s="202">
        <f>IFERROR(SUMIF(E17:AI17,"=ТН",E18:AI18),0)</f>
        <v>0</v>
      </c>
      <c r="AY17" s="202">
        <f>IFERROR(SUMIF(E17:AI17,"=ВД",E18:AI18),0)</f>
        <v>0</v>
      </c>
      <c r="AZ17" s="200">
        <f>IFERROR(SUMIF(E17:AI17,"=ІН",E18:AI18),0)+SUMIF(E17:AI17,"=НЗ",E18:AI18)</f>
        <v>0</v>
      </c>
    </row>
    <row r="18" spans="1:52" s="160" customFormat="1" ht="20.100000000000001" customHeight="1" thickBot="1" x14ac:dyDescent="0.25">
      <c r="A18" s="290"/>
      <c r="B18" s="229"/>
      <c r="C18" s="229"/>
      <c r="D18" s="229"/>
      <c r="E18" s="186"/>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t="s">
        <v>491</v>
      </c>
      <c r="AH18" s="192" t="s">
        <v>492</v>
      </c>
      <c r="AI18" s="192" t="s">
        <v>493</v>
      </c>
      <c r="AJ18" s="214"/>
      <c r="AK18" s="203"/>
      <c r="AL18" s="203"/>
      <c r="AM18" s="203"/>
      <c r="AN18" s="212"/>
      <c r="AO18" s="203"/>
      <c r="AP18" s="203"/>
      <c r="AQ18" s="203"/>
      <c r="AR18" s="203"/>
      <c r="AS18" s="203"/>
      <c r="AT18" s="203"/>
      <c r="AU18" s="203"/>
      <c r="AV18" s="203"/>
      <c r="AW18" s="203"/>
      <c r="AX18" s="203"/>
      <c r="AY18" s="203"/>
      <c r="AZ18" s="201"/>
    </row>
    <row r="19" spans="1:52" s="177" customFormat="1" ht="20.100000000000001" customHeight="1" x14ac:dyDescent="0.2">
      <c r="A19" s="289">
        <f>A17+1</f>
        <v>2</v>
      </c>
      <c r="B19" s="228" t="s">
        <v>366</v>
      </c>
      <c r="C19" s="228">
        <v>1327</v>
      </c>
      <c r="D19" s="228" t="s">
        <v>72</v>
      </c>
      <c r="E19" s="191" t="s">
        <v>43</v>
      </c>
      <c r="F19" s="191" t="s">
        <v>142</v>
      </c>
      <c r="G19" s="191" t="s">
        <v>4</v>
      </c>
      <c r="H19" s="191" t="s">
        <v>41</v>
      </c>
      <c r="I19" s="191" t="s">
        <v>43</v>
      </c>
      <c r="J19" s="191" t="s">
        <v>142</v>
      </c>
      <c r="K19" s="191" t="s">
        <v>4</v>
      </c>
      <c r="L19" s="191" t="s">
        <v>41</v>
      </c>
      <c r="M19" s="191" t="s">
        <v>43</v>
      </c>
      <c r="N19" s="191" t="s">
        <v>142</v>
      </c>
      <c r="O19" s="191" t="s">
        <v>4</v>
      </c>
      <c r="P19" s="191" t="s">
        <v>41</v>
      </c>
      <c r="Q19" s="191" t="s">
        <v>43</v>
      </c>
      <c r="R19" s="191" t="s">
        <v>142</v>
      </c>
      <c r="S19" s="191" t="s">
        <v>4</v>
      </c>
      <c r="T19" s="191" t="s">
        <v>41</v>
      </c>
      <c r="U19" s="191" t="s">
        <v>43</v>
      </c>
      <c r="V19" s="191" t="s">
        <v>45</v>
      </c>
      <c r="W19" s="191" t="s">
        <v>4</v>
      </c>
      <c r="X19" s="191" t="s">
        <v>41</v>
      </c>
      <c r="Y19" s="191" t="s">
        <v>43</v>
      </c>
      <c r="Z19" s="191" t="s">
        <v>142</v>
      </c>
      <c r="AA19" s="191" t="s">
        <v>4</v>
      </c>
      <c r="AB19" s="191" t="s">
        <v>41</v>
      </c>
      <c r="AC19" s="191" t="s">
        <v>43</v>
      </c>
      <c r="AD19" s="191" t="s">
        <v>142</v>
      </c>
      <c r="AE19" s="191" t="s">
        <v>4</v>
      </c>
      <c r="AF19" s="191" t="s">
        <v>41</v>
      </c>
      <c r="AG19" s="191" t="s">
        <v>43</v>
      </c>
      <c r="AH19" s="191" t="s">
        <v>142</v>
      </c>
      <c r="AI19" s="191" t="s">
        <v>263</v>
      </c>
      <c r="AJ19" s="213">
        <f>IFERROR(COUNTIF(E19:AI19,"=Р")+COUNTIF(E19:AI19,"=Р1")+COUNTIF(E19:AI19,"=ВЧ")+COUNTIF(E19:AI19,"=РН")+COUNTIF(E19:AI19,"=Р2")+COUNTIF(E19:AI19,"=Р1/РВ")+COUNTIF(E19:AI19,"=Р2/РВ")+COUNTIF(E19:AI19,"=ВЧ/РВ")+COUNTIF(E19:AI19,"=РН/РВ"),0)</f>
        <v>23</v>
      </c>
      <c r="AK19" s="202">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188</v>
      </c>
      <c r="AL19" s="202">
        <f>IFERROR(SUMIF(E19:AI19,"=НУ",E20:AI20),0)</f>
        <v>20</v>
      </c>
      <c r="AM19" s="202">
        <f>IFERROR(SUMIF(E19:AI19,"=РН",E20:AI20)+SUMIF(E19:AI19,"=РН/РВ",E20:AI20)+SUMIFS(E20:AI20,E19:AI19,"=Р2",E20:AI20,"=8"),0)</f>
        <v>64</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30</v>
      </c>
      <c r="AO19" s="202">
        <f>IFERROR(SUMIF(E19:AI19,"=РВ",E20:AI20)+SUMIF(E19:AI19,"=ВЧ/РВ",E20:AI20)+SUMIF(E19:AI19,"=РН/РВ",E20:AI20)+SUMIF(E19:AI19,"=Р1/РВ",E20:AI20)+SUMIF(E19:AI19,"=ВЧ2/РВ",E20:AI20)+SUMIF(E19:AI19,"=Р2/РВ",E20:AI20),0)</f>
        <v>0</v>
      </c>
      <c r="AP19" s="202">
        <f>IFERROR(COUNTIF(E19:AI19,"=ВВ")+COUNTIF(E19:AI19,"=Р1/ВВ")+COUNTIF(E19:AI19,"=РН/ВВ")+COUNTIF(E19:AI19,"=ВЧ/ВВ"),0)</f>
        <v>7</v>
      </c>
      <c r="AQ19" s="202">
        <f>SUM(AR19:AZ19)</f>
        <v>0</v>
      </c>
      <c r="AR19" s="202">
        <f>IFERROR(SUMIF(E19:AI19,"='ТР1-2'!'ТР1-2'!Q21В",E20:AI20)+SUMIF(E19:AI19,"=Ч",E20:AI20)+SUMIF(E19:AI19,"=ВБ",E20:AI20),0)</f>
        <v>0</v>
      </c>
      <c r="AS19" s="202">
        <f>IFERROR(SUMIF(E19:AI19,"=Н",E20:AI20),0)</f>
        <v>0</v>
      </c>
      <c r="AT19" s="202">
        <f>IFERROR(SUMIF(E19:AI19,"=НА",E20:AI20),0)</f>
        <v>0</v>
      </c>
      <c r="AU19" s="202">
        <f>IFERROR(SUMIF(E19:AI19,"=ВП",E20:AI20),0)</f>
        <v>0</v>
      </c>
      <c r="AV19" s="202">
        <f>IFERROR(SUMIF(E19:AI19,"=ДД",E20:AI20),0)</f>
        <v>0</v>
      </c>
      <c r="AW19" s="202">
        <f>IFERROR(SUMIF(E19:AI19,"=ДО",E20:AI20),0)</f>
        <v>0</v>
      </c>
      <c r="AX19" s="202">
        <f>IFERROR(SUMIF(E19:AI19,"=ТН",E20:AI20),0)</f>
        <v>0</v>
      </c>
      <c r="AY19" s="202">
        <f>IFERROR(SUMIF(E19:AI19,"=ВД",E20:AI20),0)</f>
        <v>0</v>
      </c>
      <c r="AZ19" s="200">
        <f>IFERROR(SUMIF(E19:AI19,"=ІН",E20:AI20),0)+SUMIF(E19:AI19,"=НЗ",E20:AI20)</f>
        <v>0</v>
      </c>
    </row>
    <row r="20" spans="1:52" s="177" customFormat="1" ht="20.100000000000001" customHeight="1" thickBot="1" x14ac:dyDescent="0.25">
      <c r="A20" s="290"/>
      <c r="B20" s="229"/>
      <c r="C20" s="229"/>
      <c r="D20" s="229"/>
      <c r="E20" s="192">
        <v>8</v>
      </c>
      <c r="F20" s="192"/>
      <c r="G20" s="192">
        <v>6</v>
      </c>
      <c r="H20" s="192">
        <v>4</v>
      </c>
      <c r="I20" s="192">
        <v>8</v>
      </c>
      <c r="J20" s="192"/>
      <c r="K20" s="192">
        <v>6</v>
      </c>
      <c r="L20" s="192">
        <v>4</v>
      </c>
      <c r="M20" s="192">
        <v>8</v>
      </c>
      <c r="N20" s="192"/>
      <c r="O20" s="192">
        <v>8</v>
      </c>
      <c r="P20" s="192">
        <v>4</v>
      </c>
      <c r="Q20" s="192">
        <v>8</v>
      </c>
      <c r="R20" s="192"/>
      <c r="S20" s="192">
        <v>12</v>
      </c>
      <c r="T20" s="192">
        <v>4</v>
      </c>
      <c r="U20" s="192">
        <v>8</v>
      </c>
      <c r="V20" s="192">
        <v>20</v>
      </c>
      <c r="W20" s="192">
        <v>12</v>
      </c>
      <c r="X20" s="192">
        <v>4</v>
      </c>
      <c r="Y20" s="192">
        <v>8</v>
      </c>
      <c r="Z20" s="192"/>
      <c r="AA20" s="192">
        <v>8</v>
      </c>
      <c r="AB20" s="192">
        <v>4</v>
      </c>
      <c r="AC20" s="192">
        <v>8</v>
      </c>
      <c r="AD20" s="192"/>
      <c r="AE20" s="192">
        <v>12</v>
      </c>
      <c r="AF20" s="192">
        <v>4</v>
      </c>
      <c r="AG20" s="192">
        <v>8</v>
      </c>
      <c r="AH20" s="192"/>
      <c r="AI20" s="192">
        <v>12</v>
      </c>
      <c r="AJ20" s="214"/>
      <c r="AK20" s="203"/>
      <c r="AL20" s="203"/>
      <c r="AM20" s="203"/>
      <c r="AN20" s="212"/>
      <c r="AO20" s="203"/>
      <c r="AP20" s="203"/>
      <c r="AQ20" s="203"/>
      <c r="AR20" s="203"/>
      <c r="AS20" s="203"/>
      <c r="AT20" s="203"/>
      <c r="AU20" s="203"/>
      <c r="AV20" s="203"/>
      <c r="AW20" s="203"/>
      <c r="AX20" s="203"/>
      <c r="AY20" s="203"/>
      <c r="AZ20" s="201"/>
    </row>
    <row r="21" spans="1:52" s="177" customFormat="1" ht="21.75" customHeight="1" x14ac:dyDescent="0.2">
      <c r="A21" s="289">
        <f t="shared" ref="A21" si="0">A19+1</f>
        <v>3</v>
      </c>
      <c r="B21" s="228" t="s">
        <v>387</v>
      </c>
      <c r="C21" s="228">
        <v>2224</v>
      </c>
      <c r="D21" s="228" t="s">
        <v>72</v>
      </c>
      <c r="E21" s="191" t="s">
        <v>309</v>
      </c>
      <c r="F21" s="191" t="s">
        <v>43</v>
      </c>
      <c r="G21" s="191" t="s">
        <v>142</v>
      </c>
      <c r="H21" s="191" t="s">
        <v>4</v>
      </c>
      <c r="I21" s="191" t="s">
        <v>41</v>
      </c>
      <c r="J21" s="191" t="s">
        <v>43</v>
      </c>
      <c r="K21" s="191" t="s">
        <v>142</v>
      </c>
      <c r="L21" s="191" t="s">
        <v>4</v>
      </c>
      <c r="M21" s="191" t="s">
        <v>41</v>
      </c>
      <c r="N21" s="191" t="s">
        <v>43</v>
      </c>
      <c r="O21" s="191" t="s">
        <v>142</v>
      </c>
      <c r="P21" s="191" t="s">
        <v>4</v>
      </c>
      <c r="Q21" s="191" t="s">
        <v>41</v>
      </c>
      <c r="R21" s="191" t="s">
        <v>43</v>
      </c>
      <c r="S21" s="191" t="s">
        <v>142</v>
      </c>
      <c r="T21" s="191" t="s">
        <v>4</v>
      </c>
      <c r="U21" s="191" t="s">
        <v>41</v>
      </c>
      <c r="V21" s="191" t="s">
        <v>43</v>
      </c>
      <c r="W21" s="191" t="s">
        <v>142</v>
      </c>
      <c r="X21" s="191" t="s">
        <v>4</v>
      </c>
      <c r="Y21" s="191" t="s">
        <v>41</v>
      </c>
      <c r="Z21" s="191" t="s">
        <v>43</v>
      </c>
      <c r="AA21" s="191" t="s">
        <v>142</v>
      </c>
      <c r="AB21" s="191" t="s">
        <v>4</v>
      </c>
      <c r="AC21" s="191" t="s">
        <v>41</v>
      </c>
      <c r="AD21" s="191" t="s">
        <v>43</v>
      </c>
      <c r="AE21" s="191" t="s">
        <v>142</v>
      </c>
      <c r="AF21" s="191" t="s">
        <v>4</v>
      </c>
      <c r="AG21" s="191"/>
      <c r="AH21" s="191"/>
      <c r="AI21" s="191"/>
      <c r="AJ21" s="213">
        <f>IFERROR(COUNTIF(E21:AI21,"=Р")+COUNTIF(E21:AI21,"=Р1")+COUNTIF(E21:AI21,"=ВЧ")+COUNTIF(E21:AI21,"=РН")+COUNTIF(E21:AI21,"=Р2")+COUNTIF(E21:AI21,"=Р1/РВ")+COUNTIF(E21:AI21,"=Р2/РВ")+COUNTIF(E21:AI21,"=ВЧ/РВ")+COUNTIF(E21:AI21,"=РН/РВ"),0)</f>
        <v>20</v>
      </c>
      <c r="AK21" s="202">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164</v>
      </c>
      <c r="AL21" s="202">
        <f>IFERROR(SUMIF(E21:AI21,"=НУ",E22:AI22),0)</f>
        <v>0</v>
      </c>
      <c r="AM21" s="202">
        <f>IFERROR(SUMIF(E21:AI21,"=РН",E22:AI22)+SUMIF(E21:AI21,"=РН/РВ",E22:AI22)+SUMIFS(E22:AI22,E21:AI21,"=Р2",E22:AI22,"=8"),0)</f>
        <v>56</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26</v>
      </c>
      <c r="AO21" s="202">
        <f>IFERROR(SUMIF(E21:AI21,"=РВ",E22:AI22)+SUMIF(E21:AI21,"=ВЧ/РВ",E22:AI22)+SUMIF(E21:AI21,"=РН/РВ",E22:AI22)+SUMIF(E21:AI21,"=Р1/РВ",E22:AI22)+SUMIF(E21:AI21,"=ВЧ2/РВ",E22:AI22)+SUMIF(E21:AI21,"=Р2/РВ",E22:AI22),0)</f>
        <v>0</v>
      </c>
      <c r="AP21" s="202">
        <f>IFERROR(COUNTIF(E21:AI21,"=ВВ")+COUNTIF(E21:AI21,"=Р1/ВВ")+COUNTIF(E21:AI21,"=РН/ВВ")+COUNTIF(E21:AI21,"=ВЧ/ВВ"),0)</f>
        <v>7</v>
      </c>
      <c r="AQ21" s="202">
        <f>SUM(AR21:AZ21)</f>
        <v>0</v>
      </c>
      <c r="AR21" s="202">
        <f>IFERROR(SUMIF(E21:AI21,"='ТР1-2'!'ТР1-2'!Q21В",E22:AI22)+SUMIF(E21:AI21,"=Ч",E22:AI22)+SUMIF(E21:AI21,"=ВБ",E22:AI22),0)</f>
        <v>0</v>
      </c>
      <c r="AS21" s="202">
        <f>IFERROR(SUMIF(E21:AI21,"=Н",E22:AI22),0)</f>
        <v>0</v>
      </c>
      <c r="AT21" s="202">
        <f>IFERROR(SUMIF(E21:AI21,"=НА",E22:AI22),0)</f>
        <v>0</v>
      </c>
      <c r="AU21" s="202">
        <f>IFERROR(SUMIF(E21:AI21,"=ВП",E22:AI22),0)</f>
        <v>0</v>
      </c>
      <c r="AV21" s="202">
        <f>IFERROR(SUMIF(E21:AI21,"=ДД",E22:AI22),0)</f>
        <v>0</v>
      </c>
      <c r="AW21" s="202">
        <f>IFERROR(SUMIF(E21:AI21,"=ДО",E22:AI22),0)</f>
        <v>0</v>
      </c>
      <c r="AX21" s="202">
        <f>IFERROR(SUMIF(E21:AI21,"=ТН",E22:AI22),0)</f>
        <v>0</v>
      </c>
      <c r="AY21" s="202">
        <f>IFERROR(SUMIF(E21:AI21,"=ВД",E22:AI22),0)</f>
        <v>0</v>
      </c>
      <c r="AZ21" s="200">
        <f>IFERROR(SUMIF(E21:AI21,"=ІН",E22:AI22),0)+SUMIF(E21:AI21,"=НЗ",E22:AI22)</f>
        <v>0</v>
      </c>
    </row>
    <row r="22" spans="1:52" s="177" customFormat="1" ht="21" customHeight="1" thickBot="1" x14ac:dyDescent="0.25">
      <c r="A22" s="290"/>
      <c r="B22" s="229"/>
      <c r="C22" s="229"/>
      <c r="D22" s="229"/>
      <c r="E22" s="192">
        <v>4</v>
      </c>
      <c r="F22" s="192">
        <v>8</v>
      </c>
      <c r="G22" s="192"/>
      <c r="H22" s="192">
        <v>12</v>
      </c>
      <c r="I22" s="192">
        <v>4</v>
      </c>
      <c r="J22" s="192">
        <v>8</v>
      </c>
      <c r="K22" s="192"/>
      <c r="L22" s="192">
        <v>12</v>
      </c>
      <c r="M22" s="192">
        <v>4</v>
      </c>
      <c r="N22" s="192">
        <v>8</v>
      </c>
      <c r="O22" s="192"/>
      <c r="P22" s="192">
        <v>8</v>
      </c>
      <c r="Q22" s="192">
        <v>4</v>
      </c>
      <c r="R22" s="192">
        <v>8</v>
      </c>
      <c r="S22" s="192"/>
      <c r="T22" s="192">
        <v>12</v>
      </c>
      <c r="U22" s="192">
        <v>4</v>
      </c>
      <c r="V22" s="192">
        <v>8</v>
      </c>
      <c r="W22" s="192"/>
      <c r="X22" s="192">
        <v>12</v>
      </c>
      <c r="Y22" s="192">
        <v>4</v>
      </c>
      <c r="Z22" s="192">
        <v>8</v>
      </c>
      <c r="AA22" s="192"/>
      <c r="AB22" s="192">
        <v>12</v>
      </c>
      <c r="AC22" s="192">
        <v>4</v>
      </c>
      <c r="AD22" s="192">
        <v>8</v>
      </c>
      <c r="AE22" s="192"/>
      <c r="AF22" s="192">
        <v>12</v>
      </c>
      <c r="AG22" s="192" t="s">
        <v>491</v>
      </c>
      <c r="AH22" s="192" t="s">
        <v>492</v>
      </c>
      <c r="AI22" s="192" t="s">
        <v>493</v>
      </c>
      <c r="AJ22" s="214"/>
      <c r="AK22" s="203"/>
      <c r="AL22" s="203"/>
      <c r="AM22" s="203"/>
      <c r="AN22" s="212"/>
      <c r="AO22" s="203"/>
      <c r="AP22" s="203"/>
      <c r="AQ22" s="203"/>
      <c r="AR22" s="203"/>
      <c r="AS22" s="203"/>
      <c r="AT22" s="203"/>
      <c r="AU22" s="203"/>
      <c r="AV22" s="203"/>
      <c r="AW22" s="203"/>
      <c r="AX22" s="203"/>
      <c r="AY22" s="203"/>
      <c r="AZ22" s="201"/>
    </row>
    <row r="23" spans="1:52" s="176" customFormat="1" ht="20.100000000000001" customHeight="1" x14ac:dyDescent="0.2">
      <c r="A23" s="289">
        <f t="shared" ref="A23" si="1">A21+1</f>
        <v>4</v>
      </c>
      <c r="B23" s="228" t="s">
        <v>390</v>
      </c>
      <c r="C23" s="228">
        <v>1923</v>
      </c>
      <c r="D23" s="228" t="s">
        <v>72</v>
      </c>
      <c r="E23" s="191" t="s">
        <v>43</v>
      </c>
      <c r="F23" s="191" t="s">
        <v>142</v>
      </c>
      <c r="G23" s="191" t="s">
        <v>4</v>
      </c>
      <c r="H23" s="191" t="s">
        <v>41</v>
      </c>
      <c r="I23" s="191" t="s">
        <v>43</v>
      </c>
      <c r="J23" s="191" t="s">
        <v>142</v>
      </c>
      <c r="K23" s="191" t="s">
        <v>4</v>
      </c>
      <c r="L23" s="191" t="s">
        <v>41</v>
      </c>
      <c r="M23" s="191" t="s">
        <v>43</v>
      </c>
      <c r="N23" s="191" t="s">
        <v>142</v>
      </c>
      <c r="O23" s="191" t="s">
        <v>4</v>
      </c>
      <c r="P23" s="191" t="s">
        <v>41</v>
      </c>
      <c r="Q23" s="191" t="s">
        <v>43</v>
      </c>
      <c r="R23" s="191" t="s">
        <v>142</v>
      </c>
      <c r="S23" s="191" t="s">
        <v>4</v>
      </c>
      <c r="T23" s="191" t="s">
        <v>41</v>
      </c>
      <c r="U23" s="191" t="s">
        <v>43</v>
      </c>
      <c r="V23" s="191" t="s">
        <v>142</v>
      </c>
      <c r="W23" s="191" t="s">
        <v>4</v>
      </c>
      <c r="X23" s="191" t="s">
        <v>41</v>
      </c>
      <c r="Y23" s="191" t="s">
        <v>43</v>
      </c>
      <c r="Z23" s="191" t="s">
        <v>142</v>
      </c>
      <c r="AA23" s="191" t="s">
        <v>4</v>
      </c>
      <c r="AB23" s="191" t="s">
        <v>41</v>
      </c>
      <c r="AC23" s="191" t="s">
        <v>43</v>
      </c>
      <c r="AD23" s="191" t="s">
        <v>142</v>
      </c>
      <c r="AE23" s="191" t="s">
        <v>4</v>
      </c>
      <c r="AF23" s="191" t="s">
        <v>41</v>
      </c>
      <c r="AG23" s="191"/>
      <c r="AH23" s="191"/>
      <c r="AI23" s="191"/>
      <c r="AJ23" s="213">
        <f>IFERROR(COUNTIF(E23:AI23,"=Р")+COUNTIF(E23:AI23,"=Р1")+COUNTIF(E23:AI23,"=ВЧ")+COUNTIF(E23:AI23,"=РН")+COUNTIF(E23:AI23,"=Р2")+COUNTIF(E23:AI23,"=Р1/РВ")+COUNTIF(E23:AI23,"=Р2/РВ")+COUNTIF(E23:AI23,"=ВЧ/РВ")+COUNTIF(E23:AI23,"=РН/РВ"),0)</f>
        <v>21</v>
      </c>
      <c r="AK23" s="202">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164</v>
      </c>
      <c r="AL23" s="202">
        <f>IFERROR(SUMIF(E23:AI23,"=НУ",E24:AI24),0)</f>
        <v>0</v>
      </c>
      <c r="AM23" s="202">
        <f>IFERROR(SUMIF(E23:AI23,"=РН",E24:AI24)+SUMIF(E23:AI23,"=РН/РВ",E24:AI24)+SUMIFS(E24:AI24,E23:AI23,"=Р2",E24:AI24,"=8"),0)</f>
        <v>56</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28</v>
      </c>
      <c r="AO23" s="202">
        <f>IFERROR(SUMIF(E23:AI23,"=РВ",E24:AI24)+SUMIF(E23:AI23,"=ВЧ/РВ",E24:AI24)+SUMIF(E23:AI23,"=РН/РВ",E24:AI24)+SUMIF(E23:AI23,"=Р1/РВ",E24:AI24)+SUMIF(E23:AI23,"=ВЧ2/РВ",E24:AI24)+SUMIF(E23:AI23,"=Р2/РВ",E24:AI24),0)</f>
        <v>0</v>
      </c>
      <c r="AP23" s="202">
        <f>IFERROR(COUNTIF(E23:AI23,"=ВВ")+COUNTIF(E23:AI23,"=Р1/ВВ")+COUNTIF(E23:AI23,"=РН/ВВ")+COUNTIF(E23:AI23,"=ВЧ/ВВ"),0)</f>
        <v>7</v>
      </c>
      <c r="AQ23" s="202">
        <f>SUM(AR23:AZ23)</f>
        <v>0</v>
      </c>
      <c r="AR23" s="202">
        <f>IFERROR(SUMIF(E23:AI23,"='ТР1-2'!'ТР1-2'!Q21В",E24:AI24)+SUMIF(E23:AI23,"=Ч",E24:AI24)+SUMIF(E23:AI23,"=ВБ",E24:AI24),0)</f>
        <v>0</v>
      </c>
      <c r="AS23" s="202">
        <f>IFERROR(SUMIF(E23:AI23,"=Н",E24:AI24),0)</f>
        <v>0</v>
      </c>
      <c r="AT23" s="202">
        <f>IFERROR(SUMIF(E23:AI23,"=НА",E24:AI24),0)</f>
        <v>0</v>
      </c>
      <c r="AU23" s="202">
        <f>IFERROR(SUMIF(E23:AI23,"=ВП",E24:AI24),0)</f>
        <v>0</v>
      </c>
      <c r="AV23" s="202">
        <f>IFERROR(SUMIF(E23:AI23,"=ДД",E24:AI24),0)</f>
        <v>0</v>
      </c>
      <c r="AW23" s="202">
        <f>IFERROR(SUMIF(E23:AI23,"=ДО",E24:AI24),0)</f>
        <v>0</v>
      </c>
      <c r="AX23" s="202">
        <f>IFERROR(SUMIF(E23:AI23,"=ТН",E24:AI24),0)</f>
        <v>0</v>
      </c>
      <c r="AY23" s="202">
        <f>IFERROR(SUMIF(E23:AI23,"=ВД",E24:AI24),0)</f>
        <v>0</v>
      </c>
      <c r="AZ23" s="200">
        <f>IFERROR(SUMIF(E23:AI23,"=ІН",E24:AI24),0)+SUMIF(E23:AI23,"=НЗ",E24:AI24)</f>
        <v>0</v>
      </c>
    </row>
    <row r="24" spans="1:52" s="176" customFormat="1" ht="20.100000000000001" customHeight="1" thickBot="1" x14ac:dyDescent="0.25">
      <c r="A24" s="290"/>
      <c r="B24" s="229"/>
      <c r="C24" s="229"/>
      <c r="D24" s="229"/>
      <c r="E24" s="192">
        <v>8</v>
      </c>
      <c r="F24" s="192"/>
      <c r="G24" s="192">
        <v>12</v>
      </c>
      <c r="H24" s="192">
        <v>4</v>
      </c>
      <c r="I24" s="192">
        <v>8</v>
      </c>
      <c r="J24" s="192"/>
      <c r="K24" s="192">
        <v>12</v>
      </c>
      <c r="L24" s="192">
        <v>4</v>
      </c>
      <c r="M24" s="192">
        <v>8</v>
      </c>
      <c r="N24" s="192"/>
      <c r="O24" s="192">
        <v>12</v>
      </c>
      <c r="P24" s="192">
        <v>4</v>
      </c>
      <c r="Q24" s="192">
        <v>8</v>
      </c>
      <c r="R24" s="192"/>
      <c r="S24" s="192">
        <v>12</v>
      </c>
      <c r="T24" s="192">
        <v>4</v>
      </c>
      <c r="U24" s="192">
        <v>8</v>
      </c>
      <c r="V24" s="192"/>
      <c r="W24" s="192">
        <v>12</v>
      </c>
      <c r="X24" s="192">
        <v>4</v>
      </c>
      <c r="Y24" s="192">
        <v>8</v>
      </c>
      <c r="Z24" s="192"/>
      <c r="AA24" s="192">
        <v>12</v>
      </c>
      <c r="AB24" s="192">
        <v>4</v>
      </c>
      <c r="AC24" s="192">
        <v>8</v>
      </c>
      <c r="AD24" s="192"/>
      <c r="AE24" s="192">
        <v>8</v>
      </c>
      <c r="AF24" s="192">
        <v>4</v>
      </c>
      <c r="AG24" s="192" t="s">
        <v>491</v>
      </c>
      <c r="AH24" s="192" t="s">
        <v>492</v>
      </c>
      <c r="AI24" s="192" t="s">
        <v>493</v>
      </c>
      <c r="AJ24" s="214"/>
      <c r="AK24" s="203"/>
      <c r="AL24" s="203"/>
      <c r="AM24" s="203"/>
      <c r="AN24" s="212"/>
      <c r="AO24" s="203"/>
      <c r="AP24" s="203"/>
      <c r="AQ24" s="203"/>
      <c r="AR24" s="203"/>
      <c r="AS24" s="203"/>
      <c r="AT24" s="203"/>
      <c r="AU24" s="203"/>
      <c r="AV24" s="203"/>
      <c r="AW24" s="203"/>
      <c r="AX24" s="203"/>
      <c r="AY24" s="203"/>
      <c r="AZ24" s="201"/>
    </row>
    <row r="25" spans="1:52" s="177" customFormat="1" ht="21" customHeight="1" x14ac:dyDescent="0.2">
      <c r="A25" s="289">
        <f t="shared" ref="A25" si="2">A23+1</f>
        <v>5</v>
      </c>
      <c r="B25" s="228" t="s">
        <v>367</v>
      </c>
      <c r="C25" s="228">
        <v>2000</v>
      </c>
      <c r="D25" s="228" t="s">
        <v>72</v>
      </c>
      <c r="E25" s="191" t="s">
        <v>4</v>
      </c>
      <c r="F25" s="191" t="s">
        <v>41</v>
      </c>
      <c r="G25" s="191" t="s">
        <v>43</v>
      </c>
      <c r="H25" s="191" t="s">
        <v>142</v>
      </c>
      <c r="I25" s="191" t="s">
        <v>4</v>
      </c>
      <c r="J25" s="191" t="s">
        <v>41</v>
      </c>
      <c r="K25" s="191" t="s">
        <v>43</v>
      </c>
      <c r="L25" s="191" t="s">
        <v>142</v>
      </c>
      <c r="M25" s="191" t="s">
        <v>4</v>
      </c>
      <c r="N25" s="191" t="s">
        <v>41</v>
      </c>
      <c r="O25" s="191" t="s">
        <v>43</v>
      </c>
      <c r="P25" s="191" t="s">
        <v>142</v>
      </c>
      <c r="Q25" s="191" t="s">
        <v>4</v>
      </c>
      <c r="R25" s="191" t="s">
        <v>41</v>
      </c>
      <c r="S25" s="191" t="s">
        <v>43</v>
      </c>
      <c r="T25" s="191" t="s">
        <v>45</v>
      </c>
      <c r="U25" s="191" t="s">
        <v>4</v>
      </c>
      <c r="V25" s="191" t="s">
        <v>41</v>
      </c>
      <c r="W25" s="191" t="s">
        <v>43</v>
      </c>
      <c r="X25" s="191" t="s">
        <v>142</v>
      </c>
      <c r="Y25" s="191" t="s">
        <v>4</v>
      </c>
      <c r="Z25" s="191" t="s">
        <v>41</v>
      </c>
      <c r="AA25" s="191" t="s">
        <v>43</v>
      </c>
      <c r="AB25" s="191" t="s">
        <v>142</v>
      </c>
      <c r="AC25" s="191" t="s">
        <v>4</v>
      </c>
      <c r="AD25" s="191" t="s">
        <v>41</v>
      </c>
      <c r="AE25" s="191" t="s">
        <v>43</v>
      </c>
      <c r="AF25" s="191" t="s">
        <v>142</v>
      </c>
      <c r="AG25" s="191" t="s">
        <v>4</v>
      </c>
      <c r="AH25" s="191" t="s">
        <v>41</v>
      </c>
      <c r="AI25" s="191" t="s">
        <v>43</v>
      </c>
      <c r="AJ25" s="213">
        <f>IFERROR(COUNTIF(E25:AI25,"=Р")+COUNTIF(E25:AI25,"=Р1")+COUNTIF(E25:AI25,"=ВЧ")+COUNTIF(E25:AI25,"=РН")+COUNTIF(E25:AI25,"=Р2")+COUNTIF(E25:AI25,"=Р1/РВ")+COUNTIF(E25:AI25,"=Р2/РВ")+COUNTIF(E25:AI25,"=ВЧ/РВ")+COUNTIF(E25:AI25,"=РН/РВ"),0)</f>
        <v>24</v>
      </c>
      <c r="AK25" s="202">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192</v>
      </c>
      <c r="AL25" s="202">
        <f>IFERROR(SUMIF(E25:AI25,"=НУ",E26:AI26),0)</f>
        <v>24</v>
      </c>
      <c r="AM25" s="202">
        <f>IFERROR(SUMIF(E25:AI25,"=РН",E26:AI26)+SUMIF(E25:AI25,"=РН/РВ",E26:AI26)+SUMIFS(E26:AI26,E25:AI25,"=Р2",E26:AI26,"=8"),0)</f>
        <v>64</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32</v>
      </c>
      <c r="AO25" s="202">
        <f>IFERROR(SUMIF(E25:AI25,"=РВ",E26:AI26)+SUMIF(E25:AI25,"=ВЧ/РВ",E26:AI26)+SUMIF(E25:AI25,"=РН/РВ",E26:AI26)+SUMIF(E25:AI25,"=Р1/РВ",E26:AI26)+SUMIF(E25:AI25,"=ВЧ2/РВ",E26:AI26)+SUMIF(E25:AI25,"=Р2/РВ",E26:AI26),0)</f>
        <v>0</v>
      </c>
      <c r="AP25" s="202">
        <f>IFERROR(COUNTIF(E25:AI25,"=ВВ")+COUNTIF(E25:AI25,"=Р1/ВВ")+COUNTIF(E25:AI25,"=РН/ВВ")+COUNTIF(E25:AI25,"=ВЧ/ВВ"),0)</f>
        <v>6</v>
      </c>
      <c r="AQ25" s="202">
        <f>SUM(AR25:AZ25)</f>
        <v>0</v>
      </c>
      <c r="AR25" s="202">
        <f>IFERROR(SUMIF(E25:AI25,"='ТР1-2'!'ТР1-2'!Q21В",E26:AI26)+SUMIF(E25:AI25,"=Ч",E26:AI26)+SUMIF(E25:AI25,"=ВБ",E26:AI26),0)</f>
        <v>0</v>
      </c>
      <c r="AS25" s="202">
        <f>IFERROR(SUMIF(E25:AI25,"=Н",E26:AI26),0)</f>
        <v>0</v>
      </c>
      <c r="AT25" s="202">
        <f>IFERROR(SUMIF(E25:AI25,"=НА",E26:AI26),0)</f>
        <v>0</v>
      </c>
      <c r="AU25" s="202">
        <f>IFERROR(SUMIF(E25:AI25,"=ВП",E26:AI26),0)</f>
        <v>0</v>
      </c>
      <c r="AV25" s="202">
        <f>IFERROR(SUMIF(E25:AI25,"=ДД",E26:AI26),0)</f>
        <v>0</v>
      </c>
      <c r="AW25" s="202">
        <f>IFERROR(SUMIF(E25:AI25,"=ДО",E26:AI26),0)</f>
        <v>0</v>
      </c>
      <c r="AX25" s="202">
        <f>IFERROR(SUMIF(E25:AI25,"=ТН",E26:AI26),0)</f>
        <v>0</v>
      </c>
      <c r="AY25" s="202">
        <f>IFERROR(SUMIF(E25:AI25,"=ВД",E26:AI26),0)</f>
        <v>0</v>
      </c>
      <c r="AZ25" s="200">
        <f>IFERROR(SUMIF(E25:AI25,"=ІН",E26:AI26),0)+SUMIF(E25:AI25,"=НЗ",E26:AI26)</f>
        <v>0</v>
      </c>
    </row>
    <row r="26" spans="1:52" s="177" customFormat="1" ht="24" customHeight="1" thickBot="1" x14ac:dyDescent="0.25">
      <c r="A26" s="290"/>
      <c r="B26" s="229"/>
      <c r="C26" s="229"/>
      <c r="D26" s="229"/>
      <c r="E26" s="192">
        <v>6</v>
      </c>
      <c r="F26" s="192">
        <v>4</v>
      </c>
      <c r="G26" s="192">
        <v>8</v>
      </c>
      <c r="H26" s="192"/>
      <c r="I26" s="192">
        <v>6</v>
      </c>
      <c r="J26" s="192">
        <v>4</v>
      </c>
      <c r="K26" s="192">
        <v>8</v>
      </c>
      <c r="L26" s="192"/>
      <c r="M26" s="192">
        <v>6</v>
      </c>
      <c r="N26" s="192">
        <v>4</v>
      </c>
      <c r="O26" s="192">
        <v>8</v>
      </c>
      <c r="P26" s="192"/>
      <c r="Q26" s="192">
        <v>12</v>
      </c>
      <c r="R26" s="192">
        <v>4</v>
      </c>
      <c r="S26" s="192">
        <v>8</v>
      </c>
      <c r="T26" s="192">
        <v>24</v>
      </c>
      <c r="U26" s="192">
        <v>12</v>
      </c>
      <c r="V26" s="192">
        <v>4</v>
      </c>
      <c r="W26" s="192">
        <v>8</v>
      </c>
      <c r="X26" s="192"/>
      <c r="Y26" s="192">
        <v>6</v>
      </c>
      <c r="Z26" s="192">
        <v>4</v>
      </c>
      <c r="AA26" s="192">
        <v>8</v>
      </c>
      <c r="AB26" s="192"/>
      <c r="AC26" s="192">
        <v>12</v>
      </c>
      <c r="AD26" s="192">
        <v>4</v>
      </c>
      <c r="AE26" s="192">
        <v>8</v>
      </c>
      <c r="AF26" s="192"/>
      <c r="AG26" s="192">
        <v>12</v>
      </c>
      <c r="AH26" s="192">
        <v>4</v>
      </c>
      <c r="AI26" s="192">
        <v>8</v>
      </c>
      <c r="AJ26" s="214"/>
      <c r="AK26" s="203"/>
      <c r="AL26" s="203"/>
      <c r="AM26" s="203"/>
      <c r="AN26" s="212"/>
      <c r="AO26" s="203"/>
      <c r="AP26" s="203"/>
      <c r="AQ26" s="203"/>
      <c r="AR26" s="203"/>
      <c r="AS26" s="203"/>
      <c r="AT26" s="203"/>
      <c r="AU26" s="203"/>
      <c r="AV26" s="203"/>
      <c r="AW26" s="203"/>
      <c r="AX26" s="203"/>
      <c r="AY26" s="203"/>
      <c r="AZ26" s="201"/>
    </row>
    <row r="27" spans="1:52" s="177" customFormat="1" ht="23.25" customHeight="1" x14ac:dyDescent="0.2">
      <c r="A27" s="289">
        <f t="shared" ref="A27" si="3">A25+1</f>
        <v>6</v>
      </c>
      <c r="B27" s="228" t="s">
        <v>392</v>
      </c>
      <c r="C27" s="228">
        <v>890</v>
      </c>
      <c r="D27" s="228" t="s">
        <v>72</v>
      </c>
      <c r="E27" s="191" t="s">
        <v>142</v>
      </c>
      <c r="F27" s="191" t="s">
        <v>4</v>
      </c>
      <c r="G27" s="191" t="s">
        <v>41</v>
      </c>
      <c r="H27" s="191" t="s">
        <v>43</v>
      </c>
      <c r="I27" s="191" t="s">
        <v>142</v>
      </c>
      <c r="J27" s="191" t="s">
        <v>4</v>
      </c>
      <c r="K27" s="191" t="s">
        <v>41</v>
      </c>
      <c r="L27" s="191" t="s">
        <v>43</v>
      </c>
      <c r="M27" s="191" t="s">
        <v>142</v>
      </c>
      <c r="N27" s="191" t="s">
        <v>4</v>
      </c>
      <c r="O27" s="191" t="s">
        <v>41</v>
      </c>
      <c r="P27" s="191" t="s">
        <v>43</v>
      </c>
      <c r="Q27" s="191" t="s">
        <v>142</v>
      </c>
      <c r="R27" s="191" t="s">
        <v>4</v>
      </c>
      <c r="S27" s="191" t="s">
        <v>41</v>
      </c>
      <c r="T27" s="191" t="s">
        <v>43</v>
      </c>
      <c r="U27" s="191" t="s">
        <v>142</v>
      </c>
      <c r="V27" s="191" t="s">
        <v>4</v>
      </c>
      <c r="W27" s="191" t="s">
        <v>41</v>
      </c>
      <c r="X27" s="191" t="s">
        <v>43</v>
      </c>
      <c r="Y27" s="191" t="s">
        <v>142</v>
      </c>
      <c r="Z27" s="191" t="s">
        <v>4</v>
      </c>
      <c r="AA27" s="191" t="s">
        <v>41</v>
      </c>
      <c r="AB27" s="191" t="s">
        <v>43</v>
      </c>
      <c r="AC27" s="191" t="s">
        <v>142</v>
      </c>
      <c r="AD27" s="191" t="s">
        <v>4</v>
      </c>
      <c r="AE27" s="191" t="s">
        <v>41</v>
      </c>
      <c r="AF27" s="191" t="s">
        <v>43</v>
      </c>
      <c r="AG27" s="191"/>
      <c r="AH27" s="191"/>
      <c r="AI27" s="191"/>
      <c r="AJ27" s="213">
        <f>IFERROR(COUNTIF(E27:AI27,"=Р")+COUNTIF(E27:AI27,"=Р1")+COUNTIF(E27:AI27,"=ВЧ")+COUNTIF(E27:AI27,"=РН")+COUNTIF(E27:AI27,"=Р2")+COUNTIF(E27:AI27,"=Р1/РВ")+COUNTIF(E27:AI27,"=Р2/РВ")+COUNTIF(E27:AI27,"=ВЧ/РВ")+COUNTIF(E27:AI27,"=РН/РВ"),0)</f>
        <v>21</v>
      </c>
      <c r="AK27" s="202">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164</v>
      </c>
      <c r="AL27" s="202">
        <f>IFERROR(SUMIF(E27:AI27,"=НУ",E28:AI28),0)</f>
        <v>0</v>
      </c>
      <c r="AM27" s="202">
        <f>IFERROR(SUMIF(E27:AI27,"=РН",E28:AI28)+SUMIF(E27:AI27,"=РН/РВ",E28:AI28)+SUMIFS(E28:AI28,E27:AI27,"=Р2",E28:AI28,"=8"),0)</f>
        <v>56</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28</v>
      </c>
      <c r="AO27" s="202">
        <f>IFERROR(SUMIF(E27:AI27,"=РВ",E28:AI28)+SUMIF(E27:AI27,"=ВЧ/РВ",E28:AI28)+SUMIF(E27:AI27,"=РН/РВ",E28:AI28)+SUMIF(E27:AI27,"=Р1/РВ",E28:AI28)+SUMIF(E27:AI27,"=ВЧ2/РВ",E28:AI28)+SUMIF(E27:AI27,"=Р2/РВ",E28:AI28),0)</f>
        <v>0</v>
      </c>
      <c r="AP27" s="202">
        <f>IFERROR(COUNTIF(E27:AI27,"=ВВ")+COUNTIF(E27:AI27,"=Р1/ВВ")+COUNTIF(E27:AI27,"=РН/ВВ")+COUNTIF(E27:AI27,"=ВЧ/ВВ"),0)</f>
        <v>7</v>
      </c>
      <c r="AQ27" s="202">
        <f>SUM(AR27:AZ27)</f>
        <v>0</v>
      </c>
      <c r="AR27" s="202">
        <f>IFERROR(SUMIF(E27:AI27,"='ТР1-2'!'ТР1-2'!Q21В",E28:AI28)+SUMIF(E27:AI27,"=Ч",E28:AI28)+SUMIF(E27:AI27,"=ВБ",E28:AI28),0)</f>
        <v>0</v>
      </c>
      <c r="AS27" s="202">
        <f>IFERROR(SUMIF(E27:AI27,"=Н",E28:AI28),0)</f>
        <v>0</v>
      </c>
      <c r="AT27" s="202">
        <f>IFERROR(SUMIF(E27:AI27,"=НА",E28:AI28),0)</f>
        <v>0</v>
      </c>
      <c r="AU27" s="202">
        <f>IFERROR(SUMIF(E27:AI27,"=ВП",E28:AI28),0)</f>
        <v>0</v>
      </c>
      <c r="AV27" s="202">
        <f>IFERROR(SUMIF(E27:AI27,"=ДД",E28:AI28),0)</f>
        <v>0</v>
      </c>
      <c r="AW27" s="202">
        <f>IFERROR(SUMIF(E27:AI27,"=ДО",E28:AI28),0)</f>
        <v>0</v>
      </c>
      <c r="AX27" s="202">
        <f>IFERROR(SUMIF(E27:AI27,"=ТН",E28:AI28),0)</f>
        <v>0</v>
      </c>
      <c r="AY27" s="202">
        <f>IFERROR(SUMIF(E27:AI27,"=ВД",E28:AI28),0)</f>
        <v>0</v>
      </c>
      <c r="AZ27" s="200">
        <f>IFERROR(SUMIF(E27:AI27,"=ІН",E28:AI28),0)+SUMIF(E27:AI27,"=НЗ",E28:AI28)</f>
        <v>0</v>
      </c>
    </row>
    <row r="28" spans="1:52" s="177" customFormat="1" ht="20.100000000000001" customHeight="1" thickBot="1" x14ac:dyDescent="0.25">
      <c r="A28" s="290"/>
      <c r="B28" s="229"/>
      <c r="C28" s="229"/>
      <c r="D28" s="229"/>
      <c r="E28" s="192"/>
      <c r="F28" s="192">
        <v>12</v>
      </c>
      <c r="G28" s="192">
        <v>4</v>
      </c>
      <c r="H28" s="192">
        <v>8</v>
      </c>
      <c r="I28" s="192"/>
      <c r="J28" s="192">
        <v>12</v>
      </c>
      <c r="K28" s="192">
        <v>4</v>
      </c>
      <c r="L28" s="192">
        <v>8</v>
      </c>
      <c r="M28" s="192"/>
      <c r="N28" s="192">
        <v>12</v>
      </c>
      <c r="O28" s="192">
        <v>4</v>
      </c>
      <c r="P28" s="192">
        <v>8</v>
      </c>
      <c r="Q28" s="192"/>
      <c r="R28" s="192">
        <v>12</v>
      </c>
      <c r="S28" s="192">
        <v>4</v>
      </c>
      <c r="T28" s="192">
        <v>8</v>
      </c>
      <c r="U28" s="192"/>
      <c r="V28" s="192">
        <v>8</v>
      </c>
      <c r="W28" s="192">
        <v>4</v>
      </c>
      <c r="X28" s="192">
        <v>8</v>
      </c>
      <c r="Y28" s="192"/>
      <c r="Z28" s="192">
        <v>12</v>
      </c>
      <c r="AA28" s="192">
        <v>4</v>
      </c>
      <c r="AB28" s="192">
        <v>8</v>
      </c>
      <c r="AC28" s="192"/>
      <c r="AD28" s="192">
        <v>12</v>
      </c>
      <c r="AE28" s="192">
        <v>4</v>
      </c>
      <c r="AF28" s="192">
        <v>8</v>
      </c>
      <c r="AG28" s="192" t="s">
        <v>491</v>
      </c>
      <c r="AH28" s="192" t="s">
        <v>492</v>
      </c>
      <c r="AI28" s="192" t="s">
        <v>493</v>
      </c>
      <c r="AJ28" s="214"/>
      <c r="AK28" s="203"/>
      <c r="AL28" s="203"/>
      <c r="AM28" s="203"/>
      <c r="AN28" s="212"/>
      <c r="AO28" s="203"/>
      <c r="AP28" s="203"/>
      <c r="AQ28" s="203"/>
      <c r="AR28" s="203"/>
      <c r="AS28" s="203"/>
      <c r="AT28" s="203"/>
      <c r="AU28" s="203"/>
      <c r="AV28" s="203"/>
      <c r="AW28" s="203"/>
      <c r="AX28" s="203"/>
      <c r="AY28" s="203"/>
      <c r="AZ28" s="201"/>
    </row>
    <row r="29" spans="1:52" s="177" customFormat="1" ht="20.100000000000001" customHeight="1" x14ac:dyDescent="0.2">
      <c r="A29" s="289">
        <f t="shared" ref="A29" si="4">A27+1</f>
        <v>7</v>
      </c>
      <c r="B29" s="228" t="s">
        <v>393</v>
      </c>
      <c r="C29" s="228">
        <v>1868</v>
      </c>
      <c r="D29" s="228" t="s">
        <v>72</v>
      </c>
      <c r="E29" s="191" t="s">
        <v>142</v>
      </c>
      <c r="F29" s="191" t="s">
        <v>4</v>
      </c>
      <c r="G29" s="191" t="s">
        <v>41</v>
      </c>
      <c r="H29" s="191" t="s">
        <v>43</v>
      </c>
      <c r="I29" s="191" t="s">
        <v>142</v>
      </c>
      <c r="J29" s="191" t="s">
        <v>4</v>
      </c>
      <c r="K29" s="191" t="s">
        <v>41</v>
      </c>
      <c r="L29" s="191" t="s">
        <v>43</v>
      </c>
      <c r="M29" s="191" t="s">
        <v>142</v>
      </c>
      <c r="N29" s="191" t="s">
        <v>4</v>
      </c>
      <c r="O29" s="191" t="s">
        <v>41</v>
      </c>
      <c r="P29" s="191" t="s">
        <v>43</v>
      </c>
      <c r="Q29" s="191" t="s">
        <v>142</v>
      </c>
      <c r="R29" s="191" t="s">
        <v>4</v>
      </c>
      <c r="S29" s="191" t="s">
        <v>41</v>
      </c>
      <c r="T29" s="191" t="s">
        <v>43</v>
      </c>
      <c r="U29" s="191" t="s">
        <v>142</v>
      </c>
      <c r="V29" s="191" t="s">
        <v>4</v>
      </c>
      <c r="W29" s="191" t="s">
        <v>41</v>
      </c>
      <c r="X29" s="191" t="s">
        <v>43</v>
      </c>
      <c r="Y29" s="191" t="s">
        <v>142</v>
      </c>
      <c r="Z29" s="191" t="s">
        <v>4</v>
      </c>
      <c r="AA29" s="191" t="s">
        <v>41</v>
      </c>
      <c r="AB29" s="191" t="s">
        <v>43</v>
      </c>
      <c r="AC29" s="191" t="s">
        <v>142</v>
      </c>
      <c r="AD29" s="191" t="s">
        <v>4</v>
      </c>
      <c r="AE29" s="191" t="s">
        <v>41</v>
      </c>
      <c r="AF29" s="191" t="s">
        <v>43</v>
      </c>
      <c r="AG29" s="191"/>
      <c r="AH29" s="191"/>
      <c r="AI29" s="191"/>
      <c r="AJ29" s="213">
        <f>IFERROR(COUNTIF(E29:AI29,"=Р")+COUNTIF(E29:AI29,"=Р1")+COUNTIF(E29:AI29,"=ВЧ")+COUNTIF(E29:AI29,"=РН")+COUNTIF(E29:AI29,"=Р2")+COUNTIF(E29:AI29,"=Р1/РВ")+COUNTIF(E29:AI29,"=Р2/РВ")+COUNTIF(E29:AI29,"=ВЧ/РВ")+COUNTIF(E29:AI29,"=РН/РВ"),0)</f>
        <v>21</v>
      </c>
      <c r="AK29" s="202">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164</v>
      </c>
      <c r="AL29" s="202">
        <f>IFERROR(SUMIF(E29:AI29,"=НУ",E30:AI30),0)</f>
        <v>0</v>
      </c>
      <c r="AM29" s="202">
        <f>IFERROR(SUMIF(E29:AI29,"=РН",E30:AI30)+SUMIF(E29:AI29,"=РН/РВ",E30:AI30)+SUMIFS(E30:AI30,E29:AI29,"=Р2",E30:AI30,"=8"),0)</f>
        <v>56</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28</v>
      </c>
      <c r="AO29" s="202">
        <f>IFERROR(SUMIF(E29:AI29,"=РВ",E30:AI30)+SUMIF(E29:AI29,"=ВЧ/РВ",E30:AI30)+SUMIF(E29:AI29,"=РН/РВ",E30:AI30)+SUMIF(E29:AI29,"=Р1/РВ",E30:AI30)+SUMIF(E29:AI29,"=ВЧ2/РВ",E30:AI30)+SUMIF(E29:AI29,"=Р2/РВ",E30:AI30),0)</f>
        <v>0</v>
      </c>
      <c r="AP29" s="202">
        <f>IFERROR(COUNTIF(E29:AI29,"=ВВ")+COUNTIF(E29:AI29,"=Р1/ВВ")+COUNTIF(E29:AI29,"=РН/ВВ")+COUNTIF(E29:AI29,"=ВЧ/ВВ"),0)</f>
        <v>7</v>
      </c>
      <c r="AQ29" s="202">
        <f>SUM(AR29:AZ29)</f>
        <v>0</v>
      </c>
      <c r="AR29" s="202">
        <f>IFERROR(SUMIF(E29:AI29,"='ТР1-2'!'ТР1-2'!Q21В",E30:AI30)+SUMIF(E29:AI29,"=Ч",E30:AI30)+SUMIF(E29:AI29,"=ВБ",E30:AI30),0)</f>
        <v>0</v>
      </c>
      <c r="AS29" s="202">
        <f>IFERROR(SUMIF(E29:AI29,"=Н",E30:AI30),0)</f>
        <v>0</v>
      </c>
      <c r="AT29" s="202">
        <f>IFERROR(SUMIF(E29:AI29,"=НА",E30:AI30),0)</f>
        <v>0</v>
      </c>
      <c r="AU29" s="202">
        <f>IFERROR(SUMIF(E29:AI29,"=ВП",E30:AI30),0)</f>
        <v>0</v>
      </c>
      <c r="AV29" s="202">
        <f>IFERROR(SUMIF(E29:AI29,"=ДД",E30:AI30),0)</f>
        <v>0</v>
      </c>
      <c r="AW29" s="202">
        <f>IFERROR(SUMIF(E29:AI29,"=ДО",E30:AI30),0)</f>
        <v>0</v>
      </c>
      <c r="AX29" s="202">
        <f>IFERROR(SUMIF(E29:AI29,"=ТН",E30:AI30),0)</f>
        <v>0</v>
      </c>
      <c r="AY29" s="202">
        <f>IFERROR(SUMIF(E29:AI29,"=ВД",E30:AI30),0)</f>
        <v>0</v>
      </c>
      <c r="AZ29" s="200">
        <f>IFERROR(SUMIF(E29:AI29,"=ІН",E30:AI30),0)+SUMIF(E29:AI29,"=НЗ",E30:AI30)</f>
        <v>0</v>
      </c>
    </row>
    <row r="30" spans="1:52" s="177" customFormat="1" ht="23.25" customHeight="1" thickBot="1" x14ac:dyDescent="0.25">
      <c r="A30" s="290"/>
      <c r="B30" s="229"/>
      <c r="C30" s="229"/>
      <c r="D30" s="229"/>
      <c r="E30" s="192"/>
      <c r="F30" s="192">
        <v>12</v>
      </c>
      <c r="G30" s="192">
        <v>4</v>
      </c>
      <c r="H30" s="192">
        <v>8</v>
      </c>
      <c r="I30" s="192"/>
      <c r="J30" s="192">
        <v>12</v>
      </c>
      <c r="K30" s="192">
        <v>4</v>
      </c>
      <c r="L30" s="192">
        <v>8</v>
      </c>
      <c r="M30" s="192"/>
      <c r="N30" s="192">
        <v>12</v>
      </c>
      <c r="O30" s="192">
        <v>4</v>
      </c>
      <c r="P30" s="192">
        <v>8</v>
      </c>
      <c r="Q30" s="192"/>
      <c r="R30" s="192">
        <v>12</v>
      </c>
      <c r="S30" s="192">
        <v>4</v>
      </c>
      <c r="T30" s="192">
        <v>8</v>
      </c>
      <c r="U30" s="192"/>
      <c r="V30" s="192">
        <v>8</v>
      </c>
      <c r="W30" s="192">
        <v>4</v>
      </c>
      <c r="X30" s="192">
        <v>8</v>
      </c>
      <c r="Y30" s="192"/>
      <c r="Z30" s="192">
        <v>12</v>
      </c>
      <c r="AA30" s="192">
        <v>4</v>
      </c>
      <c r="AB30" s="192">
        <v>8</v>
      </c>
      <c r="AC30" s="192"/>
      <c r="AD30" s="192">
        <v>12</v>
      </c>
      <c r="AE30" s="192">
        <v>4</v>
      </c>
      <c r="AF30" s="192">
        <v>8</v>
      </c>
      <c r="AG30" s="192" t="s">
        <v>491</v>
      </c>
      <c r="AH30" s="192" t="s">
        <v>492</v>
      </c>
      <c r="AI30" s="192" t="s">
        <v>493</v>
      </c>
      <c r="AJ30" s="214"/>
      <c r="AK30" s="203"/>
      <c r="AL30" s="203"/>
      <c r="AM30" s="203"/>
      <c r="AN30" s="212"/>
      <c r="AO30" s="203"/>
      <c r="AP30" s="203"/>
      <c r="AQ30" s="203"/>
      <c r="AR30" s="203"/>
      <c r="AS30" s="203"/>
      <c r="AT30" s="203"/>
      <c r="AU30" s="203"/>
      <c r="AV30" s="203"/>
      <c r="AW30" s="203"/>
      <c r="AX30" s="203"/>
      <c r="AY30" s="203"/>
      <c r="AZ30" s="201"/>
    </row>
    <row r="31" spans="1:52" s="177" customFormat="1" ht="20.25" customHeight="1" x14ac:dyDescent="0.2">
      <c r="A31" s="289">
        <f t="shared" ref="A31" si="5">A29+1</f>
        <v>8</v>
      </c>
      <c r="B31" s="228" t="s">
        <v>397</v>
      </c>
      <c r="C31" s="228">
        <v>1724</v>
      </c>
      <c r="D31" s="228" t="s">
        <v>72</v>
      </c>
      <c r="E31" s="191" t="s">
        <v>4</v>
      </c>
      <c r="F31" s="191" t="s">
        <v>41</v>
      </c>
      <c r="G31" s="191" t="s">
        <v>43</v>
      </c>
      <c r="H31" s="191" t="s">
        <v>142</v>
      </c>
      <c r="I31" s="191" t="s">
        <v>4</v>
      </c>
      <c r="J31" s="191" t="s">
        <v>41</v>
      </c>
      <c r="K31" s="191" t="s">
        <v>43</v>
      </c>
      <c r="L31" s="191" t="s">
        <v>142</v>
      </c>
      <c r="M31" s="191" t="s">
        <v>4</v>
      </c>
      <c r="N31" s="191" t="s">
        <v>41</v>
      </c>
      <c r="O31" s="191" t="s">
        <v>43</v>
      </c>
      <c r="P31" s="191" t="s">
        <v>142</v>
      </c>
      <c r="Q31" s="191" t="s">
        <v>4</v>
      </c>
      <c r="R31" s="191" t="s">
        <v>41</v>
      </c>
      <c r="S31" s="191" t="s">
        <v>43</v>
      </c>
      <c r="T31" s="191" t="s">
        <v>142</v>
      </c>
      <c r="U31" s="191" t="s">
        <v>4</v>
      </c>
      <c r="V31" s="191" t="s">
        <v>41</v>
      </c>
      <c r="W31" s="191" t="s">
        <v>43</v>
      </c>
      <c r="X31" s="191" t="s">
        <v>142</v>
      </c>
      <c r="Y31" s="191" t="s">
        <v>4</v>
      </c>
      <c r="Z31" s="191" t="s">
        <v>41</v>
      </c>
      <c r="AA31" s="191" t="s">
        <v>43</v>
      </c>
      <c r="AB31" s="191" t="s">
        <v>142</v>
      </c>
      <c r="AC31" s="191" t="s">
        <v>4</v>
      </c>
      <c r="AD31" s="191" t="s">
        <v>41</v>
      </c>
      <c r="AE31" s="191" t="s">
        <v>43</v>
      </c>
      <c r="AF31" s="191" t="s">
        <v>142</v>
      </c>
      <c r="AG31" s="191"/>
      <c r="AH31" s="191"/>
      <c r="AI31" s="191"/>
      <c r="AJ31" s="213">
        <f>IFERROR(COUNTIF(E31:AI31,"=Р")+COUNTIF(E31:AI31,"=Р1")+COUNTIF(E31:AI31,"=ВЧ")+COUNTIF(E31:AI31,"=РН")+COUNTIF(E31:AI31,"=Р2")+COUNTIF(E31:AI31,"=Р1/РВ")+COUNTIF(E31:AI31,"=Р2/РВ")+COUNTIF(E31:AI31,"=ВЧ/РВ")+COUNTIF(E31:AI31,"=РН/РВ"),0)</f>
        <v>21</v>
      </c>
      <c r="AK31" s="202">
        <f>IFERROR(SUMIF(E31:AI31,"=Р2",E32:AI32)+SUMIF(E31:AI31,"=ВЧ/РВ",E32:AI32)+SUMIF(E31:AI31,"=РН/РВ",E32:AI32)+SUMIF(E31:AI31,"=Р1/РВ",E32:AI32)+SUMIF(E31:AI31,"=ВЧ2/РВ",E32:AI32)+SUMIF(E31:AI31,"=Р2/РВ",E32:AI32)+SUMIF(E31:AI31,"=Р",E32:AI32)+SUMIF(E31:AI31,"=Р1",E32:AI32)+SUMIF(E31:AI31,"=ВЧ1",E32:AI32)+SUMIF(E31:AI31,"=РН",E32:AI32)+SUMIF(E31:AI31,"=ВЧ",E32:AI32),0)+AL31</f>
        <v>164</v>
      </c>
      <c r="AL31" s="202">
        <f>IFERROR(SUMIF(E31:AI31,"=НУ",E32:AI32),0)</f>
        <v>0</v>
      </c>
      <c r="AM31" s="202">
        <f>IFERROR(SUMIF(E31:AI31,"=РН",E32:AI32)+SUMIF(E31:AI31,"=РН/РВ",E32:AI32)+SUMIFS(E32:AI32,E31:AI31,"=Р2",E32:AI32,"=8"),0)</f>
        <v>56</v>
      </c>
      <c r="AN31" s="211">
        <f>IFERROR(SUMIF(E31:AI31,"=ВЧ",E32:AI32)+SUMIF(E31:AI31,"=ВЧ/РВ",E32:AI32)+CEILING(COUNTIFS(E31:AI31,"=Р2",E32:AI32,"=7")*4,1)+CEILING(COUNTIFS(E31:AI31,"=Р2/РВ",E32:AI32,"=7")*4,1)+SUMIFS(E32:AI32,E31:AI31,"=Р1/РВ",E32:AI32,"=12")/6+SUMIFS(E32:AI32,E31:AI31,"=ВЧ2/РВ",E32:AI32,"=4")/2+SUMIFS(E32:AI32,E31:AI31,"=Р1",E32:AI32,"=12")/6+SUMIFS(E32:AI32,E31:AI31,"=Р1",E32:AI32,"=8")/4+SUMIF(E31:AI31,"=ВЧ1",E32:AI32)/2,0)</f>
        <v>28</v>
      </c>
      <c r="AO31" s="202">
        <f>IFERROR(SUMIF(E31:AI31,"=РВ",E32:AI32)+SUMIF(E31:AI31,"=ВЧ/РВ",E32:AI32)+SUMIF(E31:AI31,"=РН/РВ",E32:AI32)+SUMIF(E31:AI31,"=Р1/РВ",E32:AI32)+SUMIF(E31:AI31,"=ВЧ2/РВ",E32:AI32)+SUMIF(E31:AI31,"=Р2/РВ",E32:AI32),0)</f>
        <v>0</v>
      </c>
      <c r="AP31" s="202">
        <f>IFERROR(COUNTIF(E31:AI31,"=ВВ")+COUNTIF(E31:AI31,"=Р1/ВВ")+COUNTIF(E31:AI31,"=РН/ВВ")+COUNTIF(E31:AI31,"=ВЧ/ВВ"),0)</f>
        <v>7</v>
      </c>
      <c r="AQ31" s="202">
        <f>SUM(AR31:AZ31)</f>
        <v>0</v>
      </c>
      <c r="AR31" s="202">
        <f>IFERROR(SUMIF(E31:AI31,"='ТР1-2'!'ТР1-2'!Q21В",E32:AI32)+SUMIF(E31:AI31,"=Ч",E32:AI32)+SUMIF(E31:AI31,"=ВБ",E32:AI32),0)</f>
        <v>0</v>
      </c>
      <c r="AS31" s="202">
        <f>IFERROR(SUMIF(E31:AI31,"=Н",E32:AI32),0)</f>
        <v>0</v>
      </c>
      <c r="AT31" s="202">
        <f>IFERROR(SUMIF(E31:AI31,"=НА",E32:AI32),0)</f>
        <v>0</v>
      </c>
      <c r="AU31" s="202">
        <f>IFERROR(SUMIF(E31:AI31,"=ВП",E32:AI32),0)</f>
        <v>0</v>
      </c>
      <c r="AV31" s="202">
        <f>IFERROR(SUMIF(E31:AI31,"=ДД",E32:AI32),0)</f>
        <v>0</v>
      </c>
      <c r="AW31" s="202">
        <f>IFERROR(SUMIF(E31:AI31,"=ДО",E32:AI32),0)</f>
        <v>0</v>
      </c>
      <c r="AX31" s="202">
        <f>IFERROR(SUMIF(E31:AI31,"=ТН",E32:AI32),0)</f>
        <v>0</v>
      </c>
      <c r="AY31" s="202">
        <f>IFERROR(SUMIF(E31:AI31,"=ВД",E32:AI32),0)</f>
        <v>0</v>
      </c>
      <c r="AZ31" s="200">
        <f>IFERROR(SUMIF(E31:AI31,"=ІН",E32:AI32),0)+SUMIF(E31:AI31,"=НЗ",E32:AI32)</f>
        <v>0</v>
      </c>
    </row>
    <row r="32" spans="1:52" s="177" customFormat="1" ht="20.100000000000001" customHeight="1" thickBot="1" x14ac:dyDescent="0.25">
      <c r="A32" s="290"/>
      <c r="B32" s="229"/>
      <c r="C32" s="229"/>
      <c r="D32" s="229"/>
      <c r="E32" s="192">
        <v>12</v>
      </c>
      <c r="F32" s="192">
        <v>4</v>
      </c>
      <c r="G32" s="192">
        <v>8</v>
      </c>
      <c r="H32" s="192"/>
      <c r="I32" s="192">
        <v>12</v>
      </c>
      <c r="J32" s="192">
        <v>4</v>
      </c>
      <c r="K32" s="192">
        <v>8</v>
      </c>
      <c r="L32" s="192"/>
      <c r="M32" s="192">
        <v>12</v>
      </c>
      <c r="N32" s="192">
        <v>4</v>
      </c>
      <c r="O32" s="192">
        <v>8</v>
      </c>
      <c r="P32" s="192"/>
      <c r="Q32" s="192">
        <v>12</v>
      </c>
      <c r="R32" s="192">
        <v>4</v>
      </c>
      <c r="S32" s="192">
        <v>8</v>
      </c>
      <c r="T32" s="192"/>
      <c r="U32" s="192">
        <v>8</v>
      </c>
      <c r="V32" s="192">
        <v>4</v>
      </c>
      <c r="W32" s="192">
        <v>8</v>
      </c>
      <c r="X32" s="192"/>
      <c r="Y32" s="192">
        <v>12</v>
      </c>
      <c r="Z32" s="192">
        <v>4</v>
      </c>
      <c r="AA32" s="192">
        <v>8</v>
      </c>
      <c r="AB32" s="192"/>
      <c r="AC32" s="192">
        <v>12</v>
      </c>
      <c r="AD32" s="192">
        <v>4</v>
      </c>
      <c r="AE32" s="192">
        <v>8</v>
      </c>
      <c r="AF32" s="192"/>
      <c r="AG32" s="192" t="s">
        <v>491</v>
      </c>
      <c r="AH32" s="192" t="s">
        <v>492</v>
      </c>
      <c r="AI32" s="192" t="s">
        <v>493</v>
      </c>
      <c r="AJ32" s="214"/>
      <c r="AK32" s="203"/>
      <c r="AL32" s="203"/>
      <c r="AM32" s="203"/>
      <c r="AN32" s="212"/>
      <c r="AO32" s="203"/>
      <c r="AP32" s="203"/>
      <c r="AQ32" s="203"/>
      <c r="AR32" s="203"/>
      <c r="AS32" s="203"/>
      <c r="AT32" s="203"/>
      <c r="AU32" s="203"/>
      <c r="AV32" s="203"/>
      <c r="AW32" s="203"/>
      <c r="AX32" s="203"/>
      <c r="AY32" s="203"/>
      <c r="AZ32" s="201"/>
    </row>
    <row r="33" spans="1:52" s="176" customFormat="1" ht="20.100000000000001" customHeight="1" x14ac:dyDescent="0.2">
      <c r="A33" s="289">
        <f t="shared" ref="A33" si="6">A31+1</f>
        <v>9</v>
      </c>
      <c r="B33" s="228" t="s">
        <v>368</v>
      </c>
      <c r="C33" s="228">
        <v>695</v>
      </c>
      <c r="D33" s="228" t="s">
        <v>72</v>
      </c>
      <c r="E33" s="191" t="s">
        <v>309</v>
      </c>
      <c r="F33" s="191" t="s">
        <v>43</v>
      </c>
      <c r="G33" s="191" t="s">
        <v>142</v>
      </c>
      <c r="H33" s="191" t="s">
        <v>4</v>
      </c>
      <c r="I33" s="191" t="s">
        <v>41</v>
      </c>
      <c r="J33" s="191" t="s">
        <v>43</v>
      </c>
      <c r="K33" s="191" t="s">
        <v>142</v>
      </c>
      <c r="L33" s="191" t="s">
        <v>4</v>
      </c>
      <c r="M33" s="191" t="s">
        <v>41</v>
      </c>
      <c r="N33" s="191" t="s">
        <v>43</v>
      </c>
      <c r="O33" s="191" t="s">
        <v>142</v>
      </c>
      <c r="P33" s="191" t="s">
        <v>4</v>
      </c>
      <c r="Q33" s="191" t="s">
        <v>41</v>
      </c>
      <c r="R33" s="191" t="s">
        <v>43</v>
      </c>
      <c r="S33" s="191" t="s">
        <v>142</v>
      </c>
      <c r="T33" s="191" t="s">
        <v>4</v>
      </c>
      <c r="U33" s="191" t="s">
        <v>41</v>
      </c>
      <c r="V33" s="191" t="s">
        <v>43</v>
      </c>
      <c r="W33" s="191" t="s">
        <v>45</v>
      </c>
      <c r="X33" s="191" t="s">
        <v>4</v>
      </c>
      <c r="Y33" s="191" t="s">
        <v>41</v>
      </c>
      <c r="Z33" s="191" t="s">
        <v>43</v>
      </c>
      <c r="AA33" s="191" t="s">
        <v>142</v>
      </c>
      <c r="AB33" s="191" t="s">
        <v>4</v>
      </c>
      <c r="AC33" s="191" t="s">
        <v>41</v>
      </c>
      <c r="AD33" s="191" t="s">
        <v>43</v>
      </c>
      <c r="AE33" s="191" t="s">
        <v>142</v>
      </c>
      <c r="AF33" s="191" t="s">
        <v>4</v>
      </c>
      <c r="AG33" s="191" t="s">
        <v>41</v>
      </c>
      <c r="AH33" s="191" t="s">
        <v>43</v>
      </c>
      <c r="AI33" s="191" t="s">
        <v>142</v>
      </c>
      <c r="AJ33" s="213">
        <f>IFERROR(COUNTIF(E33:AI33,"=Р")+COUNTIF(E33:AI33,"=Р1")+COUNTIF(E33:AI33,"=ВЧ")+COUNTIF(E33:AI33,"=РН")+COUNTIF(E33:AI33,"=Р2")+COUNTIF(E33:AI33,"=Р1/РВ")+COUNTIF(E33:AI33,"=Р2/РВ")+COUNTIF(E33:AI33,"=ВЧ/РВ")+COUNTIF(E33:AI33,"=РН/РВ"),0)</f>
        <v>22</v>
      </c>
      <c r="AK33" s="202">
        <f>IFERROR(SUMIF(E33:AI33,"=Р2",E34:AI34)+SUMIF(E33:AI33,"=ВЧ/РВ",E34:AI34)+SUMIF(E33:AI33,"=РН/РВ",E34:AI34)+SUMIF(E33:AI33,"=Р1/РВ",E34:AI34)+SUMIF(E33:AI33,"=ВЧ2/РВ",E34:AI34)+SUMIF(E33:AI33,"=Р2/РВ",E34:AI34)+SUMIF(E33:AI33,"=Р",E34:AI34)+SUMIF(E33:AI33,"=Р1",E34:AI34)+SUMIF(E33:AI33,"=ВЧ1",E34:AI34)+SUMIF(E33:AI33,"=РН",E34:AI34)+SUMIF(E33:AI33,"=ВЧ",E34:AI34),0)+AL33</f>
        <v>180</v>
      </c>
      <c r="AL33" s="202">
        <f>IFERROR(SUMIF(E33:AI33,"=НУ",E34:AI34),0)</f>
        <v>12</v>
      </c>
      <c r="AM33" s="202">
        <f>IFERROR(SUMIF(E33:AI33,"=РН",E34:AI34)+SUMIF(E33:AI33,"=РН/РВ",E34:AI34)+SUMIFS(E34:AI34,E33:AI33,"=Р2",E34:AI34,"=8"),0)</f>
        <v>64</v>
      </c>
      <c r="AN33" s="211">
        <f>IFERROR(SUMIF(E33:AI33,"=ВЧ",E34:AI34)+SUMIF(E33:AI33,"=ВЧ/РВ",E34:AI34)+CEILING(COUNTIFS(E33:AI33,"=Р2",E34:AI34,"=7")*4,1)+CEILING(COUNTIFS(E33:AI33,"=Р2/РВ",E34:AI34,"=7")*4,1)+SUMIFS(E34:AI34,E33:AI33,"=Р1/РВ",E34:AI34,"=12")/6+SUMIFS(E34:AI34,E33:AI33,"=ВЧ2/РВ",E34:AI34,"=4")/2+SUMIFS(E34:AI34,E33:AI33,"=Р1",E34:AI34,"=12")/6+SUMIFS(E34:AI34,E33:AI33,"=Р1",E34:AI34,"=8")/4+SUMIF(E33:AI33,"=ВЧ1",E34:AI34)/2,0)</f>
        <v>30</v>
      </c>
      <c r="AO33" s="202">
        <f>IFERROR(SUMIF(E33:AI33,"=РВ",E34:AI34)+SUMIF(E33:AI33,"=ВЧ/РВ",E34:AI34)+SUMIF(E33:AI33,"=РН/РВ",E34:AI34)+SUMIF(E33:AI33,"=Р1/РВ",E34:AI34)+SUMIF(E33:AI33,"=ВЧ2/РВ",E34:AI34)+SUMIF(E33:AI33,"=Р2/РВ",E34:AI34),0)</f>
        <v>0</v>
      </c>
      <c r="AP33" s="202">
        <f>IFERROR(COUNTIF(E33:AI33,"=ВВ")+COUNTIF(E33:AI33,"=Р1/ВВ")+COUNTIF(E33:AI33,"=РН/ВВ")+COUNTIF(E33:AI33,"=ВЧ/ВВ"),0)</f>
        <v>7</v>
      </c>
      <c r="AQ33" s="202">
        <f>SUM(AR33:AZ33)</f>
        <v>0</v>
      </c>
      <c r="AR33" s="202">
        <f>IFERROR(SUMIF(E33:AI33,"='ТР1-2'!'ТР1-2'!Q21В",E34:AI34)+SUMIF(E33:AI33,"=Ч",E34:AI34)+SUMIF(E33:AI33,"=ВБ",E34:AI34),0)</f>
        <v>0</v>
      </c>
      <c r="AS33" s="202">
        <f>IFERROR(SUMIF(E33:AI33,"=Н",E34:AI34),0)</f>
        <v>0</v>
      </c>
      <c r="AT33" s="202">
        <f>IFERROR(SUMIF(E33:AI33,"=НА",E34:AI34),0)</f>
        <v>0</v>
      </c>
      <c r="AU33" s="202">
        <f>IFERROR(SUMIF(E33:AI33,"=ВП",E34:AI34),0)</f>
        <v>0</v>
      </c>
      <c r="AV33" s="202">
        <f>IFERROR(SUMIF(E33:AI33,"=ДД",E34:AI34),0)</f>
        <v>0</v>
      </c>
      <c r="AW33" s="202">
        <f>IFERROR(SUMIF(E33:AI33,"=ДО",E34:AI34),0)</f>
        <v>0</v>
      </c>
      <c r="AX33" s="202">
        <f>IFERROR(SUMIF(E33:AI33,"=ТН",E34:AI34),0)</f>
        <v>0</v>
      </c>
      <c r="AY33" s="202">
        <f>IFERROR(SUMIF(E33:AI33,"=ВД",E34:AI34),0)</f>
        <v>0</v>
      </c>
      <c r="AZ33" s="200">
        <f>IFERROR(SUMIF(E33:AI33,"=ІН",E34:AI34),0)+SUMIF(E33:AI33,"=НЗ",E34:AI34)</f>
        <v>0</v>
      </c>
    </row>
    <row r="34" spans="1:52" s="176" customFormat="1" ht="20.100000000000001" customHeight="1" thickBot="1" x14ac:dyDescent="0.25">
      <c r="A34" s="290"/>
      <c r="B34" s="229"/>
      <c r="C34" s="229"/>
      <c r="D34" s="229"/>
      <c r="E34" s="192">
        <v>4</v>
      </c>
      <c r="F34" s="192">
        <v>8</v>
      </c>
      <c r="G34" s="192"/>
      <c r="H34" s="192">
        <v>12</v>
      </c>
      <c r="I34" s="192">
        <v>4</v>
      </c>
      <c r="J34" s="192">
        <v>8</v>
      </c>
      <c r="K34" s="192"/>
      <c r="L34" s="192">
        <v>6</v>
      </c>
      <c r="M34" s="192">
        <v>4</v>
      </c>
      <c r="N34" s="192">
        <v>8</v>
      </c>
      <c r="O34" s="192"/>
      <c r="P34" s="192">
        <v>6</v>
      </c>
      <c r="Q34" s="192">
        <v>4</v>
      </c>
      <c r="R34" s="192">
        <v>8</v>
      </c>
      <c r="S34" s="192"/>
      <c r="T34" s="192">
        <v>12</v>
      </c>
      <c r="U34" s="192">
        <v>4</v>
      </c>
      <c r="V34" s="192">
        <v>8</v>
      </c>
      <c r="W34" s="192">
        <v>12</v>
      </c>
      <c r="X34" s="192">
        <v>12</v>
      </c>
      <c r="Y34" s="192">
        <v>4</v>
      </c>
      <c r="Z34" s="192">
        <v>8</v>
      </c>
      <c r="AA34" s="192"/>
      <c r="AB34" s="192">
        <v>12</v>
      </c>
      <c r="AC34" s="192">
        <v>4</v>
      </c>
      <c r="AD34" s="192">
        <v>8</v>
      </c>
      <c r="AE34" s="192"/>
      <c r="AF34" s="192">
        <v>12</v>
      </c>
      <c r="AG34" s="192">
        <v>4</v>
      </c>
      <c r="AH34" s="192">
        <v>8</v>
      </c>
      <c r="AI34" s="192"/>
      <c r="AJ34" s="214"/>
      <c r="AK34" s="203"/>
      <c r="AL34" s="203"/>
      <c r="AM34" s="203"/>
      <c r="AN34" s="212"/>
      <c r="AO34" s="203"/>
      <c r="AP34" s="203"/>
      <c r="AQ34" s="203"/>
      <c r="AR34" s="203"/>
      <c r="AS34" s="203"/>
      <c r="AT34" s="203"/>
      <c r="AU34" s="203"/>
      <c r="AV34" s="203"/>
      <c r="AW34" s="203"/>
      <c r="AX34" s="203"/>
      <c r="AY34" s="203"/>
      <c r="AZ34" s="201"/>
    </row>
    <row r="35" spans="1:52" s="177" customFormat="1" ht="20.100000000000001" customHeight="1" x14ac:dyDescent="0.2">
      <c r="A35" s="289">
        <f t="shared" ref="A35" si="7">A33+1</f>
        <v>10</v>
      </c>
      <c r="B35" s="228" t="s">
        <v>400</v>
      </c>
      <c r="C35" s="228">
        <v>216</v>
      </c>
      <c r="D35" s="228" t="s">
        <v>72</v>
      </c>
      <c r="E35" s="191" t="s">
        <v>52</v>
      </c>
      <c r="F35" s="191" t="s">
        <v>52</v>
      </c>
      <c r="G35" s="191" t="s">
        <v>52</v>
      </c>
      <c r="H35" s="191" t="s">
        <v>52</v>
      </c>
      <c r="I35" s="191" t="s">
        <v>52</v>
      </c>
      <c r="J35" s="191" t="s">
        <v>52</v>
      </c>
      <c r="K35" s="191" t="s">
        <v>52</v>
      </c>
      <c r="L35" s="191" t="s">
        <v>52</v>
      </c>
      <c r="M35" s="191" t="s">
        <v>52</v>
      </c>
      <c r="N35" s="191" t="s">
        <v>52</v>
      </c>
      <c r="O35" s="191" t="s">
        <v>52</v>
      </c>
      <c r="P35" s="191" t="s">
        <v>52</v>
      </c>
      <c r="Q35" s="191" t="s">
        <v>52</v>
      </c>
      <c r="R35" s="191" t="s">
        <v>52</v>
      </c>
      <c r="S35" s="191" t="s">
        <v>52</v>
      </c>
      <c r="T35" s="191" t="s">
        <v>52</v>
      </c>
      <c r="U35" s="191" t="s">
        <v>52</v>
      </c>
      <c r="V35" s="191" t="s">
        <v>52</v>
      </c>
      <c r="W35" s="191" t="s">
        <v>52</v>
      </c>
      <c r="X35" s="191" t="s">
        <v>52</v>
      </c>
      <c r="Y35" s="191" t="s">
        <v>52</v>
      </c>
      <c r="Z35" s="191" t="s">
        <v>52</v>
      </c>
      <c r="AA35" s="191" t="s">
        <v>142</v>
      </c>
      <c r="AB35" s="191" t="s">
        <v>4</v>
      </c>
      <c r="AC35" s="191" t="s">
        <v>41</v>
      </c>
      <c r="AD35" s="191" t="s">
        <v>43</v>
      </c>
      <c r="AE35" s="191" t="s">
        <v>142</v>
      </c>
      <c r="AF35" s="191" t="s">
        <v>4</v>
      </c>
      <c r="AG35" s="191"/>
      <c r="AH35" s="191"/>
      <c r="AI35" s="191"/>
      <c r="AJ35" s="213">
        <f>IFERROR(COUNTIF(E35:AI35,"=Р")+COUNTIF(E35:AI35,"=Р1")+COUNTIF(E35:AI35,"=ВЧ")+COUNTIF(E35:AI35,"=РН")+COUNTIF(E35:AI35,"=Р2")+COUNTIF(E35:AI35,"=Р1/РВ")+COUNTIF(E35:AI35,"=Р2/РВ")+COUNTIF(E35:AI35,"=ВЧ/РВ")+COUNTIF(E35:AI35,"=РН/РВ"),0)</f>
        <v>4</v>
      </c>
      <c r="AK35" s="202">
        <f>IFERROR(SUMIF(E35:AI35,"=Р2",E36:AI36)+SUMIF(E35:AI35,"=ВЧ/РВ",E36:AI36)+SUMIF(E35:AI35,"=РН/РВ",E36:AI36)+SUMIF(E35:AI35,"=Р1/РВ",E36:AI36)+SUMIF(E35:AI35,"=ВЧ2/РВ",E36:AI36)+SUMIF(E35:AI35,"=Р2/РВ",E36:AI36)+SUMIF(E35:AI35,"=Р",E36:AI36)+SUMIF(E35:AI35,"=Р1",E36:AI36)+SUMIF(E35:AI35,"=ВЧ1",E36:AI36)+SUMIF(E35:AI35,"=РН",E36:AI36)+SUMIF(E35:AI35,"=ВЧ",E36:AI36),0)+AL35</f>
        <v>36</v>
      </c>
      <c r="AL35" s="202">
        <f>IFERROR(SUMIF(E35:AI35,"=НУ",E36:AI36),0)</f>
        <v>0</v>
      </c>
      <c r="AM35" s="202">
        <f>IFERROR(SUMIF(E35:AI35,"=РН",E36:AI36)+SUMIF(E35:AI35,"=РН/РВ",E36:AI36)+SUMIFS(E36:AI36,E35:AI35,"=Р2",E36:AI36,"=8"),0)</f>
        <v>8</v>
      </c>
      <c r="AN35" s="211">
        <f>IFERROR(SUMIF(E35:AI35,"=ВЧ",E36:AI36)+SUMIF(E35:AI35,"=ВЧ/РВ",E36:AI36)+CEILING(COUNTIFS(E35:AI35,"=Р2",E36:AI36,"=7")*4,1)+CEILING(COUNTIFS(E35:AI35,"=Р2/РВ",E36:AI36,"=7")*4,1)+SUMIFS(E36:AI36,E35:AI35,"=Р1/РВ",E36:AI36,"=12")/6+SUMIFS(E36:AI36,E35:AI35,"=ВЧ2/РВ",E36:AI36,"=4")/2+SUMIFS(E36:AI36,E35:AI35,"=Р1",E36:AI36,"=12")/6+SUMIFS(E36:AI36,E35:AI35,"=Р1",E36:AI36,"=8")/4+SUMIF(E35:AI35,"=ВЧ1",E36:AI36)/2,0)</f>
        <v>4</v>
      </c>
      <c r="AO35" s="202">
        <f>IFERROR(SUMIF(E35:AI35,"=РВ",E36:AI36)+SUMIF(E35:AI35,"=ВЧ/РВ",E36:AI36)+SUMIF(E35:AI35,"=РН/РВ",E36:AI36)+SUMIF(E35:AI35,"=Р1/РВ",E36:AI36)+SUMIF(E35:AI35,"=ВЧ2/РВ",E36:AI36)+SUMIF(E35:AI35,"=Р2/РВ",E36:AI36),0)</f>
        <v>0</v>
      </c>
      <c r="AP35" s="202">
        <f>IFERROR(COUNTIF(E35:AI35,"=ВВ")+COUNTIF(E35:AI35,"=Р1/ВВ")+COUNTIF(E35:AI35,"=РН/ВВ")+COUNTIF(E35:AI35,"=ВЧ/ВВ"),0)</f>
        <v>2</v>
      </c>
      <c r="AQ35" s="202">
        <f>SUM(AR35:AZ35)</f>
        <v>132</v>
      </c>
      <c r="AR35" s="202">
        <f>IFERROR(SUMIF(E35:AI35,"='ТР1-2'!'ТР1-2'!Q21В",E36:AI36)+SUMIF(E35:AI35,"=Ч",E36:AI36)+SUMIF(E35:AI35,"=ВБ",E36:AI36),0)</f>
        <v>0</v>
      </c>
      <c r="AS35" s="202">
        <f>IFERROR(SUMIF(E35:AI35,"=Н",E36:AI36),0)</f>
        <v>0</v>
      </c>
      <c r="AT35" s="202">
        <f>IFERROR(SUMIF(E35:AI35,"=НА",E36:AI36),0)</f>
        <v>0</v>
      </c>
      <c r="AU35" s="202">
        <f>IFERROR(SUMIF(E35:AI35,"=ВП",E36:AI36),0)</f>
        <v>0</v>
      </c>
      <c r="AV35" s="202">
        <f>IFERROR(SUMIF(E35:AI35,"=ДД",E36:AI36),0)</f>
        <v>0</v>
      </c>
      <c r="AW35" s="202">
        <f>IFERROR(SUMIF(E35:AI35,"=ДО",E36:AI36),0)</f>
        <v>0</v>
      </c>
      <c r="AX35" s="202">
        <f>IFERROR(SUMIF(E35:AI35,"=ТН",E36:AI36),0)</f>
        <v>132</v>
      </c>
      <c r="AY35" s="202">
        <f>IFERROR(SUMIF(E35:AI35,"=ВД",E36:AI36),0)</f>
        <v>0</v>
      </c>
      <c r="AZ35" s="200">
        <f>IFERROR(SUMIF(E35:AI35,"=ІН",E36:AI36),0)+SUMIF(E35:AI35,"=НЗ",E36:AI36)</f>
        <v>0</v>
      </c>
    </row>
    <row r="36" spans="1:52" s="177" customFormat="1" ht="20.100000000000001" customHeight="1" thickBot="1" x14ac:dyDescent="0.25">
      <c r="A36" s="290"/>
      <c r="B36" s="229"/>
      <c r="C36" s="229"/>
      <c r="D36" s="229"/>
      <c r="E36" s="192">
        <v>4</v>
      </c>
      <c r="F36" s="192">
        <v>8</v>
      </c>
      <c r="G36" s="192"/>
      <c r="H36" s="192">
        <v>12</v>
      </c>
      <c r="I36" s="192">
        <v>4</v>
      </c>
      <c r="J36" s="192">
        <v>8</v>
      </c>
      <c r="K36" s="192"/>
      <c r="L36" s="192">
        <v>12</v>
      </c>
      <c r="M36" s="192">
        <v>4</v>
      </c>
      <c r="N36" s="192">
        <v>8</v>
      </c>
      <c r="O36" s="192"/>
      <c r="P36" s="192">
        <v>12</v>
      </c>
      <c r="Q36" s="192">
        <v>4</v>
      </c>
      <c r="R36" s="192">
        <v>8</v>
      </c>
      <c r="S36" s="192"/>
      <c r="T36" s="192">
        <v>12</v>
      </c>
      <c r="U36" s="192">
        <v>4</v>
      </c>
      <c r="V36" s="192">
        <v>8</v>
      </c>
      <c r="W36" s="192"/>
      <c r="X36" s="192">
        <v>12</v>
      </c>
      <c r="Y36" s="192">
        <v>4</v>
      </c>
      <c r="Z36" s="192">
        <v>8</v>
      </c>
      <c r="AA36" s="192"/>
      <c r="AB36" s="192">
        <v>12</v>
      </c>
      <c r="AC36" s="192">
        <v>4</v>
      </c>
      <c r="AD36" s="192">
        <v>8</v>
      </c>
      <c r="AE36" s="192"/>
      <c r="AF36" s="192">
        <v>12</v>
      </c>
      <c r="AG36" s="192" t="s">
        <v>491</v>
      </c>
      <c r="AH36" s="192" t="s">
        <v>492</v>
      </c>
      <c r="AI36" s="192" t="s">
        <v>493</v>
      </c>
      <c r="AJ36" s="214"/>
      <c r="AK36" s="203"/>
      <c r="AL36" s="203"/>
      <c r="AM36" s="203"/>
      <c r="AN36" s="212"/>
      <c r="AO36" s="203"/>
      <c r="AP36" s="203"/>
      <c r="AQ36" s="203"/>
      <c r="AR36" s="203"/>
      <c r="AS36" s="203"/>
      <c r="AT36" s="203"/>
      <c r="AU36" s="203"/>
      <c r="AV36" s="203"/>
      <c r="AW36" s="203"/>
      <c r="AX36" s="203"/>
      <c r="AY36" s="203"/>
      <c r="AZ36" s="201"/>
    </row>
    <row r="37" spans="1:52" s="176" customFormat="1" ht="20.100000000000001" customHeight="1" x14ac:dyDescent="0.2">
      <c r="A37" s="289">
        <f t="shared" ref="A37" si="8">A35+1</f>
        <v>11</v>
      </c>
      <c r="B37" s="228" t="s">
        <v>216</v>
      </c>
      <c r="C37" s="228">
        <v>1851</v>
      </c>
      <c r="D37" s="228" t="s">
        <v>65</v>
      </c>
      <c r="E37" s="191" t="s">
        <v>142</v>
      </c>
      <c r="F37" s="191" t="s">
        <v>142</v>
      </c>
      <c r="G37" s="191" t="s">
        <v>4</v>
      </c>
      <c r="H37" s="191" t="s">
        <v>4</v>
      </c>
      <c r="I37" s="191" t="s">
        <v>4</v>
      </c>
      <c r="J37" s="191" t="s">
        <v>4</v>
      </c>
      <c r="K37" s="191" t="s">
        <v>4</v>
      </c>
      <c r="L37" s="191" t="s">
        <v>142</v>
      </c>
      <c r="M37" s="191" t="s">
        <v>142</v>
      </c>
      <c r="N37" s="191" t="s">
        <v>4</v>
      </c>
      <c r="O37" s="191" t="s">
        <v>4</v>
      </c>
      <c r="P37" s="191" t="s">
        <v>4</v>
      </c>
      <c r="Q37" s="191" t="s">
        <v>4</v>
      </c>
      <c r="R37" s="191" t="s">
        <v>4</v>
      </c>
      <c r="S37" s="191" t="s">
        <v>142</v>
      </c>
      <c r="T37" s="191" t="s">
        <v>142</v>
      </c>
      <c r="U37" s="191" t="s">
        <v>4</v>
      </c>
      <c r="V37" s="191" t="s">
        <v>4</v>
      </c>
      <c r="W37" s="191" t="s">
        <v>4</v>
      </c>
      <c r="X37" s="191" t="s">
        <v>4</v>
      </c>
      <c r="Y37" s="191" t="s">
        <v>4</v>
      </c>
      <c r="Z37" s="191" t="s">
        <v>142</v>
      </c>
      <c r="AA37" s="191" t="s">
        <v>142</v>
      </c>
      <c r="AB37" s="191" t="s">
        <v>4</v>
      </c>
      <c r="AC37" s="191" t="s">
        <v>4</v>
      </c>
      <c r="AD37" s="191" t="s">
        <v>4</v>
      </c>
      <c r="AE37" s="191" t="s">
        <v>4</v>
      </c>
      <c r="AF37" s="191" t="s">
        <v>4</v>
      </c>
      <c r="AG37" s="191" t="s">
        <v>142</v>
      </c>
      <c r="AH37" s="191" t="s">
        <v>142</v>
      </c>
      <c r="AI37" s="191" t="s">
        <v>4</v>
      </c>
      <c r="AJ37" s="213">
        <f>IFERROR(COUNTIF(E37:AI37,"=Р")+COUNTIF(E37:AI37,"=Р1")+COUNTIF(E37:AI37,"=ВЧ")+COUNTIF(E37:AI37,"=РН")+COUNTIF(E37:AI37,"=Р2")+COUNTIF(E37:AI37,"=Р1/РВ")+COUNTIF(E37:AI37,"=Р2/РВ")+COUNTIF(E37:AI37,"=ВЧ/РВ")+COUNTIF(E37:AI37,"=РН/РВ"),0)</f>
        <v>21</v>
      </c>
      <c r="AK37" s="202">
        <f>IFERROR(SUMIF(E37:AI37,"=Р2",E38:AI38)+SUMIF(E37:AI37,"=ВЧ/РВ",E38:AI38)+SUMIF(E37:AI37,"=РН/РВ",E38:AI38)+SUMIF(E37:AI37,"=Р1/РВ",E38:AI38)+SUMIF(E37:AI37,"=ВЧ2/РВ",E38:AI38)+SUMIF(E37:AI37,"=Р2/РВ",E38:AI38)+SUMIF(E37:AI37,"=Р",E38:AI38)+SUMIF(E37:AI37,"=Р1",E38:AI38)+SUMIF(E37:AI37,"=ВЧ1",E38:AI38)+SUMIF(E37:AI37,"=РН",E38:AI38)+SUMIF(E37:AI37,"=ВЧ",E38:AI38),0)+AL37</f>
        <v>167.99999999999997</v>
      </c>
      <c r="AL37" s="202">
        <f>IFERROR(SUMIF(E37:AI37,"=НУ",E38:AI38),0)</f>
        <v>0</v>
      </c>
      <c r="AM37" s="202">
        <f>IFERROR(SUMIF(E37:AI37,"=РН",E38:AI38)+SUMIF(E37:AI37,"=РН/РВ",E38:AI38)+SUMIFS(E38:AI38,E37:AI37,"=Р2",E38:AI38,"=8"),0)</f>
        <v>0</v>
      </c>
      <c r="AN37" s="211">
        <f>IFERROR(SUMIF(E37:AI37,"=ВЧ",E38:AI38)+SUMIF(E37:AI37,"=ВЧ/РВ",E38:AI38)+CEILING(COUNTIFS(E37:AI37,"=Р2",E38:AI38,"=7")*4,1)+CEILING(COUNTIFS(E37:AI37,"=Р2/РВ",E38:AI38,"=7")*4,1)+SUMIFS(E38:AI38,E37:AI37,"=Р1/РВ",E38:AI38,"=12")/6+SUMIFS(E38:AI38,E37:AI37,"=ВЧ2/РВ",E38:AI38,"=4")/2+SUMIFS(E38:AI38,E37:AI37,"=Р1",E38:AI38,"=12")/6+SUMIFS(E38:AI38,E37:AI37,"=Р1",E38:AI38,"=8")/4+SUMIF(E37:AI37,"=ВЧ1",E38:AI38)/2,0)</f>
        <v>0</v>
      </c>
      <c r="AO37" s="202">
        <f>IFERROR(SUMIF(E37:AI37,"=РВ",E38:AI38)+SUMIF(E37:AI37,"=ВЧ/РВ",E38:AI38)+SUMIF(E37:AI37,"=РН/РВ",E38:AI38)+SUMIF(E37:AI37,"=Р1/РВ",E38:AI38)+SUMIF(E37:AI37,"=ВЧ2/РВ",E38:AI38)+SUMIF(E37:AI37,"=Р2/РВ",E38:AI38),0)</f>
        <v>0</v>
      </c>
      <c r="AP37" s="202">
        <f>IFERROR(COUNTIF(E37:AI37,"=ВВ")+COUNTIF(E37:AI37,"=Р1/ВВ")+COUNTIF(E37:AI37,"=РН/ВВ")+COUNTIF(E37:AI37,"=ВЧ/ВВ"),0)</f>
        <v>10</v>
      </c>
      <c r="AQ37" s="202">
        <f>SUM(AR37:AZ37)</f>
        <v>0</v>
      </c>
      <c r="AR37" s="202">
        <f>IFERROR(SUMIF(E37:AI37,"='ТР1-2'!'ТР1-2'!Q21В",E38:AI38)+SUMIF(E37:AI37,"=Ч",E38:AI38)+SUMIF(E37:AI37,"=ВБ",E38:AI38),0)</f>
        <v>0</v>
      </c>
      <c r="AS37" s="202">
        <f>IFERROR(SUMIF(E37:AI37,"=Н",E38:AI38),0)</f>
        <v>0</v>
      </c>
      <c r="AT37" s="202">
        <f>IFERROR(SUMIF(E37:AI37,"=НА",E38:AI38),0)</f>
        <v>0</v>
      </c>
      <c r="AU37" s="202">
        <f>IFERROR(SUMIF(E37:AI37,"=ВП",E38:AI38),0)</f>
        <v>0</v>
      </c>
      <c r="AV37" s="202">
        <f>IFERROR(SUMIF(E37:AI37,"=ДД",E38:AI38),0)</f>
        <v>0</v>
      </c>
      <c r="AW37" s="202">
        <f>IFERROR(SUMIF(E37:AI37,"=ДО",E38:AI38),0)</f>
        <v>0</v>
      </c>
      <c r="AX37" s="202">
        <f>IFERROR(SUMIF(E37:AI37,"=ТН",E38:AI38),0)</f>
        <v>0</v>
      </c>
      <c r="AY37" s="202">
        <f>IFERROR(SUMIF(E37:AI37,"=ВД",E38:AI38),0)</f>
        <v>0</v>
      </c>
      <c r="AZ37" s="200">
        <f>IFERROR(SUMIF(E37:AI37,"=ІН",E38:AI38),0)+SUMIF(E37:AI37,"=НЗ",E38:AI38)</f>
        <v>0</v>
      </c>
    </row>
    <row r="38" spans="1:52" s="176" customFormat="1" ht="20.100000000000001" customHeight="1" thickBot="1" x14ac:dyDescent="0.25">
      <c r="A38" s="290"/>
      <c r="B38" s="229"/>
      <c r="C38" s="229"/>
      <c r="D38" s="229"/>
      <c r="E38" s="192"/>
      <c r="F38" s="192"/>
      <c r="G38" s="192">
        <v>8.1999999999999993</v>
      </c>
      <c r="H38" s="192">
        <v>8.1999999999999993</v>
      </c>
      <c r="I38" s="192">
        <v>8.1999999999999993</v>
      </c>
      <c r="J38" s="192">
        <v>8.1999999999999993</v>
      </c>
      <c r="K38" s="192">
        <v>7</v>
      </c>
      <c r="L38" s="192"/>
      <c r="M38" s="192"/>
      <c r="N38" s="192">
        <v>8.1999999999999993</v>
      </c>
      <c r="O38" s="192">
        <v>8.1999999999999993</v>
      </c>
      <c r="P38" s="192">
        <v>8.1999999999999993</v>
      </c>
      <c r="Q38" s="192">
        <v>8.1999999999999993</v>
      </c>
      <c r="R38" s="192">
        <v>7.2</v>
      </c>
      <c r="S38" s="192"/>
      <c r="T38" s="192"/>
      <c r="U38" s="192">
        <v>8.1999999999999993</v>
      </c>
      <c r="V38" s="192">
        <v>8.1999999999999993</v>
      </c>
      <c r="W38" s="192">
        <v>8.1999999999999993</v>
      </c>
      <c r="X38" s="192">
        <v>8.1999999999999993</v>
      </c>
      <c r="Y38" s="192">
        <v>7.2</v>
      </c>
      <c r="Z38" s="192"/>
      <c r="AA38" s="192"/>
      <c r="AB38" s="192">
        <v>8.1999999999999993</v>
      </c>
      <c r="AC38" s="192">
        <v>8.1999999999999993</v>
      </c>
      <c r="AD38" s="192">
        <v>8.1999999999999993</v>
      </c>
      <c r="AE38" s="192">
        <v>8.1999999999999993</v>
      </c>
      <c r="AF38" s="192">
        <v>7.2</v>
      </c>
      <c r="AG38" s="192"/>
      <c r="AH38" s="192"/>
      <c r="AI38" s="192">
        <v>8.1999999999999993</v>
      </c>
      <c r="AJ38" s="214"/>
      <c r="AK38" s="203"/>
      <c r="AL38" s="203"/>
      <c r="AM38" s="203"/>
      <c r="AN38" s="212"/>
      <c r="AO38" s="203"/>
      <c r="AP38" s="203"/>
      <c r="AQ38" s="203"/>
      <c r="AR38" s="203"/>
      <c r="AS38" s="203"/>
      <c r="AT38" s="203"/>
      <c r="AU38" s="203"/>
      <c r="AV38" s="203"/>
      <c r="AW38" s="203"/>
      <c r="AX38" s="203"/>
      <c r="AY38" s="203"/>
      <c r="AZ38" s="201"/>
    </row>
    <row r="39" spans="1:52" s="177" customFormat="1" ht="20.100000000000001" customHeight="1" x14ac:dyDescent="0.2">
      <c r="A39" s="289">
        <f t="shared" ref="A39" si="9">A37+1</f>
        <v>12</v>
      </c>
      <c r="B39" s="228" t="s">
        <v>406</v>
      </c>
      <c r="C39" s="228">
        <v>1328</v>
      </c>
      <c r="D39" s="228" t="s">
        <v>72</v>
      </c>
      <c r="E39" s="191" t="s">
        <v>52</v>
      </c>
      <c r="F39" s="191" t="s">
        <v>52</v>
      </c>
      <c r="G39" s="191" t="s">
        <v>52</v>
      </c>
      <c r="H39" s="191" t="s">
        <v>52</v>
      </c>
      <c r="I39" s="191" t="s">
        <v>43</v>
      </c>
      <c r="J39" s="191" t="s">
        <v>142</v>
      </c>
      <c r="K39" s="191" t="s">
        <v>4</v>
      </c>
      <c r="L39" s="191" t="s">
        <v>41</v>
      </c>
      <c r="M39" s="191" t="s">
        <v>43</v>
      </c>
      <c r="N39" s="191" t="s">
        <v>142</v>
      </c>
      <c r="O39" s="191" t="s">
        <v>4</v>
      </c>
      <c r="P39" s="191" t="s">
        <v>41</v>
      </c>
      <c r="Q39" s="191" t="s">
        <v>43</v>
      </c>
      <c r="R39" s="191" t="s">
        <v>142</v>
      </c>
      <c r="S39" s="191" t="s">
        <v>4</v>
      </c>
      <c r="T39" s="191" t="s">
        <v>41</v>
      </c>
      <c r="U39" s="191" t="s">
        <v>43</v>
      </c>
      <c r="V39" s="191" t="s">
        <v>142</v>
      </c>
      <c r="W39" s="191" t="s">
        <v>4</v>
      </c>
      <c r="X39" s="191" t="s">
        <v>41</v>
      </c>
      <c r="Y39" s="191" t="s">
        <v>43</v>
      </c>
      <c r="Z39" s="191" t="s">
        <v>142</v>
      </c>
      <c r="AA39" s="191" t="s">
        <v>4</v>
      </c>
      <c r="AB39" s="191" t="s">
        <v>41</v>
      </c>
      <c r="AC39" s="191" t="s">
        <v>43</v>
      </c>
      <c r="AD39" s="191" t="s">
        <v>142</v>
      </c>
      <c r="AE39" s="191" t="s">
        <v>4</v>
      </c>
      <c r="AF39" s="191" t="s">
        <v>41</v>
      </c>
      <c r="AG39" s="191"/>
      <c r="AH39" s="191"/>
      <c r="AI39" s="191"/>
      <c r="AJ39" s="213">
        <f>IFERROR(COUNTIF(E39:AI39,"=Р")+COUNTIF(E39:AI39,"=Р1")+COUNTIF(E39:AI39,"=ВЧ")+COUNTIF(E39:AI39,"=РН")+COUNTIF(E39:AI39,"=Р2")+COUNTIF(E39:AI39,"=Р1/РВ")+COUNTIF(E39:AI39,"=Р2/РВ")+COUNTIF(E39:AI39,"=ВЧ/РВ")+COUNTIF(E39:AI39,"=РН/РВ"),0)</f>
        <v>18</v>
      </c>
      <c r="AK39" s="202">
        <f>IFERROR(SUMIF(E39:AI39,"=Р2",E40:AI40)+SUMIF(E39:AI39,"=ВЧ/РВ",E40:AI40)+SUMIF(E39:AI39,"=РН/РВ",E40:AI40)+SUMIF(E39:AI39,"=Р1/РВ",E40:AI40)+SUMIF(E39:AI39,"=ВЧ2/РВ",E40:AI40)+SUMIF(E39:AI39,"=Р2/РВ",E40:AI40)+SUMIF(E39:AI39,"=Р",E40:AI40)+SUMIF(E39:AI39,"=Р1",E40:AI40)+SUMIF(E39:AI39,"=ВЧ1",E40:AI40)+SUMIF(E39:AI39,"=РН",E40:AI40)+SUMIF(E39:AI39,"=ВЧ",E40:AI40),0)+AL39</f>
        <v>144</v>
      </c>
      <c r="AL39" s="202">
        <f>IFERROR(SUMIF(E39:AI39,"=НУ",E40:AI40),0)</f>
        <v>0</v>
      </c>
      <c r="AM39" s="202">
        <f>IFERROR(SUMIF(E39:AI39,"=РН",E40:AI40)+SUMIF(E39:AI39,"=РН/РВ",E40:AI40)+SUMIFS(E40:AI40,E39:AI39,"=Р2",E40:AI40,"=8"),0)</f>
        <v>48</v>
      </c>
      <c r="AN39" s="211">
        <f>IFERROR(SUMIF(E39:AI39,"=ВЧ",E40:AI40)+SUMIF(E39:AI39,"=ВЧ/РВ",E40:AI40)+CEILING(COUNTIFS(E39:AI39,"=Р2",E40:AI40,"=7")*4,1)+CEILING(COUNTIFS(E39:AI39,"=Р2/РВ",E40:AI40,"=7")*4,1)+SUMIFS(E40:AI40,E39:AI39,"=Р1/РВ",E40:AI40,"=12")/6+SUMIFS(E40:AI40,E39:AI39,"=ВЧ2/РВ",E40:AI40,"=4")/2+SUMIFS(E40:AI40,E39:AI39,"=Р1",E40:AI40,"=12")/6+SUMIFS(E40:AI40,E39:AI39,"=Р1",E40:AI40,"=8")/4+SUMIF(E39:AI39,"=ВЧ1",E40:AI40)/2,0)</f>
        <v>24</v>
      </c>
      <c r="AO39" s="202">
        <f>IFERROR(SUMIF(E39:AI39,"=РВ",E40:AI40)+SUMIF(E39:AI39,"=ВЧ/РВ",E40:AI40)+SUMIF(E39:AI39,"=РН/РВ",E40:AI40)+SUMIF(E39:AI39,"=Р1/РВ",E40:AI40)+SUMIF(E39:AI39,"=ВЧ2/РВ",E40:AI40)+SUMIF(E39:AI39,"=Р2/РВ",E40:AI40),0)</f>
        <v>0</v>
      </c>
      <c r="AP39" s="202">
        <f>IFERROR(COUNTIF(E39:AI39,"=ВВ")+COUNTIF(E39:AI39,"=Р1/ВВ")+COUNTIF(E39:AI39,"=РН/ВВ")+COUNTIF(E39:AI39,"=ВЧ/ВВ"),0)</f>
        <v>6</v>
      </c>
      <c r="AQ39" s="202">
        <f>SUM(AR39:AZ39)</f>
        <v>20</v>
      </c>
      <c r="AR39" s="202">
        <f>IFERROR(SUMIF(E39:AI39,"='ТР1-2'!'ТР1-2'!Q21В",E40:AI40)+SUMIF(E39:AI39,"=Ч",E40:AI40)+SUMIF(E39:AI39,"=ВБ",E40:AI40),0)</f>
        <v>0</v>
      </c>
      <c r="AS39" s="202">
        <f>IFERROR(SUMIF(E39:AI39,"=Н",E40:AI40),0)</f>
        <v>0</v>
      </c>
      <c r="AT39" s="202">
        <f>IFERROR(SUMIF(E39:AI39,"=НА",E40:AI40),0)</f>
        <v>0</v>
      </c>
      <c r="AU39" s="202">
        <f>IFERROR(SUMIF(E39:AI39,"=ВП",E40:AI40),0)</f>
        <v>0</v>
      </c>
      <c r="AV39" s="202">
        <f>IFERROR(SUMIF(E39:AI39,"=ДД",E40:AI40),0)</f>
        <v>0</v>
      </c>
      <c r="AW39" s="202">
        <f>IFERROR(SUMIF(E39:AI39,"=ДО",E40:AI40),0)</f>
        <v>0</v>
      </c>
      <c r="AX39" s="202">
        <f>IFERROR(SUMIF(E39:AI39,"=ТН",E40:AI40),0)</f>
        <v>20</v>
      </c>
      <c r="AY39" s="202">
        <f>IFERROR(SUMIF(E39:AI39,"=ВД",E40:AI40),0)</f>
        <v>0</v>
      </c>
      <c r="AZ39" s="200">
        <f>IFERROR(SUMIF(E39:AI39,"=ІН",E40:AI40),0)+SUMIF(E39:AI39,"=НЗ",E40:AI40)</f>
        <v>0</v>
      </c>
    </row>
    <row r="40" spans="1:52" s="177" customFormat="1" ht="20.100000000000001" customHeight="1" thickBot="1" x14ac:dyDescent="0.25">
      <c r="A40" s="290"/>
      <c r="B40" s="229"/>
      <c r="C40" s="229"/>
      <c r="D40" s="229"/>
      <c r="E40" s="192">
        <v>8</v>
      </c>
      <c r="F40" s="192"/>
      <c r="G40" s="192">
        <v>8</v>
      </c>
      <c r="H40" s="192">
        <v>4</v>
      </c>
      <c r="I40" s="192">
        <v>8</v>
      </c>
      <c r="J40" s="192"/>
      <c r="K40" s="192">
        <v>12</v>
      </c>
      <c r="L40" s="192">
        <v>4</v>
      </c>
      <c r="M40" s="192">
        <v>8</v>
      </c>
      <c r="N40" s="192"/>
      <c r="O40" s="192">
        <v>12</v>
      </c>
      <c r="P40" s="192">
        <v>4</v>
      </c>
      <c r="Q40" s="192">
        <v>8</v>
      </c>
      <c r="R40" s="192"/>
      <c r="S40" s="192">
        <v>12</v>
      </c>
      <c r="T40" s="192">
        <v>4</v>
      </c>
      <c r="U40" s="192">
        <v>8</v>
      </c>
      <c r="V40" s="192"/>
      <c r="W40" s="192">
        <v>12</v>
      </c>
      <c r="X40" s="192">
        <v>4</v>
      </c>
      <c r="Y40" s="192">
        <v>8</v>
      </c>
      <c r="Z40" s="192"/>
      <c r="AA40" s="192">
        <v>12</v>
      </c>
      <c r="AB40" s="192">
        <v>4</v>
      </c>
      <c r="AC40" s="192">
        <v>8</v>
      </c>
      <c r="AD40" s="192"/>
      <c r="AE40" s="192">
        <v>12</v>
      </c>
      <c r="AF40" s="192">
        <v>4</v>
      </c>
      <c r="AG40" s="192" t="s">
        <v>491</v>
      </c>
      <c r="AH40" s="192" t="s">
        <v>492</v>
      </c>
      <c r="AI40" s="192" t="s">
        <v>493</v>
      </c>
      <c r="AJ40" s="214"/>
      <c r="AK40" s="203"/>
      <c r="AL40" s="203"/>
      <c r="AM40" s="203"/>
      <c r="AN40" s="212"/>
      <c r="AO40" s="203"/>
      <c r="AP40" s="203"/>
      <c r="AQ40" s="203"/>
      <c r="AR40" s="203"/>
      <c r="AS40" s="203"/>
      <c r="AT40" s="203"/>
      <c r="AU40" s="203"/>
      <c r="AV40" s="203"/>
      <c r="AW40" s="203"/>
      <c r="AX40" s="203"/>
      <c r="AY40" s="203"/>
      <c r="AZ40" s="201"/>
    </row>
    <row r="41" spans="1:52" s="176" customFormat="1" ht="20.100000000000001" customHeight="1" x14ac:dyDescent="0.2">
      <c r="A41" s="289">
        <f t="shared" ref="A41" si="10">A39+1</f>
        <v>13</v>
      </c>
      <c r="B41" s="228" t="s">
        <v>369</v>
      </c>
      <c r="C41" s="228">
        <v>2035</v>
      </c>
      <c r="D41" s="228" t="s">
        <v>72</v>
      </c>
      <c r="E41" s="191" t="s">
        <v>142</v>
      </c>
      <c r="F41" s="191" t="s">
        <v>4</v>
      </c>
      <c r="G41" s="191" t="s">
        <v>41</v>
      </c>
      <c r="H41" s="191" t="s">
        <v>43</v>
      </c>
      <c r="I41" s="191" t="s">
        <v>142</v>
      </c>
      <c r="J41" s="191" t="s">
        <v>4</v>
      </c>
      <c r="K41" s="191" t="s">
        <v>41</v>
      </c>
      <c r="L41" s="191" t="s">
        <v>43</v>
      </c>
      <c r="M41" s="191" t="s">
        <v>142</v>
      </c>
      <c r="N41" s="191" t="s">
        <v>4</v>
      </c>
      <c r="O41" s="191" t="s">
        <v>41</v>
      </c>
      <c r="P41" s="191" t="s">
        <v>43</v>
      </c>
      <c r="Q41" s="191" t="s">
        <v>142</v>
      </c>
      <c r="R41" s="191" t="s">
        <v>4</v>
      </c>
      <c r="S41" s="191" t="s">
        <v>41</v>
      </c>
      <c r="T41" s="191" t="s">
        <v>43</v>
      </c>
      <c r="U41" s="191" t="s">
        <v>45</v>
      </c>
      <c r="V41" s="191" t="s">
        <v>4</v>
      </c>
      <c r="W41" s="191" t="s">
        <v>41</v>
      </c>
      <c r="X41" s="191" t="s">
        <v>43</v>
      </c>
      <c r="Y41" s="191" t="s">
        <v>142</v>
      </c>
      <c r="Z41" s="191" t="s">
        <v>4</v>
      </c>
      <c r="AA41" s="191" t="s">
        <v>41</v>
      </c>
      <c r="AB41" s="191" t="s">
        <v>43</v>
      </c>
      <c r="AC41" s="191" t="s">
        <v>142</v>
      </c>
      <c r="AD41" s="191" t="s">
        <v>4</v>
      </c>
      <c r="AE41" s="191" t="s">
        <v>41</v>
      </c>
      <c r="AF41" s="191" t="s">
        <v>43</v>
      </c>
      <c r="AG41" s="191" t="s">
        <v>142</v>
      </c>
      <c r="AH41" s="191" t="s">
        <v>4</v>
      </c>
      <c r="AI41" s="191" t="s">
        <v>41</v>
      </c>
      <c r="AJ41" s="213">
        <f>IFERROR(COUNTIF(E41:AI41,"=Р")+COUNTIF(E41:AI41,"=Р1")+COUNTIF(E41:AI41,"=ВЧ")+COUNTIF(E41:AI41,"=РН")+COUNTIF(E41:AI41,"=Р2")+COUNTIF(E41:AI41,"=Р1/РВ")+COUNTIF(E41:AI41,"=Р2/РВ")+COUNTIF(E41:AI41,"=ВЧ/РВ")+COUNTIF(E41:AI41,"=РН/РВ"),0)</f>
        <v>23</v>
      </c>
      <c r="AK41" s="202">
        <f>IFERROR(SUMIF(E41:AI41,"=Р2",E42:AI42)+SUMIF(E41:AI41,"=ВЧ/РВ",E42:AI42)+SUMIF(E41:AI41,"=РН/РВ",E42:AI42)+SUMIF(E41:AI41,"=Р1/РВ",E42:AI42)+SUMIF(E41:AI41,"=ВЧ2/РВ",E42:AI42)+SUMIF(E41:AI41,"=Р2/РВ",E42:AI42)+SUMIF(E41:AI41,"=Р",E42:AI42)+SUMIF(E41:AI41,"=Р1",E42:AI42)+SUMIF(E41:AI41,"=ВЧ1",E42:AI42)+SUMIF(E41:AI41,"=РН",E42:AI42)+SUMIF(E41:AI41,"=ВЧ",E42:AI42),0)+AL41</f>
        <v>184</v>
      </c>
      <c r="AL41" s="202">
        <f>IFERROR(SUMIF(E41:AI41,"=НУ",E42:AI42),0)</f>
        <v>16</v>
      </c>
      <c r="AM41" s="202">
        <f>IFERROR(SUMIF(E41:AI41,"=РН",E42:AI42)+SUMIF(E41:AI41,"=РН/РВ",E42:AI42)+SUMIFS(E42:AI42,E41:AI41,"=Р2",E42:AI42,"=8"),0)</f>
        <v>56</v>
      </c>
      <c r="AN41" s="211">
        <f>IFERROR(SUMIF(E41:AI41,"=ВЧ",E42:AI42)+SUMIF(E41:AI41,"=ВЧ/РВ",E42:AI42)+CEILING(COUNTIFS(E41:AI41,"=Р2",E42:AI42,"=7")*4,1)+CEILING(COUNTIFS(E41:AI41,"=Р2/РВ",E42:AI42,"=7")*4,1)+SUMIFS(E42:AI42,E41:AI41,"=Р1/РВ",E42:AI42,"=12")/6+SUMIFS(E42:AI42,E41:AI41,"=ВЧ2/РВ",E42:AI42,"=4")/2+SUMIFS(E42:AI42,E41:AI41,"=Р1",E42:AI42,"=12")/6+SUMIFS(E42:AI42,E41:AI41,"=Р1",E42:AI42,"=8")/4+SUMIF(E41:AI41,"=ВЧ1",E42:AI42)/2,0)</f>
        <v>32</v>
      </c>
      <c r="AO41" s="202">
        <f>IFERROR(SUMIF(E41:AI41,"=РВ",E42:AI42)+SUMIF(E41:AI41,"=ВЧ/РВ",E42:AI42)+SUMIF(E41:AI41,"=РН/РВ",E42:AI42)+SUMIF(E41:AI41,"=Р1/РВ",E42:AI42)+SUMIF(E41:AI41,"=ВЧ2/РВ",E42:AI42)+SUMIF(E41:AI41,"=Р2/РВ",E42:AI42),0)</f>
        <v>0</v>
      </c>
      <c r="AP41" s="202">
        <f>IFERROR(COUNTIF(E41:AI41,"=ВВ")+COUNTIF(E41:AI41,"=Р1/ВВ")+COUNTIF(E41:AI41,"=РН/ВВ")+COUNTIF(E41:AI41,"=ВЧ/ВВ"),0)</f>
        <v>7</v>
      </c>
      <c r="AQ41" s="202">
        <f>SUM(AR41:AZ41)</f>
        <v>0</v>
      </c>
      <c r="AR41" s="202">
        <f>IFERROR(SUMIF(E41:AI41,"='ТР1-2'!'ТР1-2'!Q21В",E42:AI42)+SUMIF(E41:AI41,"=Ч",E42:AI42)+SUMIF(E41:AI41,"=ВБ",E42:AI42),0)</f>
        <v>0</v>
      </c>
      <c r="AS41" s="202">
        <f>IFERROR(SUMIF(E41:AI41,"=Н",E42:AI42),0)</f>
        <v>0</v>
      </c>
      <c r="AT41" s="202">
        <f>IFERROR(SUMIF(E41:AI41,"=НА",E42:AI42),0)</f>
        <v>0</v>
      </c>
      <c r="AU41" s="202">
        <f>IFERROR(SUMIF(E41:AI41,"=ВП",E42:AI42),0)</f>
        <v>0</v>
      </c>
      <c r="AV41" s="202">
        <f>IFERROR(SUMIF(E41:AI41,"=ДД",E42:AI42),0)</f>
        <v>0</v>
      </c>
      <c r="AW41" s="202">
        <f>IFERROR(SUMIF(E41:AI41,"=ДО",E42:AI42),0)</f>
        <v>0</v>
      </c>
      <c r="AX41" s="202">
        <f>IFERROR(SUMIF(E41:AI41,"=ТН",E42:AI42),0)</f>
        <v>0</v>
      </c>
      <c r="AY41" s="202">
        <f>IFERROR(SUMIF(E41:AI41,"=ВД",E42:AI42),0)</f>
        <v>0</v>
      </c>
      <c r="AZ41" s="200">
        <f>IFERROR(SUMIF(E41:AI41,"=ІН",E42:AI42),0)+SUMIF(E41:AI41,"=НЗ",E42:AI42)</f>
        <v>0</v>
      </c>
    </row>
    <row r="42" spans="1:52" s="176" customFormat="1" ht="20.100000000000001" customHeight="1" thickBot="1" x14ac:dyDescent="0.25">
      <c r="A42" s="290"/>
      <c r="B42" s="229"/>
      <c r="C42" s="229"/>
      <c r="D42" s="229"/>
      <c r="E42" s="192"/>
      <c r="F42" s="192">
        <v>12</v>
      </c>
      <c r="G42" s="192">
        <v>4</v>
      </c>
      <c r="H42" s="192">
        <v>8</v>
      </c>
      <c r="I42" s="192"/>
      <c r="J42" s="192">
        <v>6</v>
      </c>
      <c r="K42" s="192">
        <v>4</v>
      </c>
      <c r="L42" s="192">
        <v>8</v>
      </c>
      <c r="M42" s="192"/>
      <c r="N42" s="192">
        <v>6</v>
      </c>
      <c r="O42" s="192">
        <v>4</v>
      </c>
      <c r="P42" s="192">
        <v>8</v>
      </c>
      <c r="Q42" s="192"/>
      <c r="R42" s="192">
        <v>12</v>
      </c>
      <c r="S42" s="192">
        <v>4</v>
      </c>
      <c r="T42" s="192">
        <v>8</v>
      </c>
      <c r="U42" s="192">
        <v>16</v>
      </c>
      <c r="V42" s="192">
        <v>12</v>
      </c>
      <c r="W42" s="192">
        <v>4</v>
      </c>
      <c r="X42" s="192">
        <v>8</v>
      </c>
      <c r="Y42" s="192"/>
      <c r="Z42" s="192">
        <v>8</v>
      </c>
      <c r="AA42" s="192">
        <v>4</v>
      </c>
      <c r="AB42" s="192">
        <v>8</v>
      </c>
      <c r="AC42" s="192"/>
      <c r="AD42" s="192">
        <v>12</v>
      </c>
      <c r="AE42" s="192">
        <v>4</v>
      </c>
      <c r="AF42" s="192">
        <v>8</v>
      </c>
      <c r="AG42" s="192"/>
      <c r="AH42" s="192">
        <v>12</v>
      </c>
      <c r="AI42" s="192">
        <v>4</v>
      </c>
      <c r="AJ42" s="214"/>
      <c r="AK42" s="203"/>
      <c r="AL42" s="203"/>
      <c r="AM42" s="203"/>
      <c r="AN42" s="212"/>
      <c r="AO42" s="203"/>
      <c r="AP42" s="203"/>
      <c r="AQ42" s="203"/>
      <c r="AR42" s="203"/>
      <c r="AS42" s="203"/>
      <c r="AT42" s="203"/>
      <c r="AU42" s="203"/>
      <c r="AV42" s="203"/>
      <c r="AW42" s="203"/>
      <c r="AX42" s="203"/>
      <c r="AY42" s="203"/>
      <c r="AZ42" s="201"/>
    </row>
    <row r="43" spans="1:52" s="172" customFormat="1" ht="20.100000000000001" customHeight="1" x14ac:dyDescent="0.2">
      <c r="A43" s="289">
        <f t="shared" ref="A43" si="11">A41+1</f>
        <v>14</v>
      </c>
      <c r="B43" s="228" t="s">
        <v>349</v>
      </c>
      <c r="C43" s="228">
        <v>2217</v>
      </c>
      <c r="D43" s="228" t="s">
        <v>65</v>
      </c>
      <c r="E43" s="191" t="s">
        <v>142</v>
      </c>
      <c r="F43" s="191" t="s">
        <v>142</v>
      </c>
      <c r="G43" s="191" t="s">
        <v>4</v>
      </c>
      <c r="H43" s="191" t="s">
        <v>4</v>
      </c>
      <c r="I43" s="191" t="s">
        <v>4</v>
      </c>
      <c r="J43" s="191" t="s">
        <v>4</v>
      </c>
      <c r="K43" s="191" t="s">
        <v>4</v>
      </c>
      <c r="L43" s="191" t="s">
        <v>142</v>
      </c>
      <c r="M43" s="191" t="s">
        <v>142</v>
      </c>
      <c r="N43" s="191" t="s">
        <v>4</v>
      </c>
      <c r="O43" s="191" t="s">
        <v>4</v>
      </c>
      <c r="P43" s="191" t="s">
        <v>4</v>
      </c>
      <c r="Q43" s="191" t="s">
        <v>4</v>
      </c>
      <c r="R43" s="191" t="s">
        <v>4</v>
      </c>
      <c r="S43" s="191" t="s">
        <v>142</v>
      </c>
      <c r="T43" s="191" t="s">
        <v>142</v>
      </c>
      <c r="U43" s="191" t="s">
        <v>4</v>
      </c>
      <c r="V43" s="191" t="s">
        <v>4</v>
      </c>
      <c r="W43" s="191" t="s">
        <v>4</v>
      </c>
      <c r="X43" s="191" t="s">
        <v>4</v>
      </c>
      <c r="Y43" s="191" t="s">
        <v>4</v>
      </c>
      <c r="Z43" s="191" t="s">
        <v>142</v>
      </c>
      <c r="AA43" s="191" t="s">
        <v>142</v>
      </c>
      <c r="AB43" s="191" t="s">
        <v>52</v>
      </c>
      <c r="AC43" s="191" t="s">
        <v>52</v>
      </c>
      <c r="AD43" s="191" t="s">
        <v>52</v>
      </c>
      <c r="AE43" s="191" t="s">
        <v>52</v>
      </c>
      <c r="AF43" s="191" t="s">
        <v>52</v>
      </c>
      <c r="AG43" s="191" t="s">
        <v>142</v>
      </c>
      <c r="AH43" s="191" t="s">
        <v>142</v>
      </c>
      <c r="AI43" s="191" t="s">
        <v>4</v>
      </c>
      <c r="AJ43" s="213">
        <f>IFERROR(COUNTIF(E43:AI43,"=Р")+COUNTIF(E43:AI43,"=Р1")+COUNTIF(E43:AI43,"=ВЧ")+COUNTIF(E43:AI43,"=РН")+COUNTIF(E43:AI43,"=Р2")+COUNTIF(E43:AI43,"=Р1/РВ")+COUNTIF(E43:AI43,"=Р2/РВ")+COUNTIF(E43:AI43,"=ВЧ/РВ")+COUNTIF(E43:AI43,"=РН/РВ"),0)</f>
        <v>16</v>
      </c>
      <c r="AK43" s="202">
        <f>IFERROR(SUMIF(E43:AI43,"=Р2",E44:AI44)+SUMIF(E43:AI43,"=ВЧ/РВ",E44:AI44)+SUMIF(E43:AI43,"=РН/РВ",E44:AI44)+SUMIF(E43:AI43,"=Р1/РВ",E44:AI44)+SUMIF(E43:AI43,"=ВЧ2/РВ",E44:AI44)+SUMIF(E43:AI43,"=Р2/РВ",E44:AI44)+SUMIF(E43:AI43,"=Р",E44:AI44)+SUMIF(E43:AI43,"=Р1",E44:AI44)+SUMIF(E43:AI43,"=ВЧ1",E44:AI44)+SUMIF(E43:AI43,"=РН",E44:AI44)+SUMIF(E43:AI43,"=ВЧ",E44:AI44),0)+AL43</f>
        <v>128.00000000000003</v>
      </c>
      <c r="AL43" s="202">
        <f>IFERROR(SUMIF(E43:AI43,"=НУ",E44:AI44),0)</f>
        <v>0</v>
      </c>
      <c r="AM43" s="202">
        <f>IFERROR(SUMIF(E43:AI43,"=РН",E44:AI44)+SUMIF(E43:AI43,"=РН/РВ",E44:AI44)+SUMIFS(E44:AI44,E43:AI43,"=Р2",E44:AI44,"=8"),0)</f>
        <v>0</v>
      </c>
      <c r="AN43" s="211">
        <f>IFERROR(SUMIF(E43:AI43,"=ВЧ",E44:AI44)+SUMIF(E43:AI43,"=ВЧ/РВ",E44:AI44)+CEILING(COUNTIFS(E43:AI43,"=Р2",E44:AI44,"=7")*4,1)+CEILING(COUNTIFS(E43:AI43,"=Р2/РВ",E44:AI44,"=7")*4,1)+SUMIFS(E44:AI44,E43:AI43,"=Р1/РВ",E44:AI44,"=12")/6+SUMIFS(E44:AI44,E43:AI43,"=ВЧ2/РВ",E44:AI44,"=4")/2+SUMIFS(E44:AI44,E43:AI43,"=Р1",E44:AI44,"=12")/6+SUMIFS(E44:AI44,E43:AI43,"=Р1",E44:AI44,"=8")/4+SUMIF(E43:AI43,"=ВЧ1",E44:AI44)/2,0)</f>
        <v>0</v>
      </c>
      <c r="AO43" s="202">
        <f>IFERROR(SUMIF(E43:AI43,"=РВ",E44:AI44)+SUMIF(E43:AI43,"=ВЧ/РВ",E44:AI44)+SUMIF(E43:AI43,"=РН/РВ",E44:AI44)+SUMIF(E43:AI43,"=Р1/РВ",E44:AI44)+SUMIF(E43:AI43,"=ВЧ2/РВ",E44:AI44)+SUMIF(E43:AI43,"=Р2/РВ",E44:AI44),0)</f>
        <v>0</v>
      </c>
      <c r="AP43" s="202">
        <f>IFERROR(COUNTIF(E43:AI43,"=ВВ")+COUNTIF(E43:AI43,"=Р1/ВВ")+COUNTIF(E43:AI43,"=РН/ВВ")+COUNTIF(E43:AI43,"=ВЧ/ВВ"),0)</f>
        <v>10</v>
      </c>
      <c r="AQ43" s="202">
        <f>SUM(AR43:AZ43)</f>
        <v>40</v>
      </c>
      <c r="AR43" s="202">
        <f>IFERROR(SUMIF(E43:AI43,"=В",E44:AI44)+SUMIF(E43:AI43,"=Ч",E44:AI44)+SUMIF(E43:AI43,"=ВБ",E44:AI44),0)</f>
        <v>0</v>
      </c>
      <c r="AS43" s="202">
        <f>IFERROR(SUMIF(E43:AI43,"=Н",E44:AI44),0)</f>
        <v>0</v>
      </c>
      <c r="AT43" s="202">
        <f>IFERROR(SUMIF(E43:AI43,"=НА",E44:AI44),0)</f>
        <v>0</v>
      </c>
      <c r="AU43" s="202">
        <f>IFERROR(SUMIF(E43:AI43,"=ВП",E44:AI44),0)</f>
        <v>0</v>
      </c>
      <c r="AV43" s="202">
        <f>IFERROR(SUMIF(E43:AI43,"=ДД",E44:AI44),0)</f>
        <v>0</v>
      </c>
      <c r="AW43" s="202">
        <f>IFERROR(SUMIF(E43:AI43,"=ДО",E44:AI44),0)</f>
        <v>0</v>
      </c>
      <c r="AX43" s="202">
        <f>IFERROR(SUMIF(E43:AI43,"=ТН",E44:AI44),0)</f>
        <v>40</v>
      </c>
      <c r="AY43" s="202">
        <f>IFERROR(SUMIF(E43:AI43,"=ВД",E44:AI44),0)</f>
        <v>0</v>
      </c>
      <c r="AZ43" s="200">
        <f>IFERROR(SUMIF(E43:AI43,"=ІН",E44:AI44),0)+SUMIF(E43:AI43,"=НЗ",E44:AI44)</f>
        <v>0</v>
      </c>
    </row>
    <row r="44" spans="1:52" s="172" customFormat="1" ht="20.100000000000001" customHeight="1" thickBot="1" x14ac:dyDescent="0.25">
      <c r="A44" s="290"/>
      <c r="B44" s="229"/>
      <c r="C44" s="229"/>
      <c r="D44" s="229"/>
      <c r="E44" s="192"/>
      <c r="F44" s="192"/>
      <c r="G44" s="192">
        <v>8.1999999999999993</v>
      </c>
      <c r="H44" s="192">
        <v>8.1999999999999993</v>
      </c>
      <c r="I44" s="192">
        <v>8.1999999999999993</v>
      </c>
      <c r="J44" s="192">
        <v>8.1999999999999993</v>
      </c>
      <c r="K44" s="192">
        <v>7</v>
      </c>
      <c r="L44" s="192"/>
      <c r="M44" s="192"/>
      <c r="N44" s="192">
        <v>8.1999999999999993</v>
      </c>
      <c r="O44" s="192">
        <v>8.1999999999999993</v>
      </c>
      <c r="P44" s="192">
        <v>8.1999999999999993</v>
      </c>
      <c r="Q44" s="192">
        <v>8.1999999999999993</v>
      </c>
      <c r="R44" s="192">
        <v>7.2</v>
      </c>
      <c r="S44" s="192"/>
      <c r="T44" s="192"/>
      <c r="U44" s="192">
        <v>8.1999999999999993</v>
      </c>
      <c r="V44" s="192">
        <v>8.1999999999999993</v>
      </c>
      <c r="W44" s="192">
        <v>8.1999999999999993</v>
      </c>
      <c r="X44" s="192">
        <v>8.1999999999999993</v>
      </c>
      <c r="Y44" s="192">
        <v>7.2</v>
      </c>
      <c r="Z44" s="192"/>
      <c r="AA44" s="192"/>
      <c r="AB44" s="192">
        <v>8.1999999999999993</v>
      </c>
      <c r="AC44" s="192">
        <v>8.1999999999999993</v>
      </c>
      <c r="AD44" s="192">
        <v>8.1999999999999993</v>
      </c>
      <c r="AE44" s="192">
        <v>8.1999999999999993</v>
      </c>
      <c r="AF44" s="192">
        <v>7.2</v>
      </c>
      <c r="AG44" s="192"/>
      <c r="AH44" s="192"/>
      <c r="AI44" s="192">
        <v>8.1999999999999993</v>
      </c>
      <c r="AJ44" s="214"/>
      <c r="AK44" s="203"/>
      <c r="AL44" s="203"/>
      <c r="AM44" s="203"/>
      <c r="AN44" s="212"/>
      <c r="AO44" s="203"/>
      <c r="AP44" s="203"/>
      <c r="AQ44" s="203"/>
      <c r="AR44" s="203"/>
      <c r="AS44" s="203"/>
      <c r="AT44" s="203"/>
      <c r="AU44" s="203"/>
      <c r="AV44" s="203"/>
      <c r="AW44" s="203"/>
      <c r="AX44" s="203"/>
      <c r="AY44" s="203"/>
      <c r="AZ44" s="201"/>
    </row>
    <row r="45" spans="1:52" s="177" customFormat="1" ht="20.100000000000001" customHeight="1" x14ac:dyDescent="0.2">
      <c r="A45" s="289">
        <f t="shared" ref="A45" si="12">A43+1</f>
        <v>15</v>
      </c>
      <c r="B45" s="228" t="s">
        <v>412</v>
      </c>
      <c r="C45" s="228">
        <v>2001</v>
      </c>
      <c r="D45" s="228" t="s">
        <v>65</v>
      </c>
      <c r="E45" s="191" t="s">
        <v>41</v>
      </c>
      <c r="F45" s="191" t="s">
        <v>43</v>
      </c>
      <c r="G45" s="191" t="s">
        <v>142</v>
      </c>
      <c r="H45" s="191" t="s">
        <v>4</v>
      </c>
      <c r="I45" s="191" t="s">
        <v>41</v>
      </c>
      <c r="J45" s="191" t="s">
        <v>43</v>
      </c>
      <c r="K45" s="191" t="s">
        <v>142</v>
      </c>
      <c r="L45" s="191" t="s">
        <v>4</v>
      </c>
      <c r="M45" s="191" t="s">
        <v>41</v>
      </c>
      <c r="N45" s="191" t="s">
        <v>43</v>
      </c>
      <c r="O45" s="191" t="s">
        <v>142</v>
      </c>
      <c r="P45" s="191" t="s">
        <v>4</v>
      </c>
      <c r="Q45" s="191" t="s">
        <v>41</v>
      </c>
      <c r="R45" s="191" t="s">
        <v>43</v>
      </c>
      <c r="S45" s="191" t="s">
        <v>142</v>
      </c>
      <c r="T45" s="191" t="s">
        <v>4</v>
      </c>
      <c r="U45" s="191" t="s">
        <v>41</v>
      </c>
      <c r="V45" s="191" t="s">
        <v>43</v>
      </c>
      <c r="W45" s="191" t="s">
        <v>142</v>
      </c>
      <c r="X45" s="191" t="s">
        <v>4</v>
      </c>
      <c r="Y45" s="191" t="s">
        <v>41</v>
      </c>
      <c r="Z45" s="191" t="s">
        <v>43</v>
      </c>
      <c r="AA45" s="191" t="s">
        <v>142</v>
      </c>
      <c r="AB45" s="191" t="s">
        <v>4</v>
      </c>
      <c r="AC45" s="191" t="s">
        <v>41</v>
      </c>
      <c r="AD45" s="191" t="s">
        <v>43</v>
      </c>
      <c r="AE45" s="191" t="s">
        <v>142</v>
      </c>
      <c r="AF45" s="191" t="s">
        <v>4</v>
      </c>
      <c r="AG45" s="191"/>
      <c r="AH45" s="191"/>
      <c r="AI45" s="191"/>
      <c r="AJ45" s="213">
        <f>IFERROR(COUNTIF(E45:AI45,"=Р")+COUNTIF(E45:AI45,"=Р1")+COUNTIF(E45:AI45,"=ВЧ")+COUNTIF(E45:AI45,"=РН")+COUNTIF(E45:AI45,"=Р2")+COUNTIF(E45:AI45,"=Р1/РВ")+COUNTIF(E45:AI45,"=Р2/РВ")+COUNTIF(E45:AI45,"=ВЧ/РВ")+COUNTIF(E45:AI45,"=РН/РВ"),0)</f>
        <v>21</v>
      </c>
      <c r="AK45" s="202">
        <f>IFERROR(SUMIF(E45:AI45,"=Р2",E46:AI46)+SUMIF(E45:AI45,"=ВЧ/РВ",E46:AI46)+SUMIF(E45:AI45,"=РН/РВ",E46:AI46)+SUMIF(E45:AI45,"=Р1/РВ",E46:AI46)+SUMIF(E45:AI45,"=ВЧ2/РВ",E46:AI46)+SUMIF(E45:AI45,"=Р2/РВ",E46:AI46)+SUMIF(E45:AI45,"=Р",E46:AI46)+SUMIF(E45:AI45,"=Р1",E46:AI46)+SUMIF(E45:AI45,"=ВЧ1",E46:AI46)+SUMIF(E45:AI45,"=РН",E46:AI46)+SUMIF(E45:AI45,"=ВЧ",E46:AI46),0)+AL45</f>
        <v>164</v>
      </c>
      <c r="AL45" s="202">
        <f>IFERROR(SUMIF(E45:AI45,"=НУ",E46:AI46),0)</f>
        <v>0</v>
      </c>
      <c r="AM45" s="202">
        <f>IFERROR(SUMIF(E45:AI45,"=РН",E46:AI46)+SUMIF(E45:AI45,"=РН/РВ",E46:AI46)+SUMIFS(E46:AI46,E45:AI45,"=Р2",E46:AI46,"=8"),0)</f>
        <v>56</v>
      </c>
      <c r="AN45" s="211">
        <f>IFERROR(SUMIF(E45:AI45,"=ВЧ",E46:AI46)+SUMIF(E45:AI45,"=ВЧ/РВ",E46:AI46)+CEILING(COUNTIFS(E45:AI45,"=Р2",E46:AI46,"=7")*4,1)+CEILING(COUNTIFS(E45:AI45,"=Р2/РВ",E46:AI46,"=7")*4,1)+SUMIFS(E46:AI46,E45:AI45,"=Р1/РВ",E46:AI46,"=12")/6+SUMIFS(E46:AI46,E45:AI45,"=ВЧ2/РВ",E46:AI46,"=4")/2+SUMIFS(E46:AI46,E45:AI45,"=Р1",E46:AI46,"=12")/6+SUMIFS(E46:AI46,E45:AI45,"=Р1",E46:AI46,"=8")/4+SUMIF(E45:AI45,"=ВЧ1",E46:AI46)/2,0)</f>
        <v>28</v>
      </c>
      <c r="AO45" s="202">
        <f>IFERROR(SUMIF(E45:AI45,"=РВ",E46:AI46)+SUMIF(E45:AI45,"=ВЧ/РВ",E46:AI46)+SUMIF(E45:AI45,"=РН/РВ",E46:AI46)+SUMIF(E45:AI45,"=Р1/РВ",E46:AI46)+SUMIF(E45:AI45,"=ВЧ2/РВ",E46:AI46)+SUMIF(E45:AI45,"=Р2/РВ",E46:AI46),0)</f>
        <v>0</v>
      </c>
      <c r="AP45" s="202">
        <f>IFERROR(COUNTIF(E45:AI45,"=ВВ")+COUNTIF(E45:AI45,"=Р1/ВВ")+COUNTIF(E45:AI45,"=РН/ВВ")+COUNTIF(E45:AI45,"=ВЧ/ВВ"),0)</f>
        <v>7</v>
      </c>
      <c r="AQ45" s="202">
        <f>SUM(AR45:AZ45)</f>
        <v>0</v>
      </c>
      <c r="AR45" s="202">
        <f>IFERROR(SUMIF(E45:AI45,"='ТР1-2'!'ТР1-2'!Q21В",E46:AI46)+SUMIF(E45:AI45,"=Ч",E46:AI46)+SUMIF(E45:AI45,"=ВБ",E46:AI46),0)</f>
        <v>0</v>
      </c>
      <c r="AS45" s="202">
        <f>IFERROR(SUMIF(E45:AI45,"=Н",E46:AI46),0)</f>
        <v>0</v>
      </c>
      <c r="AT45" s="202">
        <f>IFERROR(SUMIF(E45:AI45,"=НА",E46:AI46),0)</f>
        <v>0</v>
      </c>
      <c r="AU45" s="202">
        <f>IFERROR(SUMIF(E45:AI45,"=ВП",E46:AI46),0)</f>
        <v>0</v>
      </c>
      <c r="AV45" s="202">
        <f>IFERROR(SUMIF(E45:AI45,"=ДД",E46:AI46),0)</f>
        <v>0</v>
      </c>
      <c r="AW45" s="202">
        <f>IFERROR(SUMIF(E45:AI45,"=ДО",E46:AI46),0)</f>
        <v>0</v>
      </c>
      <c r="AX45" s="202">
        <f>IFERROR(SUMIF(E45:AI45,"=ТН",E46:AI46),0)</f>
        <v>0</v>
      </c>
      <c r="AY45" s="202">
        <f>IFERROR(SUMIF(E45:AI45,"=ВД",E46:AI46),0)</f>
        <v>0</v>
      </c>
      <c r="AZ45" s="200">
        <f>IFERROR(SUMIF(E45:AI45,"=ІН",E46:AI46),0)+SUMIF(E45:AI45,"=НЗ",E46:AI46)</f>
        <v>0</v>
      </c>
    </row>
    <row r="46" spans="1:52" s="177" customFormat="1" ht="23.25" customHeight="1" thickBot="1" x14ac:dyDescent="0.25">
      <c r="A46" s="290"/>
      <c r="B46" s="229"/>
      <c r="C46" s="229"/>
      <c r="D46" s="229"/>
      <c r="E46" s="192">
        <v>4</v>
      </c>
      <c r="F46" s="192">
        <v>8</v>
      </c>
      <c r="G46" s="192"/>
      <c r="H46" s="192">
        <v>12</v>
      </c>
      <c r="I46" s="192">
        <v>4</v>
      </c>
      <c r="J46" s="192">
        <v>8</v>
      </c>
      <c r="K46" s="192"/>
      <c r="L46" s="192">
        <v>12</v>
      </c>
      <c r="M46" s="192">
        <v>4</v>
      </c>
      <c r="N46" s="192">
        <v>8</v>
      </c>
      <c r="O46" s="192"/>
      <c r="P46" s="192">
        <v>8</v>
      </c>
      <c r="Q46" s="192">
        <v>4</v>
      </c>
      <c r="R46" s="192">
        <v>8</v>
      </c>
      <c r="S46" s="192"/>
      <c r="T46" s="192">
        <v>12</v>
      </c>
      <c r="U46" s="192">
        <v>4</v>
      </c>
      <c r="V46" s="192">
        <v>8</v>
      </c>
      <c r="W46" s="192"/>
      <c r="X46" s="192">
        <v>12</v>
      </c>
      <c r="Y46" s="192">
        <v>4</v>
      </c>
      <c r="Z46" s="192">
        <v>8</v>
      </c>
      <c r="AA46" s="192"/>
      <c r="AB46" s="192">
        <v>12</v>
      </c>
      <c r="AC46" s="192">
        <v>4</v>
      </c>
      <c r="AD46" s="192">
        <v>8</v>
      </c>
      <c r="AE46" s="192"/>
      <c r="AF46" s="192">
        <v>12</v>
      </c>
      <c r="AG46" s="192" t="s">
        <v>491</v>
      </c>
      <c r="AH46" s="192" t="s">
        <v>492</v>
      </c>
      <c r="AI46" s="192" t="s">
        <v>493</v>
      </c>
      <c r="AJ46" s="214"/>
      <c r="AK46" s="203"/>
      <c r="AL46" s="203"/>
      <c r="AM46" s="203"/>
      <c r="AN46" s="212"/>
      <c r="AO46" s="203"/>
      <c r="AP46" s="203"/>
      <c r="AQ46" s="203"/>
      <c r="AR46" s="203"/>
      <c r="AS46" s="203"/>
      <c r="AT46" s="203"/>
      <c r="AU46" s="203"/>
      <c r="AV46" s="203"/>
      <c r="AW46" s="203"/>
      <c r="AX46" s="203"/>
      <c r="AY46" s="203"/>
      <c r="AZ46" s="201"/>
    </row>
    <row r="47" spans="1:52" s="108" customFormat="1" ht="23.25" customHeight="1" x14ac:dyDescent="0.2">
      <c r="A47" s="289">
        <f t="shared" ref="A47" si="13">A45+1</f>
        <v>16</v>
      </c>
      <c r="B47" s="228" t="s">
        <v>208</v>
      </c>
      <c r="C47" s="228">
        <v>1771</v>
      </c>
      <c r="D47" s="228" t="s">
        <v>65</v>
      </c>
      <c r="E47" s="191" t="s">
        <v>43</v>
      </c>
      <c r="F47" s="191" t="s">
        <v>142</v>
      </c>
      <c r="G47" s="191" t="s">
        <v>4</v>
      </c>
      <c r="H47" s="191" t="s">
        <v>41</v>
      </c>
      <c r="I47" s="191" t="s">
        <v>43</v>
      </c>
      <c r="J47" s="191" t="s">
        <v>142</v>
      </c>
      <c r="K47" s="191" t="s">
        <v>4</v>
      </c>
      <c r="L47" s="191" t="s">
        <v>41</v>
      </c>
      <c r="M47" s="191" t="s">
        <v>43</v>
      </c>
      <c r="N47" s="191" t="s">
        <v>142</v>
      </c>
      <c r="O47" s="191" t="s">
        <v>4</v>
      </c>
      <c r="P47" s="191" t="s">
        <v>41</v>
      </c>
      <c r="Q47" s="191" t="s">
        <v>43</v>
      </c>
      <c r="R47" s="191" t="s">
        <v>142</v>
      </c>
      <c r="S47" s="191" t="s">
        <v>4</v>
      </c>
      <c r="T47" s="191" t="s">
        <v>41</v>
      </c>
      <c r="U47" s="191" t="s">
        <v>43</v>
      </c>
      <c r="V47" s="191" t="s">
        <v>142</v>
      </c>
      <c r="W47" s="191" t="s">
        <v>142</v>
      </c>
      <c r="X47" s="191" t="s">
        <v>309</v>
      </c>
      <c r="Y47" s="191" t="s">
        <v>43</v>
      </c>
      <c r="Z47" s="191" t="s">
        <v>142</v>
      </c>
      <c r="AA47" s="191" t="s">
        <v>4</v>
      </c>
      <c r="AB47" s="191" t="s">
        <v>41</v>
      </c>
      <c r="AC47" s="191" t="s">
        <v>43</v>
      </c>
      <c r="AD47" s="191" t="s">
        <v>142</v>
      </c>
      <c r="AE47" s="191" t="s">
        <v>4</v>
      </c>
      <c r="AF47" s="191" t="s">
        <v>41</v>
      </c>
      <c r="AG47" s="191" t="s">
        <v>43</v>
      </c>
      <c r="AH47" s="191" t="s">
        <v>142</v>
      </c>
      <c r="AI47" s="191" t="s">
        <v>263</v>
      </c>
      <c r="AJ47" s="213">
        <f>IFERROR(COUNTIF(E47:AI47,"=Р")+COUNTIF(E47:AI47,"=Р1")+COUNTIF(E47:AI47,"=ВЧ")+COUNTIF(E47:AI47,"=РН")+COUNTIF(E47:AI47,"=Р2")+COUNTIF(E47:AI47,"=Р1/РВ")+COUNTIF(E47:AI47,"=Р2/РВ")+COUNTIF(E47:AI47,"=ВЧ/РВ")+COUNTIF(E47:AI47,"=РН/РВ"),0)</f>
        <v>21</v>
      </c>
      <c r="AK47" s="202">
        <f>IFERROR(SUMIF(E47:AI47,"=Р2",E48:AI48)+SUMIF(E47:AI47,"=ВЧ/РВ",E48:AI48)+SUMIF(E47:AI47,"=РН/РВ",E48:AI48)+SUMIF(E47:AI47,"=Р1/РВ",E48:AI48)+SUMIF(E47:AI47,"=ВЧ2/РВ",E48:AI48)+SUMIF(E47:AI47,"=Р2/РВ",E48:AI48)+SUMIF(E47:AI47,"=Р",E48:AI48)+SUMIF(E47:AI47,"=Р1",E48:AI48)+SUMIF(E47:AI47,"=ВЧ1",E48:AI48)+SUMIF(E47:AI47,"=РН",E48:AI48)+SUMIF(E47:AI47,"=ВЧ",E48:AI48),0)+AL47</f>
        <v>168</v>
      </c>
      <c r="AL47" s="202">
        <f>IFERROR(SUMIF(E47:AI47,"=НУ",E48:AI48),0)</f>
        <v>0</v>
      </c>
      <c r="AM47" s="202">
        <f>IFERROR(SUMIF(E47:AI47,"=РН",E48:AI48)+SUMIF(E47:AI47,"=РН/РВ",E48:AI48)+SUMIFS(E48:AI48,E47:AI47,"=Р2",E48:AI48,"=8"),0)</f>
        <v>64</v>
      </c>
      <c r="AN47" s="211">
        <f>IFERROR(SUMIF(E47:AI47,"=ВЧ",E48:AI48)+SUMIF(E47:AI47,"=ВЧ/РВ",E48:AI48)+CEILING(COUNTIFS(E47:AI47,"=Р2",E48:AI48,"=7")*4,1)+CEILING(COUNTIFS(E47:AI47,"=Р2/РВ",E48:AI48,"=7")*4,1)+SUMIFS(E48:AI48,E47:AI47,"=Р1/РВ",E48:AI48,"=12")/6+SUMIFS(E48:AI48,E47:AI47,"=ВЧ2/РВ",E48:AI48,"=4")/2+SUMIFS(E48:AI48,E47:AI47,"=Р1",E48:AI48,"=12")/6+SUMIFS(E48:AI48,E47:AI47,"=Р1",E48:AI48,"=8")/4+SUMIF(E47:AI47,"=ВЧ1",E48:AI48)/2,0)</f>
        <v>28</v>
      </c>
      <c r="AO47" s="202">
        <f>IFERROR(SUMIF(E47:AI47,"=РВ",E48:AI48)+SUMIF(E47:AI47,"=ВЧ/РВ",E48:AI48)+SUMIF(E47:AI47,"=РН/РВ",E48:AI48)+SUMIF(E47:AI47,"=Р1/РВ",E48:AI48)+SUMIF(E47:AI47,"=ВЧ2/РВ",E48:AI48)+SUMIF(E47:AI47,"=Р2/РВ",E48:AI48),0)</f>
        <v>0</v>
      </c>
      <c r="AP47" s="202">
        <f>IFERROR(COUNTIF(E47:AI47,"=ВВ")+COUNTIF(E47:AI47,"=Р1/ВВ")+COUNTIF(E47:AI47,"=РН/ВВ")+COUNTIF(E47:AI47,"=ВЧ/ВВ"),0)</f>
        <v>9</v>
      </c>
      <c r="AQ47" s="202">
        <f>SUM(AR47:AZ47)</f>
        <v>0</v>
      </c>
      <c r="AR47" s="202">
        <f>IFERROR(SUMIF(E47:AI47,"=В",E48:AI48)+SUMIF(E47:AI47,"=Ч",E48:AI48)+SUMIF(E47:AI47,"=ВБ",E48:AI48),0)</f>
        <v>0</v>
      </c>
      <c r="AS47" s="202">
        <f>IFERROR(SUMIF(E47:AI47,"=Н",E48:AI48),0)</f>
        <v>0</v>
      </c>
      <c r="AT47" s="202">
        <f>IFERROR(SUMIF(E47:AI47,"=НА",E48:AI48),0)</f>
        <v>0</v>
      </c>
      <c r="AU47" s="202">
        <f>IFERROR(SUMIF(E47:AI47,"=ВП",E48:AI48),0)</f>
        <v>0</v>
      </c>
      <c r="AV47" s="202">
        <f>IFERROR(SUMIF(E47:AI47,"=ДД",E48:AI48),0)</f>
        <v>0</v>
      </c>
      <c r="AW47" s="202">
        <f>IFERROR(SUMIF(E47:AI47,"=ДО",E48:AI48),0)</f>
        <v>0</v>
      </c>
      <c r="AX47" s="202">
        <f>IFERROR(SUMIF(E47:AI47,"=ТН",E48:AI48),0)</f>
        <v>0</v>
      </c>
      <c r="AY47" s="202">
        <f>IFERROR(SUMIF(E47:AI47,"=ВД",E48:AI48),0)</f>
        <v>0</v>
      </c>
      <c r="AZ47" s="200">
        <f>IFERROR(SUMIF(E47:AI47,"=ІН",E48:AI48),0)+SUMIF(E47:AI47,"=НЗ",E48:AI48)</f>
        <v>0</v>
      </c>
    </row>
    <row r="48" spans="1:52" s="108" customFormat="1" ht="20.100000000000001" customHeight="1" thickBot="1" x14ac:dyDescent="0.25">
      <c r="A48" s="290"/>
      <c r="B48" s="229"/>
      <c r="C48" s="229"/>
      <c r="D48" s="229"/>
      <c r="E48" s="192">
        <v>8</v>
      </c>
      <c r="F48" s="192"/>
      <c r="G48" s="192">
        <v>12</v>
      </c>
      <c r="H48" s="192">
        <v>4</v>
      </c>
      <c r="I48" s="192">
        <v>8</v>
      </c>
      <c r="J48" s="192"/>
      <c r="K48" s="192">
        <v>4</v>
      </c>
      <c r="L48" s="192">
        <v>4</v>
      </c>
      <c r="M48" s="192">
        <v>8</v>
      </c>
      <c r="N48" s="192"/>
      <c r="O48" s="192">
        <v>12</v>
      </c>
      <c r="P48" s="192">
        <v>4</v>
      </c>
      <c r="Q48" s="192">
        <v>8</v>
      </c>
      <c r="R48" s="192"/>
      <c r="S48" s="192">
        <v>12</v>
      </c>
      <c r="T48" s="192">
        <v>4</v>
      </c>
      <c r="U48" s="192">
        <v>8</v>
      </c>
      <c r="V48" s="192"/>
      <c r="W48" s="192"/>
      <c r="X48" s="192">
        <v>4</v>
      </c>
      <c r="Y48" s="192">
        <v>8</v>
      </c>
      <c r="Z48" s="192"/>
      <c r="AA48" s="192">
        <v>12</v>
      </c>
      <c r="AB48" s="192">
        <v>4</v>
      </c>
      <c r="AC48" s="192">
        <v>8</v>
      </c>
      <c r="AD48" s="192"/>
      <c r="AE48" s="192">
        <v>12</v>
      </c>
      <c r="AF48" s="192">
        <v>4</v>
      </c>
      <c r="AG48" s="192">
        <v>8</v>
      </c>
      <c r="AH48" s="192"/>
      <c r="AI48" s="192">
        <v>12</v>
      </c>
      <c r="AJ48" s="214"/>
      <c r="AK48" s="203"/>
      <c r="AL48" s="203"/>
      <c r="AM48" s="203"/>
      <c r="AN48" s="212"/>
      <c r="AO48" s="203"/>
      <c r="AP48" s="203"/>
      <c r="AQ48" s="203"/>
      <c r="AR48" s="203"/>
      <c r="AS48" s="203"/>
      <c r="AT48" s="203"/>
      <c r="AU48" s="203"/>
      <c r="AV48" s="203"/>
      <c r="AW48" s="203"/>
      <c r="AX48" s="203"/>
      <c r="AY48" s="203"/>
      <c r="AZ48" s="201"/>
    </row>
    <row r="49" spans="1:52" s="177" customFormat="1" ht="20.100000000000001" customHeight="1" x14ac:dyDescent="0.2">
      <c r="A49" s="289">
        <f t="shared" ref="A49:A67" si="14">A47+1</f>
        <v>17</v>
      </c>
      <c r="B49" s="228" t="s">
        <v>419</v>
      </c>
      <c r="C49" s="228">
        <v>2222</v>
      </c>
      <c r="D49" s="228" t="s">
        <v>72</v>
      </c>
      <c r="E49" s="191" t="s">
        <v>4</v>
      </c>
      <c r="F49" s="191" t="s">
        <v>41</v>
      </c>
      <c r="G49" s="191" t="s">
        <v>43</v>
      </c>
      <c r="H49" s="191" t="s">
        <v>142</v>
      </c>
      <c r="I49" s="191" t="s">
        <v>4</v>
      </c>
      <c r="J49" s="191" t="s">
        <v>41</v>
      </c>
      <c r="K49" s="191" t="s">
        <v>43</v>
      </c>
      <c r="L49" s="191" t="s">
        <v>142</v>
      </c>
      <c r="M49" s="191" t="s">
        <v>4</v>
      </c>
      <c r="N49" s="191" t="s">
        <v>41</v>
      </c>
      <c r="O49" s="191" t="s">
        <v>43</v>
      </c>
      <c r="P49" s="191" t="s">
        <v>142</v>
      </c>
      <c r="Q49" s="191" t="s">
        <v>4</v>
      </c>
      <c r="R49" s="191" t="s">
        <v>41</v>
      </c>
      <c r="S49" s="191" t="s">
        <v>43</v>
      </c>
      <c r="T49" s="191" t="s">
        <v>142</v>
      </c>
      <c r="U49" s="191" t="s">
        <v>4</v>
      </c>
      <c r="V49" s="191" t="s">
        <v>41</v>
      </c>
      <c r="W49" s="191" t="s">
        <v>43</v>
      </c>
      <c r="X49" s="191" t="s">
        <v>142</v>
      </c>
      <c r="Y49" s="191" t="s">
        <v>4</v>
      </c>
      <c r="Z49" s="191" t="s">
        <v>41</v>
      </c>
      <c r="AA49" s="191" t="s">
        <v>43</v>
      </c>
      <c r="AB49" s="191" t="s">
        <v>142</v>
      </c>
      <c r="AC49" s="191" t="s">
        <v>4</v>
      </c>
      <c r="AD49" s="191" t="s">
        <v>41</v>
      </c>
      <c r="AE49" s="191" t="s">
        <v>43</v>
      </c>
      <c r="AF49" s="191" t="s">
        <v>142</v>
      </c>
      <c r="AG49" s="191"/>
      <c r="AH49" s="191"/>
      <c r="AI49" s="191"/>
      <c r="AJ49" s="213">
        <f>IFERROR(COUNTIF(E49:AI49,"=Р")+COUNTIF(E49:AI49,"=Р1")+COUNTIF(E49:AI49,"=ВЧ")+COUNTIF(E49:AI49,"=РН")+COUNTIF(E49:AI49,"=Р2")+COUNTIF(E49:AI49,"=Р1/РВ")+COUNTIF(E49:AI49,"=Р2/РВ")+COUNTIF(E49:AI49,"=ВЧ/РВ")+COUNTIF(E49:AI49,"=РН/РВ"),0)</f>
        <v>21</v>
      </c>
      <c r="AK49" s="202">
        <f>IFERROR(SUMIF(E49:AI49,"=Р2",E50:AI50)+SUMIF(E49:AI49,"=ВЧ/РВ",E50:AI50)+SUMIF(E49:AI49,"=РН/РВ",E50:AI50)+SUMIF(E49:AI49,"=Р1/РВ",E50:AI50)+SUMIF(E49:AI49,"=ВЧ2/РВ",E50:AI50)+SUMIF(E49:AI49,"=Р2/РВ",E50:AI50)+SUMIF(E49:AI49,"=Р",E50:AI50)+SUMIF(E49:AI49,"=Р1",E50:AI50)+SUMIF(E49:AI49,"=ВЧ1",E50:AI50)+SUMIF(E49:AI49,"=РН",E50:AI50)+SUMIF(E49:AI49,"=ВЧ",E50:AI50),0)+AL49</f>
        <v>164</v>
      </c>
      <c r="AL49" s="202">
        <f>IFERROR(SUMIF(E49:AI49,"=НУ",E50:AI50),0)</f>
        <v>0</v>
      </c>
      <c r="AM49" s="202">
        <f>IFERROR(SUMIF(E49:AI49,"=РН",E50:AI50)+SUMIF(E49:AI49,"=РН/РВ",E50:AI50)+SUMIFS(E50:AI50,E49:AI49,"=Р2",E50:AI50,"=8"),0)</f>
        <v>56</v>
      </c>
      <c r="AN49" s="211">
        <f>IFERROR(SUMIF(E49:AI49,"=ВЧ",E50:AI50)+SUMIF(E49:AI49,"=ВЧ/РВ",E50:AI50)+CEILING(COUNTIFS(E49:AI49,"=Р2",E50:AI50,"=7")*4,1)+CEILING(COUNTIFS(E49:AI49,"=Р2/РВ",E50:AI50,"=7")*4,1)+SUMIFS(E50:AI50,E49:AI49,"=Р1/РВ",E50:AI50,"=12")/6+SUMIFS(E50:AI50,E49:AI49,"=ВЧ2/РВ",E50:AI50,"=4")/2+SUMIFS(E50:AI50,E49:AI49,"=Р1",E50:AI50,"=12")/6+SUMIFS(E50:AI50,E49:AI49,"=Р1",E50:AI50,"=8")/4+SUMIF(E49:AI49,"=ВЧ1",E50:AI50)/2,0)</f>
        <v>28</v>
      </c>
      <c r="AO49" s="202">
        <f>IFERROR(SUMIF(E49:AI49,"=РВ",E50:AI50)+SUMIF(E49:AI49,"=ВЧ/РВ",E50:AI50)+SUMIF(E49:AI49,"=РН/РВ",E50:AI50)+SUMIF(E49:AI49,"=Р1/РВ",E50:AI50)+SUMIF(E49:AI49,"=ВЧ2/РВ",E50:AI50)+SUMIF(E49:AI49,"=Р2/РВ",E50:AI50),0)</f>
        <v>0</v>
      </c>
      <c r="AP49" s="202">
        <f>IFERROR(COUNTIF(E49:AI49,"=ВВ")+COUNTIF(E49:AI49,"=Р1/ВВ")+COUNTIF(E49:AI49,"=РН/ВВ")+COUNTIF(E49:AI49,"=ВЧ/ВВ"),0)</f>
        <v>7</v>
      </c>
      <c r="AQ49" s="202">
        <f>SUM(AR49:AZ49)</f>
        <v>0</v>
      </c>
      <c r="AR49" s="202">
        <f>IFERROR(SUMIF(E49:AI49,"='ТР1-2'!'ТР1-2'!Q21В",E50:AI50)+SUMIF(E49:AI49,"=Ч",E50:AI50)+SUMIF(E49:AI49,"=ВБ",E50:AI50),0)</f>
        <v>0</v>
      </c>
      <c r="AS49" s="202">
        <f>IFERROR(SUMIF(E49:AI49,"=Н",E50:AI50),0)</f>
        <v>0</v>
      </c>
      <c r="AT49" s="202">
        <f>IFERROR(SUMIF(E49:AI49,"=НА",E50:AI50),0)</f>
        <v>0</v>
      </c>
      <c r="AU49" s="202">
        <f>IFERROR(SUMIF(E49:AI49,"=ВП",E50:AI50),0)</f>
        <v>0</v>
      </c>
      <c r="AV49" s="202">
        <f>IFERROR(SUMIF(E49:AI49,"=ДД",E50:AI50),0)</f>
        <v>0</v>
      </c>
      <c r="AW49" s="202">
        <f>IFERROR(SUMIF(E49:AI49,"=ДО",E50:AI50),0)</f>
        <v>0</v>
      </c>
      <c r="AX49" s="202">
        <f>IFERROR(SUMIF(E49:AI49,"=ТН",E50:AI50),0)</f>
        <v>0</v>
      </c>
      <c r="AY49" s="202">
        <f>IFERROR(SUMIF(E49:AI49,"=ВД",E50:AI50),0)</f>
        <v>0</v>
      </c>
      <c r="AZ49" s="200">
        <f>IFERROR(SUMIF(E49:AI49,"=ІН",E50:AI50),0)+SUMIF(E49:AI49,"=НЗ",E50:AI50)</f>
        <v>0</v>
      </c>
    </row>
    <row r="50" spans="1:52" s="177" customFormat="1" ht="20.100000000000001" customHeight="1" thickBot="1" x14ac:dyDescent="0.25">
      <c r="A50" s="290"/>
      <c r="B50" s="229"/>
      <c r="C50" s="229"/>
      <c r="D50" s="229"/>
      <c r="E50" s="192">
        <v>12</v>
      </c>
      <c r="F50" s="192">
        <v>4</v>
      </c>
      <c r="G50" s="192">
        <v>8</v>
      </c>
      <c r="H50" s="192"/>
      <c r="I50" s="192">
        <v>12</v>
      </c>
      <c r="J50" s="192">
        <v>4</v>
      </c>
      <c r="K50" s="192">
        <v>8</v>
      </c>
      <c r="L50" s="192"/>
      <c r="M50" s="192">
        <v>12</v>
      </c>
      <c r="N50" s="192">
        <v>4</v>
      </c>
      <c r="O50" s="192">
        <v>8</v>
      </c>
      <c r="P50" s="192"/>
      <c r="Q50" s="192">
        <v>12</v>
      </c>
      <c r="R50" s="192">
        <v>4</v>
      </c>
      <c r="S50" s="192">
        <v>8</v>
      </c>
      <c r="T50" s="192"/>
      <c r="U50" s="192">
        <v>8</v>
      </c>
      <c r="V50" s="192">
        <v>4</v>
      </c>
      <c r="W50" s="192">
        <v>8</v>
      </c>
      <c r="X50" s="192"/>
      <c r="Y50" s="192">
        <v>12</v>
      </c>
      <c r="Z50" s="192">
        <v>4</v>
      </c>
      <c r="AA50" s="192">
        <v>8</v>
      </c>
      <c r="AB50" s="192"/>
      <c r="AC50" s="192">
        <v>12</v>
      </c>
      <c r="AD50" s="192">
        <v>4</v>
      </c>
      <c r="AE50" s="192">
        <v>8</v>
      </c>
      <c r="AF50" s="192"/>
      <c r="AG50" s="192" t="s">
        <v>491</v>
      </c>
      <c r="AH50" s="192" t="s">
        <v>492</v>
      </c>
      <c r="AI50" s="192" t="s">
        <v>493</v>
      </c>
      <c r="AJ50" s="214"/>
      <c r="AK50" s="203"/>
      <c r="AL50" s="203"/>
      <c r="AM50" s="203"/>
      <c r="AN50" s="212"/>
      <c r="AO50" s="203"/>
      <c r="AP50" s="203"/>
      <c r="AQ50" s="203"/>
      <c r="AR50" s="203"/>
      <c r="AS50" s="203"/>
      <c r="AT50" s="203"/>
      <c r="AU50" s="203"/>
      <c r="AV50" s="203"/>
      <c r="AW50" s="203"/>
      <c r="AX50" s="203"/>
      <c r="AY50" s="203"/>
      <c r="AZ50" s="201"/>
    </row>
    <row r="51" spans="1:52" ht="20.100000000000001" customHeight="1" x14ac:dyDescent="0.2">
      <c r="A51" s="289">
        <f t="shared" si="14"/>
        <v>18</v>
      </c>
      <c r="B51" s="228" t="s">
        <v>217</v>
      </c>
      <c r="C51" s="228">
        <v>1925</v>
      </c>
      <c r="D51" s="228" t="s">
        <v>65</v>
      </c>
      <c r="E51" s="191" t="s">
        <v>4</v>
      </c>
      <c r="F51" s="191" t="s">
        <v>142</v>
      </c>
      <c r="G51" s="191" t="s">
        <v>4</v>
      </c>
      <c r="H51" s="191" t="s">
        <v>41</v>
      </c>
      <c r="I51" s="191" t="s">
        <v>43</v>
      </c>
      <c r="J51" s="191" t="s">
        <v>4</v>
      </c>
      <c r="K51" s="191" t="s">
        <v>142</v>
      </c>
      <c r="L51" s="191" t="s">
        <v>4</v>
      </c>
      <c r="M51" s="191" t="s">
        <v>41</v>
      </c>
      <c r="N51" s="191" t="s">
        <v>43</v>
      </c>
      <c r="O51" s="191" t="s">
        <v>142</v>
      </c>
      <c r="P51" s="191" t="s">
        <v>309</v>
      </c>
      <c r="Q51" s="191" t="s">
        <v>43</v>
      </c>
      <c r="R51" s="191" t="s">
        <v>4</v>
      </c>
      <c r="S51" s="191" t="s">
        <v>142</v>
      </c>
      <c r="T51" s="191" t="s">
        <v>142</v>
      </c>
      <c r="U51" s="191" t="s">
        <v>48</v>
      </c>
      <c r="V51" s="191" t="s">
        <v>4</v>
      </c>
      <c r="W51" s="191" t="s">
        <v>4</v>
      </c>
      <c r="X51" s="191" t="s">
        <v>4</v>
      </c>
      <c r="Y51" s="191" t="s">
        <v>4</v>
      </c>
      <c r="Z51" s="191" t="s">
        <v>142</v>
      </c>
      <c r="AA51" s="191" t="s">
        <v>142</v>
      </c>
      <c r="AB51" s="191" t="s">
        <v>4</v>
      </c>
      <c r="AC51" s="191" t="s">
        <v>4</v>
      </c>
      <c r="AD51" s="191" t="s">
        <v>4</v>
      </c>
      <c r="AE51" s="191" t="s">
        <v>4</v>
      </c>
      <c r="AF51" s="191" t="s">
        <v>4</v>
      </c>
      <c r="AG51" s="191" t="s">
        <v>142</v>
      </c>
      <c r="AH51" s="191" t="s">
        <v>142</v>
      </c>
      <c r="AI51" s="191" t="s">
        <v>4</v>
      </c>
      <c r="AJ51" s="213">
        <f>IFERROR(COUNTIF(E51:AI51,"=Р")+COUNTIF(E51:AI51,"=Р1")+COUNTIF(E51:AI51,"=ВЧ")+COUNTIF(E51:AI51,"=РН")+COUNTIF(E51:AI51,"=Р2")+COUNTIF(E51:AI51,"=Р1/РВ")+COUNTIF(E51:AI51,"=Р2/РВ")+COUNTIF(E51:AI51,"=ВЧ/РВ")+COUNTIF(E51:AI51,"=РН/РВ"),0)</f>
        <v>20</v>
      </c>
      <c r="AK51" s="202">
        <f>IFERROR(SUMIF(E51:AI51,"=Р2",E52:AI52)+SUMIF(E51:AI51,"=ВЧ/РВ",E52:AI52)+SUMIF(E51:AI51,"=РН/РВ",E52:AI52)+SUMIF(E51:AI51,"=Р1/РВ",E52:AI52)+SUMIF(E51:AI51,"=ВЧ2/РВ",E52:AI52)+SUMIF(E51:AI51,"=Р2/РВ",E52:AI52)+SUMIF(E51:AI51,"=Р",E52:AI52)+SUMIF(E51:AI51,"=Р1",E52:AI52)+SUMIF(E51:AI51,"=ВЧ1",E52:AI52)+SUMIF(E51:AI51,"=РН",E52:AI52)+SUMIF(E51:AI51,"=ВЧ",E52:AI52),0)+AL51</f>
        <v>159.80000000000001</v>
      </c>
      <c r="AL51" s="202">
        <f>IFERROR(SUMIF(E51:AI51,"=НУ",E52:AI52),0)</f>
        <v>0</v>
      </c>
      <c r="AM51" s="202">
        <f>IFERROR(SUMIF(E51:AI51,"=РН",E52:AI52)+SUMIF(E51:AI51,"=РН/РВ",E52:AI52)+SUMIFS(E52:AI52,E51:AI51,"=Р2",E52:AI52,"=8"),0)</f>
        <v>24</v>
      </c>
      <c r="AN51" s="211">
        <f>IFERROR(SUMIF(E51:AI51,"=ВЧ",E52:AI52)+SUMIF(E51:AI51,"=ВЧ/РВ",E52:AI52)+CEILING(COUNTIFS(E51:AI51,"=Р2",E52:AI52,"=7")*4,1)+CEILING(COUNTIFS(E51:AI51,"=Р2/РВ",E52:AI52,"=7")*4,1)+SUMIFS(E52:AI52,E51:AI51,"=Р1/РВ",E52:AI52,"=12")/6+SUMIFS(E52:AI52,E51:AI51,"=ВЧ2/РВ",E52:AI52,"=4")/2+SUMIFS(E52:AI52,E51:AI51,"=Р1",E52:AI52,"=12")/6+SUMIFS(E52:AI52,E51:AI51,"=Р1",E52:AI52,"=8")/4+SUMIF(E51:AI51,"=ВЧ1",E52:AI52)/2,0)</f>
        <v>10</v>
      </c>
      <c r="AO51" s="202">
        <f>IFERROR(SUMIF(E51:AI51,"=РВ",E52:AI52)+SUMIF(E51:AI51,"=ВЧ/РВ",E52:AI52)+SUMIF(E51:AI51,"=РН/РВ",E52:AI52)+SUMIF(E51:AI51,"=Р1/РВ",E52:AI52)+SUMIF(E51:AI51,"=ВЧ2/РВ",E52:AI52)+SUMIF(E51:AI51,"=Р2/РВ",E52:AI52),0)</f>
        <v>0</v>
      </c>
      <c r="AP51" s="202">
        <f>IFERROR(COUNTIF(E51:AI51,"=ВВ")+COUNTIF(E51:AI51,"=Р1/ВВ")+COUNTIF(E51:AI51,"=РН/ВВ")+COUNTIF(E51:AI51,"=ВЧ/ВВ"),0)</f>
        <v>9</v>
      </c>
      <c r="AQ51" s="202">
        <f>SUM(AR51:AZ51)</f>
        <v>8.1999999999999993</v>
      </c>
      <c r="AR51" s="202">
        <f>IFERROR(SUMIF(E51:AI51,"=В",E52:AI52)+SUMIF(E51:AI51,"=Ч",E52:AI52)+SUMIF(E51:AI51,"=ВБ",E52:AI52),0)</f>
        <v>0</v>
      </c>
      <c r="AS51" s="202">
        <f>IFERROR(SUMIF(E51:AI51,"=Н",E52:AI52),0)</f>
        <v>0</v>
      </c>
      <c r="AT51" s="202">
        <f>IFERROR(SUMIF(E51:AI51,"=НА",E52:AI52),0)</f>
        <v>0</v>
      </c>
      <c r="AU51" s="202">
        <f>IFERROR(SUMIF(E51:AI51,"=ВП",E52:AI52),0)</f>
        <v>0</v>
      </c>
      <c r="AV51" s="202">
        <f>IFERROR(SUMIF(E51:AI51,"=ДД",E52:AI52),0)</f>
        <v>0</v>
      </c>
      <c r="AW51" s="202">
        <f>IFERROR(SUMIF(E51:AI51,"=ДО",E52:AI52),0)</f>
        <v>0</v>
      </c>
      <c r="AX51" s="202">
        <f>IFERROR(SUMIF(E51:AI51,"=ТН",E52:AI52),0)</f>
        <v>0</v>
      </c>
      <c r="AY51" s="202">
        <f>IFERROR(SUMIF(E51:AI51,"=ВД",E52:AI52),0)</f>
        <v>8.1999999999999993</v>
      </c>
      <c r="AZ51" s="200">
        <f>IFERROR(SUMIF(E51:AI51,"=ІН",E52:AI52),0)+SUMIF(E51:AI51,"=НЗ",E52:AI52)</f>
        <v>0</v>
      </c>
    </row>
    <row r="52" spans="1:52" ht="20.100000000000001" customHeight="1" thickBot="1" x14ac:dyDescent="0.25">
      <c r="A52" s="290"/>
      <c r="B52" s="229"/>
      <c r="C52" s="229"/>
      <c r="D52" s="229"/>
      <c r="E52" s="192">
        <v>8</v>
      </c>
      <c r="F52" s="192"/>
      <c r="G52" s="192">
        <v>12</v>
      </c>
      <c r="H52" s="192">
        <v>4</v>
      </c>
      <c r="I52" s="192">
        <v>8</v>
      </c>
      <c r="J52" s="192">
        <v>4.5999999999999996</v>
      </c>
      <c r="K52" s="192"/>
      <c r="L52" s="192">
        <v>12</v>
      </c>
      <c r="M52" s="192">
        <v>4</v>
      </c>
      <c r="N52" s="192">
        <v>8</v>
      </c>
      <c r="O52" s="192"/>
      <c r="P52" s="192">
        <v>4</v>
      </c>
      <c r="Q52" s="192">
        <v>8</v>
      </c>
      <c r="R52" s="192">
        <v>7.2</v>
      </c>
      <c r="S52" s="192"/>
      <c r="T52" s="192"/>
      <c r="U52" s="192">
        <v>8.1999999999999993</v>
      </c>
      <c r="V52" s="192">
        <v>8.1999999999999993</v>
      </c>
      <c r="W52" s="192">
        <v>8.1999999999999993</v>
      </c>
      <c r="X52" s="192">
        <v>8.1999999999999993</v>
      </c>
      <c r="Y52" s="192">
        <v>7.2</v>
      </c>
      <c r="Z52" s="192"/>
      <c r="AA52" s="192"/>
      <c r="AB52" s="192">
        <v>8.1999999999999993</v>
      </c>
      <c r="AC52" s="192">
        <v>8.1999999999999993</v>
      </c>
      <c r="AD52" s="192">
        <v>8.1999999999999993</v>
      </c>
      <c r="AE52" s="192">
        <v>8.1999999999999993</v>
      </c>
      <c r="AF52" s="192">
        <v>7.2</v>
      </c>
      <c r="AG52" s="192"/>
      <c r="AH52" s="192"/>
      <c r="AI52" s="192">
        <v>8.1999999999999993</v>
      </c>
      <c r="AJ52" s="214"/>
      <c r="AK52" s="203"/>
      <c r="AL52" s="203"/>
      <c r="AM52" s="203"/>
      <c r="AN52" s="212"/>
      <c r="AO52" s="203"/>
      <c r="AP52" s="203"/>
      <c r="AQ52" s="203"/>
      <c r="AR52" s="203"/>
      <c r="AS52" s="203"/>
      <c r="AT52" s="203"/>
      <c r="AU52" s="203"/>
      <c r="AV52" s="203"/>
      <c r="AW52" s="203"/>
      <c r="AX52" s="203"/>
      <c r="AY52" s="203"/>
      <c r="AZ52" s="201"/>
    </row>
    <row r="53" spans="1:52" s="177" customFormat="1" ht="20.100000000000001" customHeight="1" x14ac:dyDescent="0.2">
      <c r="A53" s="289">
        <f t="shared" si="14"/>
        <v>19</v>
      </c>
      <c r="B53" s="228" t="s">
        <v>422</v>
      </c>
      <c r="C53" s="228">
        <v>1689</v>
      </c>
      <c r="D53" s="228" t="s">
        <v>72</v>
      </c>
      <c r="E53" s="191" t="s">
        <v>4</v>
      </c>
      <c r="F53" s="191" t="s">
        <v>41</v>
      </c>
      <c r="G53" s="191" t="s">
        <v>43</v>
      </c>
      <c r="H53" s="191" t="s">
        <v>142</v>
      </c>
      <c r="I53" s="191" t="s">
        <v>4</v>
      </c>
      <c r="J53" s="191" t="s">
        <v>41</v>
      </c>
      <c r="K53" s="191" t="s">
        <v>43</v>
      </c>
      <c r="L53" s="191" t="s">
        <v>142</v>
      </c>
      <c r="M53" s="191" t="s">
        <v>4</v>
      </c>
      <c r="N53" s="191" t="s">
        <v>41</v>
      </c>
      <c r="O53" s="191" t="s">
        <v>43</v>
      </c>
      <c r="P53" s="191" t="s">
        <v>142</v>
      </c>
      <c r="Q53" s="191" t="s">
        <v>4</v>
      </c>
      <c r="R53" s="191" t="s">
        <v>41</v>
      </c>
      <c r="S53" s="191" t="s">
        <v>43</v>
      </c>
      <c r="T53" s="191" t="s">
        <v>142</v>
      </c>
      <c r="U53" s="191" t="s">
        <v>4</v>
      </c>
      <c r="V53" s="191" t="s">
        <v>41</v>
      </c>
      <c r="W53" s="191" t="s">
        <v>43</v>
      </c>
      <c r="X53" s="191" t="s">
        <v>142</v>
      </c>
      <c r="Y53" s="191" t="s">
        <v>4</v>
      </c>
      <c r="Z53" s="191" t="s">
        <v>41</v>
      </c>
      <c r="AA53" s="191" t="s">
        <v>43</v>
      </c>
      <c r="AB53" s="191" t="s">
        <v>142</v>
      </c>
      <c r="AC53" s="191" t="s">
        <v>4</v>
      </c>
      <c r="AD53" s="191" t="s">
        <v>41</v>
      </c>
      <c r="AE53" s="191" t="s">
        <v>43</v>
      </c>
      <c r="AF53" s="191" t="s">
        <v>142</v>
      </c>
      <c r="AG53" s="191"/>
      <c r="AH53" s="191"/>
      <c r="AI53" s="191"/>
      <c r="AJ53" s="213">
        <f>IFERROR(COUNTIF(E53:AI53,"=Р")+COUNTIF(E53:AI53,"=Р1")+COUNTIF(E53:AI53,"=ВЧ")+COUNTIF(E53:AI53,"=РН")+COUNTIF(E53:AI53,"=Р2")+COUNTIF(E53:AI53,"=Р1/РВ")+COUNTIF(E53:AI53,"=Р2/РВ")+COUNTIF(E53:AI53,"=ВЧ/РВ")+COUNTIF(E53:AI53,"=РН/РВ"),0)</f>
        <v>21</v>
      </c>
      <c r="AK53" s="202">
        <f>IFERROR(SUMIF(E53:AI53,"=Р2",E54:AI54)+SUMIF(E53:AI53,"=ВЧ/РВ",E54:AI54)+SUMIF(E53:AI53,"=РН/РВ",E54:AI54)+SUMIF(E53:AI53,"=Р1/РВ",E54:AI54)+SUMIF(E53:AI53,"=ВЧ2/РВ",E54:AI54)+SUMIF(E53:AI53,"=Р2/РВ",E54:AI54)+SUMIF(E53:AI53,"=Р",E54:AI54)+SUMIF(E53:AI53,"=Р1",E54:AI54)+SUMIF(E53:AI53,"=ВЧ1",E54:AI54)+SUMIF(E53:AI53,"=РН",E54:AI54)+SUMIF(E53:AI53,"=ВЧ",E54:AI54),0)+AL53</f>
        <v>164</v>
      </c>
      <c r="AL53" s="202">
        <f>IFERROR(SUMIF(E53:AI53,"=НУ",E54:AI54),0)</f>
        <v>0</v>
      </c>
      <c r="AM53" s="202">
        <f>IFERROR(SUMIF(E53:AI53,"=РН",E54:AI54)+SUMIF(E53:AI53,"=РН/РВ",E54:AI54)+SUMIFS(E54:AI54,E53:AI53,"=Р2",E54:AI54,"=8"),0)</f>
        <v>56</v>
      </c>
      <c r="AN53" s="211">
        <f>IFERROR(SUMIF(E53:AI53,"=ВЧ",E54:AI54)+SUMIF(E53:AI53,"=ВЧ/РВ",E54:AI54)+CEILING(COUNTIFS(E53:AI53,"=Р2",E54:AI54,"=7")*4,1)+CEILING(COUNTIFS(E53:AI53,"=Р2/РВ",E54:AI54,"=7")*4,1)+SUMIFS(E54:AI54,E53:AI53,"=Р1/РВ",E54:AI54,"=12")/6+SUMIFS(E54:AI54,E53:AI53,"=ВЧ2/РВ",E54:AI54,"=4")/2+SUMIFS(E54:AI54,E53:AI53,"=Р1",E54:AI54,"=12")/6+SUMIFS(E54:AI54,E53:AI53,"=Р1",E54:AI54,"=8")/4+SUMIF(E53:AI53,"=ВЧ1",E54:AI54)/2,0)</f>
        <v>28</v>
      </c>
      <c r="AO53" s="202">
        <f>IFERROR(SUMIF(E53:AI53,"=РВ",E54:AI54)+SUMIF(E53:AI53,"=ВЧ/РВ",E54:AI54)+SUMIF(E53:AI53,"=РН/РВ",E54:AI54)+SUMIF(E53:AI53,"=Р1/РВ",E54:AI54)+SUMIF(E53:AI53,"=ВЧ2/РВ",E54:AI54)+SUMIF(E53:AI53,"=Р2/РВ",E54:AI54),0)</f>
        <v>0</v>
      </c>
      <c r="AP53" s="202">
        <f>IFERROR(COUNTIF(E53:AI53,"=ВВ")+COUNTIF(E53:AI53,"=Р1/ВВ")+COUNTIF(E53:AI53,"=РН/ВВ")+COUNTIF(E53:AI53,"=ВЧ/ВВ"),0)</f>
        <v>7</v>
      </c>
      <c r="AQ53" s="202">
        <f>SUM(AR53:AZ53)</f>
        <v>0</v>
      </c>
      <c r="AR53" s="202">
        <f>IFERROR(SUMIF(E53:AI53,"='ТР1-2'!'ТР1-2'!Q21В",E54:AI54)+SUMIF(E53:AI53,"=Ч",E54:AI54)+SUMIF(E53:AI53,"=ВБ",E54:AI54),0)</f>
        <v>0</v>
      </c>
      <c r="AS53" s="202">
        <f>IFERROR(SUMIF(E53:AI53,"=Н",E54:AI54),0)</f>
        <v>0</v>
      </c>
      <c r="AT53" s="202">
        <f>IFERROR(SUMIF(E53:AI53,"=НА",E54:AI54),0)</f>
        <v>0</v>
      </c>
      <c r="AU53" s="202">
        <f>IFERROR(SUMIF(E53:AI53,"=ВП",E54:AI54),0)</f>
        <v>0</v>
      </c>
      <c r="AV53" s="202">
        <f>IFERROR(SUMIF(E53:AI53,"=ДД",E54:AI54),0)</f>
        <v>0</v>
      </c>
      <c r="AW53" s="202">
        <f>IFERROR(SUMIF(E53:AI53,"=ДО",E54:AI54),0)</f>
        <v>0</v>
      </c>
      <c r="AX53" s="202">
        <f>IFERROR(SUMIF(E53:AI53,"=ТН",E54:AI54),0)</f>
        <v>0</v>
      </c>
      <c r="AY53" s="202">
        <f>IFERROR(SUMIF(E53:AI53,"=ВД",E54:AI54),0)</f>
        <v>0</v>
      </c>
      <c r="AZ53" s="200">
        <f>IFERROR(SUMIF(E53:AI53,"=ІН",E54:AI54),0)+SUMIF(E53:AI53,"=НЗ",E54:AI54)</f>
        <v>0</v>
      </c>
    </row>
    <row r="54" spans="1:52" s="177" customFormat="1" ht="20.100000000000001" customHeight="1" thickBot="1" x14ac:dyDescent="0.25">
      <c r="A54" s="290"/>
      <c r="B54" s="229"/>
      <c r="C54" s="229"/>
      <c r="D54" s="229"/>
      <c r="E54" s="192">
        <v>12</v>
      </c>
      <c r="F54" s="192">
        <v>4</v>
      </c>
      <c r="G54" s="192">
        <v>8</v>
      </c>
      <c r="H54" s="192"/>
      <c r="I54" s="192">
        <v>12</v>
      </c>
      <c r="J54" s="192">
        <v>4</v>
      </c>
      <c r="K54" s="192">
        <v>8</v>
      </c>
      <c r="L54" s="192"/>
      <c r="M54" s="192">
        <v>12</v>
      </c>
      <c r="N54" s="192">
        <v>4</v>
      </c>
      <c r="O54" s="192">
        <v>8</v>
      </c>
      <c r="P54" s="192"/>
      <c r="Q54" s="192">
        <v>12</v>
      </c>
      <c r="R54" s="192">
        <v>4</v>
      </c>
      <c r="S54" s="192">
        <v>8</v>
      </c>
      <c r="T54" s="192"/>
      <c r="U54" s="192">
        <v>8</v>
      </c>
      <c r="V54" s="192">
        <v>4</v>
      </c>
      <c r="W54" s="192">
        <v>8</v>
      </c>
      <c r="X54" s="192"/>
      <c r="Y54" s="192">
        <v>12</v>
      </c>
      <c r="Z54" s="192">
        <v>4</v>
      </c>
      <c r="AA54" s="192">
        <v>8</v>
      </c>
      <c r="AB54" s="192"/>
      <c r="AC54" s="192">
        <v>12</v>
      </c>
      <c r="AD54" s="192">
        <v>4</v>
      </c>
      <c r="AE54" s="192">
        <v>8</v>
      </c>
      <c r="AF54" s="192"/>
      <c r="AG54" s="192" t="s">
        <v>491</v>
      </c>
      <c r="AH54" s="192" t="s">
        <v>492</v>
      </c>
      <c r="AI54" s="192" t="s">
        <v>493</v>
      </c>
      <c r="AJ54" s="214"/>
      <c r="AK54" s="203"/>
      <c r="AL54" s="203"/>
      <c r="AM54" s="203"/>
      <c r="AN54" s="212"/>
      <c r="AO54" s="203"/>
      <c r="AP54" s="203"/>
      <c r="AQ54" s="203"/>
      <c r="AR54" s="203"/>
      <c r="AS54" s="203"/>
      <c r="AT54" s="203"/>
      <c r="AU54" s="203"/>
      <c r="AV54" s="203"/>
      <c r="AW54" s="203"/>
      <c r="AX54" s="203"/>
      <c r="AY54" s="203"/>
      <c r="AZ54" s="201"/>
    </row>
    <row r="55" spans="1:52" s="177" customFormat="1" ht="20.100000000000001" customHeight="1" x14ac:dyDescent="0.2">
      <c r="A55" s="289">
        <f t="shared" si="14"/>
        <v>20</v>
      </c>
      <c r="B55" s="228" t="s">
        <v>439</v>
      </c>
      <c r="C55" s="228">
        <v>1522</v>
      </c>
      <c r="D55" s="228" t="s">
        <v>72</v>
      </c>
      <c r="E55" s="191" t="s">
        <v>43</v>
      </c>
      <c r="F55" s="191" t="s">
        <v>142</v>
      </c>
      <c r="G55" s="191" t="s">
        <v>4</v>
      </c>
      <c r="H55" s="191" t="s">
        <v>41</v>
      </c>
      <c r="I55" s="191" t="s">
        <v>43</v>
      </c>
      <c r="J55" s="191" t="s">
        <v>142</v>
      </c>
      <c r="K55" s="191" t="s">
        <v>4</v>
      </c>
      <c r="L55" s="191" t="s">
        <v>41</v>
      </c>
      <c r="M55" s="191" t="s">
        <v>43</v>
      </c>
      <c r="N55" s="191" t="s">
        <v>142</v>
      </c>
      <c r="O55" s="191" t="s">
        <v>4</v>
      </c>
      <c r="P55" s="191" t="s">
        <v>41</v>
      </c>
      <c r="Q55" s="191" t="s">
        <v>43</v>
      </c>
      <c r="R55" s="191" t="s">
        <v>142</v>
      </c>
      <c r="S55" s="191" t="s">
        <v>4</v>
      </c>
      <c r="T55" s="191" t="s">
        <v>41</v>
      </c>
      <c r="U55" s="191" t="s">
        <v>43</v>
      </c>
      <c r="V55" s="191" t="s">
        <v>142</v>
      </c>
      <c r="W55" s="191" t="s">
        <v>4</v>
      </c>
      <c r="X55" s="191" t="s">
        <v>41</v>
      </c>
      <c r="Y55" s="191" t="s">
        <v>43</v>
      </c>
      <c r="Z55" s="191" t="s">
        <v>142</v>
      </c>
      <c r="AA55" s="191" t="s">
        <v>4</v>
      </c>
      <c r="AB55" s="191" t="s">
        <v>41</v>
      </c>
      <c r="AC55" s="191" t="s">
        <v>43</v>
      </c>
      <c r="AD55" s="191" t="s">
        <v>142</v>
      </c>
      <c r="AE55" s="191" t="s">
        <v>4</v>
      </c>
      <c r="AF55" s="191" t="s">
        <v>41</v>
      </c>
      <c r="AG55" s="191"/>
      <c r="AH55" s="191"/>
      <c r="AI55" s="191"/>
      <c r="AJ55" s="213">
        <f>IFERROR(COUNTIF(E55:AI55,"=Р")+COUNTIF(E55:AI55,"=Р1")+COUNTIF(E55:AI55,"=ВЧ")+COUNTIF(E55:AI55,"=РН")+COUNTIF(E55:AI55,"=Р2")+COUNTIF(E55:AI55,"=Р1/РВ")+COUNTIF(E55:AI55,"=Р2/РВ")+COUNTIF(E55:AI55,"=ВЧ/РВ")+COUNTIF(E55:AI55,"=РН/РВ"),0)</f>
        <v>21</v>
      </c>
      <c r="AK55" s="202">
        <f>IFERROR(SUMIF(E55:AI55,"=Р2",E56:AI56)+SUMIF(E55:AI55,"=ВЧ/РВ",E56:AI56)+SUMIF(E55:AI55,"=РН/РВ",E56:AI56)+SUMIF(E55:AI55,"=Р1/РВ",E56:AI56)+SUMIF(E55:AI55,"=ВЧ2/РВ",E56:AI56)+SUMIF(E55:AI55,"=Р2/РВ",E56:AI56)+SUMIF(E55:AI55,"=Р",E56:AI56)+SUMIF(E55:AI55,"=Р1",E56:AI56)+SUMIF(E55:AI55,"=ВЧ1",E56:AI56)+SUMIF(E55:AI55,"=РН",E56:AI56)+SUMIF(E55:AI55,"=ВЧ",E56:AI56),0)+AL55</f>
        <v>164</v>
      </c>
      <c r="AL55" s="202">
        <f>IFERROR(SUMIF(E55:AI55,"=НУ",E56:AI56),0)</f>
        <v>0</v>
      </c>
      <c r="AM55" s="202">
        <f>IFERROR(SUMIF(E55:AI55,"=РН",E56:AI56)+SUMIF(E55:AI55,"=РН/РВ",E56:AI56)+SUMIFS(E56:AI56,E55:AI55,"=Р2",E56:AI56,"=8"),0)</f>
        <v>56</v>
      </c>
      <c r="AN55" s="211">
        <f>IFERROR(SUMIF(E55:AI55,"=ВЧ",E56:AI56)+SUMIF(E55:AI55,"=ВЧ/РВ",E56:AI56)+CEILING(COUNTIFS(E55:AI55,"=Р2",E56:AI56,"=7")*4,1)+CEILING(COUNTIFS(E55:AI55,"=Р2/РВ",E56:AI56,"=7")*4,1)+SUMIFS(E56:AI56,E55:AI55,"=Р1/РВ",E56:AI56,"=12")/6+SUMIFS(E56:AI56,E55:AI55,"=ВЧ2/РВ",E56:AI56,"=4")/2+SUMIFS(E56:AI56,E55:AI55,"=Р1",E56:AI56,"=12")/6+SUMIFS(E56:AI56,E55:AI55,"=Р1",E56:AI56,"=8")/4+SUMIF(E55:AI55,"=ВЧ1",E56:AI56)/2,0)</f>
        <v>28</v>
      </c>
      <c r="AO55" s="202">
        <f>IFERROR(SUMIF(E55:AI55,"=РВ",E56:AI56)+SUMIF(E55:AI55,"=ВЧ/РВ",E56:AI56)+SUMIF(E55:AI55,"=РН/РВ",E56:AI56)+SUMIF(E55:AI55,"=Р1/РВ",E56:AI56)+SUMIF(E55:AI55,"=ВЧ2/РВ",E56:AI56)+SUMIF(E55:AI55,"=Р2/РВ",E56:AI56),0)</f>
        <v>0</v>
      </c>
      <c r="AP55" s="202">
        <f>IFERROR(COUNTIF(E55:AI55,"=ВВ")+COUNTIF(E55:AI55,"=Р1/ВВ")+COUNTIF(E55:AI55,"=РН/ВВ")+COUNTIF(E55:AI55,"=ВЧ/ВВ"),0)</f>
        <v>7</v>
      </c>
      <c r="AQ55" s="202">
        <f>SUM(AR55:AZ55)</f>
        <v>0</v>
      </c>
      <c r="AR55" s="202">
        <f>IFERROR(SUMIF(E55:AI55,"='ТР1-2'!'ТР1-2'!Q21В",E56:AI56)+SUMIF(E55:AI55,"=Ч",E56:AI56)+SUMIF(E55:AI55,"=ВБ",E56:AI56),0)</f>
        <v>0</v>
      </c>
      <c r="AS55" s="202">
        <f>IFERROR(SUMIF(E55:AI55,"=Н",E56:AI56),0)</f>
        <v>0</v>
      </c>
      <c r="AT55" s="202">
        <f>IFERROR(SUMIF(E55:AI55,"=НА",E56:AI56),0)</f>
        <v>0</v>
      </c>
      <c r="AU55" s="202">
        <f>IFERROR(SUMIF(E55:AI55,"=ВП",E56:AI56),0)</f>
        <v>0</v>
      </c>
      <c r="AV55" s="202">
        <f>IFERROR(SUMIF(E55:AI55,"=ДД",E56:AI56),0)</f>
        <v>0</v>
      </c>
      <c r="AW55" s="202">
        <f>IFERROR(SUMIF(E55:AI55,"=ДО",E56:AI56),0)</f>
        <v>0</v>
      </c>
      <c r="AX55" s="202">
        <f>IFERROR(SUMIF(E55:AI55,"=ТН",E56:AI56),0)</f>
        <v>0</v>
      </c>
      <c r="AY55" s="202">
        <f>IFERROR(SUMIF(E55:AI55,"=ВД",E56:AI56),0)</f>
        <v>0</v>
      </c>
      <c r="AZ55" s="200">
        <f>IFERROR(SUMIF(E55:AI55,"=ІН",E56:AI56),0)+SUMIF(E55:AI55,"=НЗ",E56:AI56)</f>
        <v>0</v>
      </c>
    </row>
    <row r="56" spans="1:52" s="177" customFormat="1" ht="20.100000000000001" customHeight="1" thickBot="1" x14ac:dyDescent="0.25">
      <c r="A56" s="290"/>
      <c r="B56" s="229"/>
      <c r="C56" s="229"/>
      <c r="D56" s="229"/>
      <c r="E56" s="192">
        <v>8</v>
      </c>
      <c r="F56" s="192"/>
      <c r="G56" s="192">
        <v>12</v>
      </c>
      <c r="H56" s="192">
        <v>4</v>
      </c>
      <c r="I56" s="192">
        <v>8</v>
      </c>
      <c r="J56" s="192"/>
      <c r="K56" s="192">
        <v>12</v>
      </c>
      <c r="L56" s="192">
        <v>4</v>
      </c>
      <c r="M56" s="192">
        <v>8</v>
      </c>
      <c r="N56" s="192"/>
      <c r="O56" s="192">
        <v>12</v>
      </c>
      <c r="P56" s="192">
        <v>4</v>
      </c>
      <c r="Q56" s="192">
        <v>8</v>
      </c>
      <c r="R56" s="192"/>
      <c r="S56" s="192">
        <v>12</v>
      </c>
      <c r="T56" s="192">
        <v>4</v>
      </c>
      <c r="U56" s="192">
        <v>8</v>
      </c>
      <c r="V56" s="192"/>
      <c r="W56" s="192">
        <v>12</v>
      </c>
      <c r="X56" s="192">
        <v>4</v>
      </c>
      <c r="Y56" s="192">
        <v>8</v>
      </c>
      <c r="Z56" s="192"/>
      <c r="AA56" s="192">
        <v>12</v>
      </c>
      <c r="AB56" s="192">
        <v>4</v>
      </c>
      <c r="AC56" s="192">
        <v>8</v>
      </c>
      <c r="AD56" s="192"/>
      <c r="AE56" s="192">
        <v>8</v>
      </c>
      <c r="AF56" s="192">
        <v>4</v>
      </c>
      <c r="AG56" s="192" t="s">
        <v>491</v>
      </c>
      <c r="AH56" s="192" t="s">
        <v>492</v>
      </c>
      <c r="AI56" s="192" t="s">
        <v>493</v>
      </c>
      <c r="AJ56" s="214"/>
      <c r="AK56" s="203"/>
      <c r="AL56" s="203"/>
      <c r="AM56" s="203"/>
      <c r="AN56" s="212"/>
      <c r="AO56" s="203"/>
      <c r="AP56" s="203"/>
      <c r="AQ56" s="203"/>
      <c r="AR56" s="203"/>
      <c r="AS56" s="203"/>
      <c r="AT56" s="203"/>
      <c r="AU56" s="203"/>
      <c r="AV56" s="203"/>
      <c r="AW56" s="203"/>
      <c r="AX56" s="203"/>
      <c r="AY56" s="203"/>
      <c r="AZ56" s="201"/>
    </row>
    <row r="57" spans="1:52" s="177" customFormat="1" ht="20.100000000000001" customHeight="1" x14ac:dyDescent="0.2">
      <c r="A57" s="289">
        <f t="shared" si="14"/>
        <v>21</v>
      </c>
      <c r="B57" s="228" t="s">
        <v>442</v>
      </c>
      <c r="C57" s="228">
        <v>2209</v>
      </c>
      <c r="D57" s="228" t="s">
        <v>72</v>
      </c>
      <c r="E57" s="191" t="s">
        <v>142</v>
      </c>
      <c r="F57" s="191" t="s">
        <v>4</v>
      </c>
      <c r="G57" s="191" t="s">
        <v>41</v>
      </c>
      <c r="H57" s="191" t="s">
        <v>43</v>
      </c>
      <c r="I57" s="191" t="s">
        <v>142</v>
      </c>
      <c r="J57" s="191" t="s">
        <v>4</v>
      </c>
      <c r="K57" s="191" t="s">
        <v>41</v>
      </c>
      <c r="L57" s="191" t="s">
        <v>43</v>
      </c>
      <c r="M57" s="191" t="s">
        <v>142</v>
      </c>
      <c r="N57" s="191" t="s">
        <v>4</v>
      </c>
      <c r="O57" s="191" t="s">
        <v>41</v>
      </c>
      <c r="P57" s="191" t="s">
        <v>43</v>
      </c>
      <c r="Q57" s="191" t="s">
        <v>142</v>
      </c>
      <c r="R57" s="191" t="s">
        <v>4</v>
      </c>
      <c r="S57" s="191" t="s">
        <v>41</v>
      </c>
      <c r="T57" s="191" t="s">
        <v>43</v>
      </c>
      <c r="U57" s="191" t="s">
        <v>142</v>
      </c>
      <c r="V57" s="191" t="s">
        <v>4</v>
      </c>
      <c r="W57" s="191" t="s">
        <v>41</v>
      </c>
      <c r="X57" s="191" t="s">
        <v>43</v>
      </c>
      <c r="Y57" s="191" t="s">
        <v>142</v>
      </c>
      <c r="Z57" s="191" t="s">
        <v>4</v>
      </c>
      <c r="AA57" s="191" t="s">
        <v>41</v>
      </c>
      <c r="AB57" s="191" t="s">
        <v>43</v>
      </c>
      <c r="AC57" s="191" t="s">
        <v>142</v>
      </c>
      <c r="AD57" s="191" t="s">
        <v>4</v>
      </c>
      <c r="AE57" s="191" t="s">
        <v>41</v>
      </c>
      <c r="AF57" s="191" t="s">
        <v>43</v>
      </c>
      <c r="AG57" s="191"/>
      <c r="AH57" s="191"/>
      <c r="AI57" s="191"/>
      <c r="AJ57" s="213">
        <f>IFERROR(COUNTIF(E57:AI57,"=Р")+COUNTIF(E57:AI57,"=Р1")+COUNTIF(E57:AI57,"=ВЧ")+COUNTIF(E57:AI57,"=РН")+COUNTIF(E57:AI57,"=Р2")+COUNTIF(E57:AI57,"=Р1/РВ")+COUNTIF(E57:AI57,"=Р2/РВ")+COUNTIF(E57:AI57,"=ВЧ/РВ")+COUNTIF(E57:AI57,"=РН/РВ"),0)</f>
        <v>21</v>
      </c>
      <c r="AK57" s="202">
        <f>IFERROR(SUMIF(E57:AI57,"=Р2",E58:AI58)+SUMIF(E57:AI57,"=ВЧ/РВ",E58:AI58)+SUMIF(E57:AI57,"=РН/РВ",E58:AI58)+SUMIF(E57:AI57,"=Р1/РВ",E58:AI58)+SUMIF(E57:AI57,"=ВЧ2/РВ",E58:AI58)+SUMIF(E57:AI57,"=Р2/РВ",E58:AI58)+SUMIF(E57:AI57,"=Р",E58:AI58)+SUMIF(E57:AI57,"=Р1",E58:AI58)+SUMIF(E57:AI57,"=ВЧ1",E58:AI58)+SUMIF(E57:AI57,"=РН",E58:AI58)+SUMIF(E57:AI57,"=ВЧ",E58:AI58),0)+AL57</f>
        <v>164</v>
      </c>
      <c r="AL57" s="202">
        <f>IFERROR(SUMIF(E57:AI57,"=НУ",E58:AI58),0)</f>
        <v>0</v>
      </c>
      <c r="AM57" s="202">
        <f>IFERROR(SUMIF(E57:AI57,"=РН",E58:AI58)+SUMIF(E57:AI57,"=РН/РВ",E58:AI58)+SUMIFS(E58:AI58,E57:AI57,"=Р2",E58:AI58,"=8"),0)</f>
        <v>56</v>
      </c>
      <c r="AN57" s="211">
        <f>IFERROR(SUMIF(E57:AI57,"=ВЧ",E58:AI58)+SUMIF(E57:AI57,"=ВЧ/РВ",E58:AI58)+CEILING(COUNTIFS(E57:AI57,"=Р2",E58:AI58,"=7")*4,1)+CEILING(COUNTIFS(E57:AI57,"=Р2/РВ",E58:AI58,"=7")*4,1)+SUMIFS(E58:AI58,E57:AI57,"=Р1/РВ",E58:AI58,"=12")/6+SUMIFS(E58:AI58,E57:AI57,"=ВЧ2/РВ",E58:AI58,"=4")/2+SUMIFS(E58:AI58,E57:AI57,"=Р1",E58:AI58,"=12")/6+SUMIFS(E58:AI58,E57:AI57,"=Р1",E58:AI58,"=8")/4+SUMIF(E57:AI57,"=ВЧ1",E58:AI58)/2,0)</f>
        <v>28</v>
      </c>
      <c r="AO57" s="202">
        <f>IFERROR(SUMIF(E57:AI57,"=РВ",E58:AI58)+SUMIF(E57:AI57,"=ВЧ/РВ",E58:AI58)+SUMIF(E57:AI57,"=РН/РВ",E58:AI58)+SUMIF(E57:AI57,"=Р1/РВ",E58:AI58)+SUMIF(E57:AI57,"=ВЧ2/РВ",E58:AI58)+SUMIF(E57:AI57,"=Р2/РВ",E58:AI58),0)</f>
        <v>0</v>
      </c>
      <c r="AP57" s="202">
        <f>IFERROR(COUNTIF(E57:AI57,"=ВВ")+COUNTIF(E57:AI57,"=Р1/ВВ")+COUNTIF(E57:AI57,"=РН/ВВ")+COUNTIF(E57:AI57,"=ВЧ/ВВ"),0)</f>
        <v>7</v>
      </c>
      <c r="AQ57" s="202">
        <f>SUM(AR57:AZ57)</f>
        <v>0</v>
      </c>
      <c r="AR57" s="202">
        <f>IFERROR(SUMIF(E57:AI57,"='ТР1-2'!'ТР1-2'!Q21В",E58:AI58)+SUMIF(E57:AI57,"=Ч",E58:AI58)+SUMIF(E57:AI57,"=ВБ",E58:AI58),0)</f>
        <v>0</v>
      </c>
      <c r="AS57" s="202">
        <f>IFERROR(SUMIF(E57:AI57,"=Н",E58:AI58),0)</f>
        <v>0</v>
      </c>
      <c r="AT57" s="202">
        <f>IFERROR(SUMIF(E57:AI57,"=НА",E58:AI58),0)</f>
        <v>0</v>
      </c>
      <c r="AU57" s="202">
        <f>IFERROR(SUMIF(E57:AI57,"=ВП",E58:AI58),0)</f>
        <v>0</v>
      </c>
      <c r="AV57" s="202">
        <f>IFERROR(SUMIF(E57:AI57,"=ДД",E58:AI58),0)</f>
        <v>0</v>
      </c>
      <c r="AW57" s="202">
        <f>IFERROR(SUMIF(E57:AI57,"=ДО",E58:AI58),0)</f>
        <v>0</v>
      </c>
      <c r="AX57" s="202">
        <f>IFERROR(SUMIF(E57:AI57,"=ТН",E58:AI58),0)</f>
        <v>0</v>
      </c>
      <c r="AY57" s="202">
        <f>IFERROR(SUMIF(E57:AI57,"=ВД",E58:AI58),0)</f>
        <v>0</v>
      </c>
      <c r="AZ57" s="200">
        <f>IFERROR(SUMIF(E57:AI57,"=ІН",E58:AI58),0)+SUMIF(E57:AI57,"=НЗ",E58:AI58)</f>
        <v>0</v>
      </c>
    </row>
    <row r="58" spans="1:52" s="177" customFormat="1" ht="20.100000000000001" customHeight="1" thickBot="1" x14ac:dyDescent="0.25">
      <c r="A58" s="290"/>
      <c r="B58" s="229"/>
      <c r="C58" s="229"/>
      <c r="D58" s="229"/>
      <c r="E58" s="192"/>
      <c r="F58" s="192">
        <v>12</v>
      </c>
      <c r="G58" s="192">
        <v>4</v>
      </c>
      <c r="H58" s="192">
        <v>8</v>
      </c>
      <c r="I58" s="192"/>
      <c r="J58" s="192">
        <v>12</v>
      </c>
      <c r="K58" s="192">
        <v>4</v>
      </c>
      <c r="L58" s="192">
        <v>8</v>
      </c>
      <c r="M58" s="192"/>
      <c r="N58" s="192">
        <v>12</v>
      </c>
      <c r="O58" s="192">
        <v>4</v>
      </c>
      <c r="P58" s="192">
        <v>8</v>
      </c>
      <c r="Q58" s="192"/>
      <c r="R58" s="192">
        <v>12</v>
      </c>
      <c r="S58" s="192">
        <v>4</v>
      </c>
      <c r="T58" s="192">
        <v>8</v>
      </c>
      <c r="U58" s="192"/>
      <c r="V58" s="192">
        <v>8</v>
      </c>
      <c r="W58" s="192">
        <v>4</v>
      </c>
      <c r="X58" s="192">
        <v>8</v>
      </c>
      <c r="Y58" s="192"/>
      <c r="Z58" s="192">
        <v>12</v>
      </c>
      <c r="AA58" s="192">
        <v>4</v>
      </c>
      <c r="AB58" s="192">
        <v>8</v>
      </c>
      <c r="AC58" s="192"/>
      <c r="AD58" s="192">
        <v>12</v>
      </c>
      <c r="AE58" s="192">
        <v>4</v>
      </c>
      <c r="AF58" s="192">
        <v>8</v>
      </c>
      <c r="AG58" s="192" t="s">
        <v>491</v>
      </c>
      <c r="AH58" s="192" t="s">
        <v>492</v>
      </c>
      <c r="AI58" s="192" t="s">
        <v>493</v>
      </c>
      <c r="AJ58" s="214"/>
      <c r="AK58" s="203"/>
      <c r="AL58" s="203"/>
      <c r="AM58" s="203"/>
      <c r="AN58" s="212"/>
      <c r="AO58" s="203"/>
      <c r="AP58" s="203"/>
      <c r="AQ58" s="203"/>
      <c r="AR58" s="203"/>
      <c r="AS58" s="203"/>
      <c r="AT58" s="203"/>
      <c r="AU58" s="203"/>
      <c r="AV58" s="203"/>
      <c r="AW58" s="203"/>
      <c r="AX58" s="203"/>
      <c r="AY58" s="203"/>
      <c r="AZ58" s="201"/>
    </row>
    <row r="59" spans="1:52" s="177" customFormat="1" ht="20.100000000000001" customHeight="1" x14ac:dyDescent="0.2">
      <c r="A59" s="289">
        <f t="shared" si="14"/>
        <v>22</v>
      </c>
      <c r="B59" s="230" t="s">
        <v>218</v>
      </c>
      <c r="C59" s="230">
        <v>2052</v>
      </c>
      <c r="D59" s="230" t="s">
        <v>65</v>
      </c>
      <c r="E59" s="191" t="s">
        <v>142</v>
      </c>
      <c r="F59" s="191" t="s">
        <v>142</v>
      </c>
      <c r="G59" s="191" t="s">
        <v>4</v>
      </c>
      <c r="H59" s="191" t="s">
        <v>4</v>
      </c>
      <c r="I59" s="191" t="s">
        <v>4</v>
      </c>
      <c r="J59" s="191" t="s">
        <v>4</v>
      </c>
      <c r="K59" s="191" t="s">
        <v>4</v>
      </c>
      <c r="L59" s="191" t="s">
        <v>142</v>
      </c>
      <c r="M59" s="191" t="s">
        <v>142</v>
      </c>
      <c r="N59" s="191" t="s">
        <v>4</v>
      </c>
      <c r="O59" s="191" t="s">
        <v>4</v>
      </c>
      <c r="P59" s="191" t="s">
        <v>4</v>
      </c>
      <c r="Q59" s="191" t="s">
        <v>4</v>
      </c>
      <c r="R59" s="191" t="s">
        <v>4</v>
      </c>
      <c r="S59" s="191" t="s">
        <v>142</v>
      </c>
      <c r="T59" s="191" t="s">
        <v>142</v>
      </c>
      <c r="U59" s="191" t="s">
        <v>4</v>
      </c>
      <c r="V59" s="191" t="s">
        <v>4</v>
      </c>
      <c r="W59" s="191" t="s">
        <v>4</v>
      </c>
      <c r="X59" s="191" t="s">
        <v>4</v>
      </c>
      <c r="Y59" s="191" t="s">
        <v>4</v>
      </c>
      <c r="Z59" s="191" t="s">
        <v>142</v>
      </c>
      <c r="AA59" s="191" t="s">
        <v>142</v>
      </c>
      <c r="AB59" s="191" t="s">
        <v>4</v>
      </c>
      <c r="AC59" s="191" t="s">
        <v>4</v>
      </c>
      <c r="AD59" s="191" t="s">
        <v>4</v>
      </c>
      <c r="AE59" s="191" t="s">
        <v>4</v>
      </c>
      <c r="AF59" s="191" t="s">
        <v>4</v>
      </c>
      <c r="AG59" s="191" t="s">
        <v>142</v>
      </c>
      <c r="AH59" s="191" t="s">
        <v>142</v>
      </c>
      <c r="AI59" s="191" t="s">
        <v>4</v>
      </c>
      <c r="AJ59" s="213">
        <f>IFERROR(COUNTIF(E59:AI59,"=Р")+COUNTIF(E59:AI59,"=Р1")+COUNTIF(E59:AI59,"=ВЧ")+COUNTIF(E59:AI59,"=РН")+COUNTIF(E59:AI59,"=Р2")+COUNTIF(E59:AI59,"=Р1/РВ")+COUNTIF(E59:AI59,"=Р2/РВ")+COUNTIF(E59:AI59,"=ВЧ/РВ")+COUNTIF(E59:AI59,"=РН/РВ"),0)</f>
        <v>21</v>
      </c>
      <c r="AK59" s="202">
        <f>IFERROR(SUMIF(E59:AI59,"=Р2",E60:AI60)+SUMIF(E59:AI59,"=ВЧ/РВ",E60:AI60)+SUMIF(E59:AI59,"=РН/РВ",E60:AI60)+SUMIF(E59:AI59,"=Р1/РВ",E60:AI60)+SUMIF(E59:AI59,"=ВЧ2/РВ",E60:AI60)+SUMIF(E59:AI59,"=Р2/РВ",E60:AI60)+SUMIF(E59:AI59,"=Р",E60:AI60)+SUMIF(E59:AI59,"=Р1",E60:AI60)+SUMIF(E59:AI59,"=ВЧ1",E60:AI60)+SUMIF(E59:AI59,"=РН",E60:AI60)+SUMIF(E59:AI59,"=ВЧ",E60:AI60),0)+AL59</f>
        <v>167.99999999999997</v>
      </c>
      <c r="AL59" s="202">
        <f>IFERROR(SUMIF(E59:AI59,"=НУ",E60:AI60),0)</f>
        <v>0</v>
      </c>
      <c r="AM59" s="202">
        <f>IFERROR(SUMIF(E59:AI59,"=РН",E60:AI60)+SUMIF(E59:AI59,"=РН/РВ",E60:AI60)+SUMIFS(E60:AI60,E59:AI59,"=Р2",E60:AI60,"=8"),0)</f>
        <v>0</v>
      </c>
      <c r="AN59" s="202">
        <f>IFERROR(SUMIF(E59:AI59,"=ВЧ",E60:AI60)+SUMIF(E59:AI59,"=ВЧ/РВ",E60:AI60)+CEILING(COUNTIFS(E59:AI59,"=Р2",E60:AI60,"=7")*4,1)+CEILING(COUNTIFS(E59:AI59,"=Р2/РВ",E60:AI60,"=7")*4,1)+SUMIFS(E60:AI60,E59:AI59,"=Р1/РВ",E60:AI60,"=12")/6+SUMIFS(E60:AI60,E59:AI59,"=ВЧ2/РВ",E60:AI60,"=4")/2+SUMIFS(E60:AI60,E59:AI59,"=Р1",E60:AI60,"=12")/6+SUMIFS(E60:AI60,E59:AI59,"=Р1",E60:AI60,"=8")/4+SUMIF(E59:AI59,"=ВЧ1",E60:AI60)/2,0)</f>
        <v>0</v>
      </c>
      <c r="AO59" s="202">
        <f>IFERROR(SUMIF(E59:AI59,"=РВ",E60:AI60)+SUMIF(E59:AI59,"=ВЧ/РВ",E60:AI60)+SUMIF(E59:AI59,"=РН/РВ",E60:AI60)+SUMIF(E59:AI59,"=Р1/РВ",E60:AI60)+SUMIF(E59:AI59,"=ВЧ2/РВ",E60:AI60)+SUMIF(E59:AI59,"=Р2/РВ",E60:AI60),0)</f>
        <v>0</v>
      </c>
      <c r="AP59" s="202">
        <f>IFERROR(COUNTIF(E59:AI59,"=ВВ")+COUNTIF(E59:AI59,"=Р1/ВВ")+COUNTIF(E59:AI59,"=РН/ВВ")+COUNTIF(E59:AI59,"=ВЧ/ВВ"),0)</f>
        <v>10</v>
      </c>
      <c r="AQ59" s="202">
        <f>SUM(AR59:AZ59)</f>
        <v>0</v>
      </c>
      <c r="AR59" s="202">
        <f>IFERROR(SUMIF(E59:AI59,"=В",E60:AI60)+SUMIF(E59:AI59,"=Ч",E60:AI60)+SUMIF(E59:AI59,"=ВБ",E60:AI60),0)</f>
        <v>0</v>
      </c>
      <c r="AS59" s="202">
        <f>IFERROR(SUMIF(E59:AI59,"=Н",E60:AI60),0)</f>
        <v>0</v>
      </c>
      <c r="AT59" s="202">
        <f>IFERROR(SUMIF(E59:AI59,"=НА",E60:AI60),0)</f>
        <v>0</v>
      </c>
      <c r="AU59" s="202">
        <f>IFERROR(SUMIF(E59:AI59,"=ВП",E60:AI60),0)</f>
        <v>0</v>
      </c>
      <c r="AV59" s="202">
        <f>IFERROR(SUMIF(E59:AI59,"=ДД",E60:AI60),0)</f>
        <v>0</v>
      </c>
      <c r="AW59" s="202">
        <f>IFERROR(SUMIF(E59:AI59,"=ДО",E60:AI60),0)</f>
        <v>0</v>
      </c>
      <c r="AX59" s="202">
        <f>IFERROR(SUMIF(E59:AI59,"=ТН",E60:AI60),0)</f>
        <v>0</v>
      </c>
      <c r="AY59" s="202">
        <f>IFERROR(SUMIF(E59:AI59,"=ВД",E60:AI60),0)</f>
        <v>0</v>
      </c>
      <c r="AZ59" s="200">
        <f>IFERROR(SUMIF(E59:AI59,"=ІН",E60:AI60),0)+SUMIF(E59:AI59,"=НЗ",E60:AI60)</f>
        <v>0</v>
      </c>
    </row>
    <row r="60" spans="1:52" s="177" customFormat="1" ht="20.100000000000001" customHeight="1" thickBot="1" x14ac:dyDescent="0.25">
      <c r="A60" s="290"/>
      <c r="B60" s="231"/>
      <c r="C60" s="231"/>
      <c r="D60" s="231"/>
      <c r="E60" s="192"/>
      <c r="F60" s="192"/>
      <c r="G60" s="192">
        <v>8.1999999999999993</v>
      </c>
      <c r="H60" s="192">
        <v>8.1999999999999993</v>
      </c>
      <c r="I60" s="192">
        <v>8.1999999999999993</v>
      </c>
      <c r="J60" s="192">
        <v>8.1999999999999993</v>
      </c>
      <c r="K60" s="192">
        <v>7</v>
      </c>
      <c r="L60" s="192"/>
      <c r="M60" s="192"/>
      <c r="N60" s="192">
        <v>8.1999999999999993</v>
      </c>
      <c r="O60" s="192">
        <v>8.1999999999999993</v>
      </c>
      <c r="P60" s="192">
        <v>8.1999999999999993</v>
      </c>
      <c r="Q60" s="192">
        <v>8.1999999999999993</v>
      </c>
      <c r="R60" s="192">
        <v>7.2</v>
      </c>
      <c r="S60" s="192"/>
      <c r="T60" s="192"/>
      <c r="U60" s="192">
        <v>8.1999999999999993</v>
      </c>
      <c r="V60" s="192">
        <v>8.1999999999999993</v>
      </c>
      <c r="W60" s="192">
        <v>8.1999999999999993</v>
      </c>
      <c r="X60" s="192">
        <v>8.1999999999999993</v>
      </c>
      <c r="Y60" s="192">
        <v>7.2</v>
      </c>
      <c r="Z60" s="192"/>
      <c r="AA60" s="192"/>
      <c r="AB60" s="192">
        <v>8.1999999999999993</v>
      </c>
      <c r="AC60" s="192">
        <v>8.1999999999999993</v>
      </c>
      <c r="AD60" s="192">
        <v>8.1999999999999993</v>
      </c>
      <c r="AE60" s="192">
        <v>8.1999999999999993</v>
      </c>
      <c r="AF60" s="192">
        <v>7.2</v>
      </c>
      <c r="AG60" s="192"/>
      <c r="AH60" s="192"/>
      <c r="AI60" s="192">
        <v>8.1999999999999993</v>
      </c>
      <c r="AJ60" s="214"/>
      <c r="AK60" s="203"/>
      <c r="AL60" s="203"/>
      <c r="AM60" s="203"/>
      <c r="AN60" s="203"/>
      <c r="AO60" s="203"/>
      <c r="AP60" s="203"/>
      <c r="AQ60" s="203"/>
      <c r="AR60" s="203"/>
      <c r="AS60" s="203"/>
      <c r="AT60" s="203"/>
      <c r="AU60" s="203"/>
      <c r="AV60" s="203"/>
      <c r="AW60" s="203"/>
      <c r="AX60" s="203"/>
      <c r="AY60" s="203"/>
      <c r="AZ60" s="201"/>
    </row>
    <row r="61" spans="1:52" s="177" customFormat="1" ht="20.100000000000001" customHeight="1" x14ac:dyDescent="0.2">
      <c r="A61" s="289">
        <f t="shared" si="14"/>
        <v>23</v>
      </c>
      <c r="B61" s="230" t="s">
        <v>443</v>
      </c>
      <c r="C61" s="230">
        <v>2210</v>
      </c>
      <c r="D61" s="230" t="s">
        <v>65</v>
      </c>
      <c r="E61" s="191" t="s">
        <v>4</v>
      </c>
      <c r="F61" s="191" t="s">
        <v>41</v>
      </c>
      <c r="G61" s="191" t="s">
        <v>43</v>
      </c>
      <c r="H61" s="191" t="s">
        <v>142</v>
      </c>
      <c r="I61" s="191" t="s">
        <v>4</v>
      </c>
      <c r="J61" s="191" t="s">
        <v>41</v>
      </c>
      <c r="K61" s="191" t="s">
        <v>43</v>
      </c>
      <c r="L61" s="191" t="s">
        <v>142</v>
      </c>
      <c r="M61" s="191" t="s">
        <v>4</v>
      </c>
      <c r="N61" s="191" t="s">
        <v>41</v>
      </c>
      <c r="O61" s="191" t="s">
        <v>43</v>
      </c>
      <c r="P61" s="191" t="s">
        <v>142</v>
      </c>
      <c r="Q61" s="191" t="s">
        <v>4</v>
      </c>
      <c r="R61" s="191" t="s">
        <v>41</v>
      </c>
      <c r="S61" s="191" t="s">
        <v>43</v>
      </c>
      <c r="T61" s="191" t="s">
        <v>142</v>
      </c>
      <c r="U61" s="191" t="s">
        <v>4</v>
      </c>
      <c r="V61" s="191" t="s">
        <v>41</v>
      </c>
      <c r="W61" s="191" t="s">
        <v>43</v>
      </c>
      <c r="X61" s="191" t="s">
        <v>142</v>
      </c>
      <c r="Y61" s="191" t="s">
        <v>4</v>
      </c>
      <c r="Z61" s="191" t="s">
        <v>41</v>
      </c>
      <c r="AA61" s="191" t="s">
        <v>43</v>
      </c>
      <c r="AB61" s="191" t="s">
        <v>142</v>
      </c>
      <c r="AC61" s="191" t="s">
        <v>4</v>
      </c>
      <c r="AD61" s="191" t="s">
        <v>41</v>
      </c>
      <c r="AE61" s="191" t="s">
        <v>43</v>
      </c>
      <c r="AF61" s="191" t="s">
        <v>142</v>
      </c>
      <c r="AG61" s="191"/>
      <c r="AH61" s="191"/>
      <c r="AI61" s="191"/>
      <c r="AJ61" s="213">
        <f>IFERROR(COUNTIF(E61:AI61,"=Р")+COUNTIF(E61:AI61,"=Р1")+COUNTIF(E61:AI61,"=ВЧ")+COUNTIF(E61:AI61,"=РН")+COUNTIF(E61:AI61,"=Р2")+COUNTIF(E61:AI61,"=Р1/РВ")+COUNTIF(E61:AI61,"=Р2/РВ")+COUNTIF(E61:AI61,"=ВЧ/РВ")+COUNTIF(E61:AI61,"=РН/РВ"),0)</f>
        <v>21</v>
      </c>
      <c r="AK61" s="202">
        <f>IFERROR(SUMIF(E61:AI61,"=Р2",E62:AI62)+SUMIF(E61:AI61,"=ВЧ/РВ",E62:AI62)+SUMIF(E61:AI61,"=РН/РВ",E62:AI62)+SUMIF(E61:AI61,"=Р1/РВ",E62:AI62)+SUMIF(E61:AI61,"=ВЧ2/РВ",E62:AI62)+SUMIF(E61:AI61,"=Р2/РВ",E62:AI62)+SUMIF(E61:AI61,"=Р",E62:AI62)+SUMIF(E61:AI61,"=Р1",E62:AI62)+SUMIF(E61:AI61,"=ВЧ1",E62:AI62)+SUMIF(E61:AI61,"=РН",E62:AI62)+SUMIF(E61:AI61,"=ВЧ",E62:AI62),0)+AL61</f>
        <v>164</v>
      </c>
      <c r="AL61" s="202">
        <f>IFERROR(SUMIF(E61:AI61,"=НУ",E62:AI62),0)</f>
        <v>0</v>
      </c>
      <c r="AM61" s="202">
        <f>IFERROR(SUMIF(E61:AI61,"=РН",E62:AI62)+SUMIF(E61:AI61,"=РН/РВ",E62:AI62)+SUMIFS(E62:AI62,E61:AI61,"=Р2",E62:AI62,"=8"),0)</f>
        <v>56</v>
      </c>
      <c r="AN61" s="202">
        <f>IFERROR(SUMIF(E61:AI61,"=ВЧ",E62:AI62)+SUMIF(E61:AI61,"=ВЧ/РВ",E62:AI62)+CEILING(COUNTIFS(E61:AI61,"=Р2",E62:AI62,"=7")*4,1)+CEILING(COUNTIFS(E61:AI61,"=Р2/РВ",E62:AI62,"=7")*4,1)+SUMIFS(E62:AI62,E61:AI61,"=Р1/РВ",E62:AI62,"=12")/6+SUMIFS(E62:AI62,E61:AI61,"=ВЧ2/РВ",E62:AI62,"=4")/2+SUMIFS(E62:AI62,E61:AI61,"=Р1",E62:AI62,"=12")/6+SUMIFS(E62:AI62,E61:AI61,"=Р1",E62:AI62,"=8")/4+SUMIF(E61:AI61,"=ВЧ1",E62:AI62)/2,0)</f>
        <v>28</v>
      </c>
      <c r="AO61" s="202">
        <f>IFERROR(SUMIF(E61:AI61,"=РВ",E62:AI62)+SUMIF(E61:AI61,"=ВЧ/РВ",E62:AI62)+SUMIF(E61:AI61,"=РН/РВ",E62:AI62)+SUMIF(E61:AI61,"=Р1/РВ",E62:AI62)+SUMIF(E61:AI61,"=ВЧ2/РВ",E62:AI62)+SUMIF(E61:AI61,"=Р2/РВ",E62:AI62),0)</f>
        <v>0</v>
      </c>
      <c r="AP61" s="202">
        <f>IFERROR(COUNTIF(E61:AI61,"=ВВ")+COUNTIF(E61:AI61,"=Р1/ВВ")+COUNTIF(E61:AI61,"=РН/ВВ")+COUNTIF(E61:AI61,"=ВЧ/ВВ"),0)</f>
        <v>7</v>
      </c>
      <c r="AQ61" s="202">
        <f>SUM(AR61:AZ61)</f>
        <v>0</v>
      </c>
      <c r="AR61" s="202">
        <f>IFERROR(SUMIF(E61:AI61,"=В",E62:AI62)+SUMIF(E61:AI61,"=Ч",E62:AI62)+SUMIF(E61:AI61,"=ВБ",E62:AI62),0)</f>
        <v>0</v>
      </c>
      <c r="AS61" s="202">
        <f>IFERROR(SUMIF(E61:AI61,"=Н",E62:AI62),0)</f>
        <v>0</v>
      </c>
      <c r="AT61" s="202">
        <f>IFERROR(SUMIF(E61:AI61,"=НА",E62:AI62),0)</f>
        <v>0</v>
      </c>
      <c r="AU61" s="202">
        <f>IFERROR(SUMIF(E61:AI61,"=ВП",E62:AI62),0)</f>
        <v>0</v>
      </c>
      <c r="AV61" s="202">
        <f>IFERROR(SUMIF(E61:AI61,"=ДД",E62:AI62),0)</f>
        <v>0</v>
      </c>
      <c r="AW61" s="202">
        <f>IFERROR(SUMIF(E61:AI61,"=ДО",E62:AI62),0)</f>
        <v>0</v>
      </c>
      <c r="AX61" s="202">
        <f>IFERROR(SUMIF(E61:AI61,"=ТН",E62:AI62),0)</f>
        <v>0</v>
      </c>
      <c r="AY61" s="202">
        <f>IFERROR(SUMIF(E61:AI61,"=ВД",E62:AI62),0)</f>
        <v>0</v>
      </c>
      <c r="AZ61" s="200">
        <f>IFERROR(SUMIF(E61:AI61,"=ІН",E62:AI62),0)+SUMIF(E61:AI61,"=НЗ",E62:AI62)</f>
        <v>0</v>
      </c>
    </row>
    <row r="62" spans="1:52" s="177" customFormat="1" ht="20.100000000000001" customHeight="1" thickBot="1" x14ac:dyDescent="0.25">
      <c r="A62" s="290"/>
      <c r="B62" s="231"/>
      <c r="C62" s="231"/>
      <c r="D62" s="231"/>
      <c r="E62" s="192">
        <v>12</v>
      </c>
      <c r="F62" s="192">
        <v>4</v>
      </c>
      <c r="G62" s="192">
        <v>8</v>
      </c>
      <c r="H62" s="192"/>
      <c r="I62" s="192">
        <v>12</v>
      </c>
      <c r="J62" s="192">
        <v>4</v>
      </c>
      <c r="K62" s="192">
        <v>8</v>
      </c>
      <c r="L62" s="192"/>
      <c r="M62" s="192">
        <v>12</v>
      </c>
      <c r="N62" s="192">
        <v>4</v>
      </c>
      <c r="O62" s="192">
        <v>8</v>
      </c>
      <c r="P62" s="192"/>
      <c r="Q62" s="192">
        <v>11</v>
      </c>
      <c r="R62" s="192">
        <v>4</v>
      </c>
      <c r="S62" s="192">
        <v>8</v>
      </c>
      <c r="T62" s="192"/>
      <c r="U62" s="192">
        <v>9</v>
      </c>
      <c r="V62" s="192">
        <v>4</v>
      </c>
      <c r="W62" s="192">
        <v>8</v>
      </c>
      <c r="X62" s="192"/>
      <c r="Y62" s="192">
        <v>12</v>
      </c>
      <c r="Z62" s="192">
        <v>4</v>
      </c>
      <c r="AA62" s="192">
        <v>8</v>
      </c>
      <c r="AB62" s="192"/>
      <c r="AC62" s="192">
        <v>12</v>
      </c>
      <c r="AD62" s="192">
        <v>4</v>
      </c>
      <c r="AE62" s="192">
        <v>8</v>
      </c>
      <c r="AF62" s="192"/>
      <c r="AG62" s="192" t="s">
        <v>491</v>
      </c>
      <c r="AH62" s="192" t="s">
        <v>492</v>
      </c>
      <c r="AI62" s="192" t="s">
        <v>493</v>
      </c>
      <c r="AJ62" s="214"/>
      <c r="AK62" s="203"/>
      <c r="AL62" s="203"/>
      <c r="AM62" s="203"/>
      <c r="AN62" s="203"/>
      <c r="AO62" s="203"/>
      <c r="AP62" s="203"/>
      <c r="AQ62" s="203"/>
      <c r="AR62" s="203"/>
      <c r="AS62" s="203"/>
      <c r="AT62" s="203"/>
      <c r="AU62" s="203"/>
      <c r="AV62" s="203"/>
      <c r="AW62" s="203"/>
      <c r="AX62" s="203"/>
      <c r="AY62" s="203"/>
      <c r="AZ62" s="201"/>
    </row>
    <row r="63" spans="1:52" s="177" customFormat="1" ht="20.100000000000001" customHeight="1" x14ac:dyDescent="0.2">
      <c r="A63" s="289">
        <f t="shared" si="14"/>
        <v>24</v>
      </c>
      <c r="B63" s="228" t="s">
        <v>444</v>
      </c>
      <c r="C63" s="230">
        <v>1691</v>
      </c>
      <c r="D63" s="230" t="s">
        <v>72</v>
      </c>
      <c r="E63" s="191" t="s">
        <v>309</v>
      </c>
      <c r="F63" s="191" t="s">
        <v>43</v>
      </c>
      <c r="G63" s="191" t="s">
        <v>142</v>
      </c>
      <c r="H63" s="191" t="s">
        <v>4</v>
      </c>
      <c r="I63" s="191" t="s">
        <v>41</v>
      </c>
      <c r="J63" s="191" t="s">
        <v>43</v>
      </c>
      <c r="K63" s="191" t="s">
        <v>52</v>
      </c>
      <c r="L63" s="191" t="s">
        <v>52</v>
      </c>
      <c r="M63" s="191" t="s">
        <v>52</v>
      </c>
      <c r="N63" s="191" t="s">
        <v>52</v>
      </c>
      <c r="O63" s="191" t="s">
        <v>52</v>
      </c>
      <c r="P63" s="191" t="s">
        <v>4</v>
      </c>
      <c r="Q63" s="191" t="s">
        <v>41</v>
      </c>
      <c r="R63" s="191" t="s">
        <v>43</v>
      </c>
      <c r="S63" s="191" t="s">
        <v>142</v>
      </c>
      <c r="T63" s="191" t="s">
        <v>4</v>
      </c>
      <c r="U63" s="191" t="s">
        <v>41</v>
      </c>
      <c r="V63" s="191" t="s">
        <v>43</v>
      </c>
      <c r="W63" s="191" t="s">
        <v>142</v>
      </c>
      <c r="X63" s="191" t="s">
        <v>4</v>
      </c>
      <c r="Y63" s="191" t="s">
        <v>41</v>
      </c>
      <c r="Z63" s="191" t="s">
        <v>43</v>
      </c>
      <c r="AA63" s="191" t="s">
        <v>142</v>
      </c>
      <c r="AB63" s="191" t="s">
        <v>4</v>
      </c>
      <c r="AC63" s="191" t="s">
        <v>41</v>
      </c>
      <c r="AD63" s="191" t="s">
        <v>43</v>
      </c>
      <c r="AE63" s="191" t="s">
        <v>142</v>
      </c>
      <c r="AF63" s="191" t="s">
        <v>4</v>
      </c>
      <c r="AG63" s="191"/>
      <c r="AH63" s="191"/>
      <c r="AI63" s="191"/>
      <c r="AJ63" s="213">
        <f>IFERROR(COUNTIF(E63:AI63,"=Р")+COUNTIF(E63:AI63,"=Р1")+COUNTIF(E63:AI63,"=ВЧ")+COUNTIF(E63:AI63,"=РН")+COUNTIF(E63:AI63,"=Р2")+COUNTIF(E63:AI63,"=Р1/РВ")+COUNTIF(E63:AI63,"=Р2/РВ")+COUNTIF(E63:AI63,"=ВЧ/РВ")+COUNTIF(E63:AI63,"=РН/РВ"),0)</f>
        <v>17</v>
      </c>
      <c r="AK63" s="202">
        <f>IFERROR(SUMIF(E63:AI63,"=Р2",E64:AI64)+SUMIF(E63:AI63,"=ВЧ/РВ",E64:AI64)+SUMIF(E63:AI63,"=РН/РВ",E64:AI64)+SUMIF(E63:AI63,"=Р1/РВ",E64:AI64)+SUMIF(E63:AI63,"=ВЧ2/РВ",E64:AI64)+SUMIF(E63:AI63,"=Р2/РВ",E64:AI64)+SUMIF(E63:AI63,"=Р",E64:AI64)+SUMIF(E63:AI63,"=Р1",E64:AI64)+SUMIF(E63:AI63,"=ВЧ1",E64:AI64)+SUMIF(E63:AI63,"=РН",E64:AI64)+SUMIF(E63:AI63,"=ВЧ",E64:AI64),0)+AL63</f>
        <v>140</v>
      </c>
      <c r="AL63" s="202">
        <f>IFERROR(SUMIF(E63:AI63,"=НУ",E64:AI64),0)</f>
        <v>0</v>
      </c>
      <c r="AM63" s="202">
        <f>IFERROR(SUMIF(E63:AI63,"=РН",E64:AI64)+SUMIF(E63:AI63,"=РН/РВ",E64:AI64)+SUMIFS(E64:AI64,E63:AI63,"=Р2",E64:AI64,"=8"),0)</f>
        <v>48</v>
      </c>
      <c r="AN63" s="202">
        <f>IFERROR(SUMIF(E63:AI63,"=ВЧ",E64:AI64)+SUMIF(E63:AI63,"=ВЧ/РВ",E64:AI64)+CEILING(COUNTIFS(E63:AI63,"=Р2",E64:AI64,"=7")*4,1)+CEILING(COUNTIFS(E63:AI63,"=Р2/РВ",E64:AI64,"=7")*4,1)+SUMIFS(E64:AI64,E63:AI63,"=Р1/РВ",E64:AI64,"=12")/6+SUMIFS(E64:AI64,E63:AI63,"=ВЧ2/РВ",E64:AI64,"=4")/2+SUMIFS(E64:AI64,E63:AI63,"=Р1",E64:AI64,"=12")/6+SUMIFS(E64:AI64,E63:AI63,"=Р1",E64:AI64,"=8")/4+SUMIF(E63:AI63,"=ВЧ1",E64:AI64)/2,0)</f>
        <v>22</v>
      </c>
      <c r="AO63" s="202">
        <f>IFERROR(SUMIF(E63:AI63,"=РВ",E64:AI64)+SUMIF(E63:AI63,"=ВЧ/РВ",E64:AI64)+SUMIF(E63:AI63,"=РН/РВ",E64:AI64)+SUMIF(E63:AI63,"=Р1/РВ",E64:AI64)+SUMIF(E63:AI63,"=ВЧ2/РВ",E64:AI64)+SUMIF(E63:AI63,"=Р2/РВ",E64:AI64),0)</f>
        <v>0</v>
      </c>
      <c r="AP63" s="202">
        <f>IFERROR(COUNTIF(E63:AI63,"=ВВ")+COUNTIF(E63:AI63,"=Р1/ВВ")+COUNTIF(E63:AI63,"=РН/ВВ")+COUNTIF(E63:AI63,"=ВЧ/ВВ"),0)</f>
        <v>5</v>
      </c>
      <c r="AQ63" s="202">
        <f>SUM(AR63:AZ63)</f>
        <v>24</v>
      </c>
      <c r="AR63" s="202">
        <f>IFERROR(SUMIF(E63:AI63,"=В",E64:AI64)+SUMIF(E63:AI63,"=Ч",E64:AI64)+SUMIF(E63:AI63,"=ВБ",E64:AI64),0)</f>
        <v>0</v>
      </c>
      <c r="AS63" s="202">
        <f>IFERROR(SUMIF(E63:AI63,"=Н",E64:AI64),0)</f>
        <v>0</v>
      </c>
      <c r="AT63" s="202">
        <f>IFERROR(SUMIF(E63:AI63,"=НА",E64:AI64),0)</f>
        <v>0</v>
      </c>
      <c r="AU63" s="202">
        <f>IFERROR(SUMIF(E63:AI63,"=ВП",E64:AI64),0)</f>
        <v>0</v>
      </c>
      <c r="AV63" s="202">
        <f>IFERROR(SUMIF(E63:AI63,"=ДД",E64:AI64),0)</f>
        <v>0</v>
      </c>
      <c r="AW63" s="202">
        <f>IFERROR(SUMIF(E63:AI63,"=ДО",E64:AI64),0)</f>
        <v>0</v>
      </c>
      <c r="AX63" s="202">
        <f>IFERROR(SUMIF(E63:AI63,"=ТН",E64:AI64),0)</f>
        <v>24</v>
      </c>
      <c r="AY63" s="202">
        <f>IFERROR(SUMIF(E63:AI63,"=ВД",E64:AI64),0)</f>
        <v>0</v>
      </c>
      <c r="AZ63" s="200">
        <f>IFERROR(SUMIF(E63:AI63,"=ІН",E64:AI64),0)+SUMIF(E63:AI63,"=НЗ",E64:AI64)</f>
        <v>0</v>
      </c>
    </row>
    <row r="64" spans="1:52" s="177" customFormat="1" ht="20.100000000000001" customHeight="1" thickBot="1" x14ac:dyDescent="0.25">
      <c r="A64" s="290"/>
      <c r="B64" s="229"/>
      <c r="C64" s="231"/>
      <c r="D64" s="231"/>
      <c r="E64" s="192">
        <v>4</v>
      </c>
      <c r="F64" s="192">
        <v>8</v>
      </c>
      <c r="G64" s="192"/>
      <c r="H64" s="192">
        <v>12</v>
      </c>
      <c r="I64" s="192">
        <v>4</v>
      </c>
      <c r="J64" s="192">
        <v>8</v>
      </c>
      <c r="K64" s="192"/>
      <c r="L64" s="192">
        <v>12</v>
      </c>
      <c r="M64" s="192">
        <v>4</v>
      </c>
      <c r="N64" s="192">
        <v>8</v>
      </c>
      <c r="O64" s="192"/>
      <c r="P64" s="192">
        <v>8</v>
      </c>
      <c r="Q64" s="192">
        <v>4</v>
      </c>
      <c r="R64" s="192">
        <v>8</v>
      </c>
      <c r="S64" s="192"/>
      <c r="T64" s="192">
        <v>12</v>
      </c>
      <c r="U64" s="192">
        <v>4</v>
      </c>
      <c r="V64" s="192">
        <v>8</v>
      </c>
      <c r="W64" s="192"/>
      <c r="X64" s="192">
        <v>12</v>
      </c>
      <c r="Y64" s="192">
        <v>4</v>
      </c>
      <c r="Z64" s="192">
        <v>8</v>
      </c>
      <c r="AA64" s="192"/>
      <c r="AB64" s="192">
        <v>12</v>
      </c>
      <c r="AC64" s="192">
        <v>4</v>
      </c>
      <c r="AD64" s="192">
        <v>8</v>
      </c>
      <c r="AE64" s="192"/>
      <c r="AF64" s="192">
        <v>12</v>
      </c>
      <c r="AG64" s="192" t="s">
        <v>491</v>
      </c>
      <c r="AH64" s="192" t="s">
        <v>492</v>
      </c>
      <c r="AI64" s="192" t="s">
        <v>493</v>
      </c>
      <c r="AJ64" s="214"/>
      <c r="AK64" s="203"/>
      <c r="AL64" s="203"/>
      <c r="AM64" s="203"/>
      <c r="AN64" s="203"/>
      <c r="AO64" s="203"/>
      <c r="AP64" s="203"/>
      <c r="AQ64" s="203"/>
      <c r="AR64" s="203"/>
      <c r="AS64" s="203"/>
      <c r="AT64" s="203"/>
      <c r="AU64" s="203"/>
      <c r="AV64" s="203"/>
      <c r="AW64" s="203"/>
      <c r="AX64" s="203"/>
      <c r="AY64" s="203"/>
      <c r="AZ64" s="201"/>
    </row>
    <row r="65" spans="1:52" s="177" customFormat="1" ht="20.100000000000001" customHeight="1" x14ac:dyDescent="0.2">
      <c r="A65" s="289">
        <f t="shared" si="14"/>
        <v>25</v>
      </c>
      <c r="B65" s="230" t="s">
        <v>449</v>
      </c>
      <c r="C65" s="230">
        <v>2192</v>
      </c>
      <c r="D65" s="230" t="s">
        <v>65</v>
      </c>
      <c r="E65" s="191" t="s">
        <v>142</v>
      </c>
      <c r="F65" s="191" t="s">
        <v>4</v>
      </c>
      <c r="G65" s="191" t="s">
        <v>41</v>
      </c>
      <c r="H65" s="191" t="s">
        <v>43</v>
      </c>
      <c r="I65" s="191" t="s">
        <v>142</v>
      </c>
      <c r="J65" s="191" t="s">
        <v>4</v>
      </c>
      <c r="K65" s="191" t="s">
        <v>41</v>
      </c>
      <c r="L65" s="191" t="s">
        <v>43</v>
      </c>
      <c r="M65" s="191" t="s">
        <v>142</v>
      </c>
      <c r="N65" s="191" t="s">
        <v>4</v>
      </c>
      <c r="O65" s="191" t="s">
        <v>41</v>
      </c>
      <c r="P65" s="191" t="s">
        <v>43</v>
      </c>
      <c r="Q65" s="191" t="s">
        <v>142</v>
      </c>
      <c r="R65" s="191" t="s">
        <v>4</v>
      </c>
      <c r="S65" s="191" t="s">
        <v>41</v>
      </c>
      <c r="T65" s="191" t="s">
        <v>43</v>
      </c>
      <c r="U65" s="191" t="s">
        <v>142</v>
      </c>
      <c r="V65" s="191" t="s">
        <v>4</v>
      </c>
      <c r="W65" s="191" t="s">
        <v>41</v>
      </c>
      <c r="X65" s="191" t="s">
        <v>43</v>
      </c>
      <c r="Y65" s="191" t="s">
        <v>142</v>
      </c>
      <c r="Z65" s="191" t="s">
        <v>4</v>
      </c>
      <c r="AA65" s="191" t="s">
        <v>41</v>
      </c>
      <c r="AB65" s="191" t="s">
        <v>43</v>
      </c>
      <c r="AC65" s="191" t="s">
        <v>142</v>
      </c>
      <c r="AD65" s="191" t="s">
        <v>4</v>
      </c>
      <c r="AE65" s="191" t="s">
        <v>41</v>
      </c>
      <c r="AF65" s="191" t="s">
        <v>43</v>
      </c>
      <c r="AG65" s="191"/>
      <c r="AH65" s="191"/>
      <c r="AI65" s="191"/>
      <c r="AJ65" s="213">
        <f>IFERROR(COUNTIF(E65:AI65,"=Р")+COUNTIF(E65:AI65,"=Р1")+COUNTIF(E65:AI65,"=ВЧ")+COUNTIF(E65:AI65,"=РН")+COUNTIF(E65:AI65,"=Р2")+COUNTIF(E65:AI65,"=Р1/РВ")+COUNTIF(E65:AI65,"=Р2/РВ")+COUNTIF(E65:AI65,"=ВЧ/РВ")+COUNTIF(E65:AI65,"=РН/РВ"),0)</f>
        <v>21</v>
      </c>
      <c r="AK65" s="202">
        <f>IFERROR(SUMIF(E65:AI65,"=Р2",E66:AI66)+SUMIF(E65:AI65,"=ВЧ/РВ",E66:AI66)+SUMIF(E65:AI65,"=РН/РВ",E66:AI66)+SUMIF(E65:AI65,"=Р1/РВ",E66:AI66)+SUMIF(E65:AI65,"=ВЧ2/РВ",E66:AI66)+SUMIF(E65:AI65,"=Р2/РВ",E66:AI66)+SUMIF(E65:AI65,"=Р",E66:AI66)+SUMIF(E65:AI65,"=Р1",E66:AI66)+SUMIF(E65:AI65,"=ВЧ1",E66:AI66)+SUMIF(E65:AI65,"=РН",E66:AI66)+SUMIF(E65:AI65,"=ВЧ",E66:AI66),0)+AL65</f>
        <v>164</v>
      </c>
      <c r="AL65" s="202">
        <f>IFERROR(SUMIF(E65:AI65,"=НУ",E66:AI66),0)</f>
        <v>0</v>
      </c>
      <c r="AM65" s="202">
        <f>IFERROR(SUMIF(E65:AI65,"=РН",E66:AI66)+SUMIF(E65:AI65,"=РН/РВ",E66:AI66)+SUMIFS(E66:AI66,E65:AI65,"=Р2",E66:AI66,"=8"),0)</f>
        <v>56</v>
      </c>
      <c r="AN65" s="202">
        <f>IFERROR(SUMIF(E65:AI65,"=ВЧ",E66:AI66)+SUMIF(E65:AI65,"=ВЧ/РВ",E66:AI66)+CEILING(COUNTIFS(E65:AI65,"=Р2",E66:AI66,"=7")*4,1)+CEILING(COUNTIFS(E65:AI65,"=Р2/РВ",E66:AI66,"=7")*4,1)+SUMIFS(E66:AI66,E65:AI65,"=Р1/РВ",E66:AI66,"=12")/6+SUMIFS(E66:AI66,E65:AI65,"=ВЧ2/РВ",E66:AI66,"=4")/2+SUMIFS(E66:AI66,E65:AI65,"=Р1",E66:AI66,"=12")/6+SUMIFS(E66:AI66,E65:AI65,"=Р1",E66:AI66,"=8")/4+SUMIF(E65:AI65,"=ВЧ1",E66:AI66)/2,0)</f>
        <v>28</v>
      </c>
      <c r="AO65" s="202">
        <f>IFERROR(SUMIF(E65:AI65,"=РВ",E66:AI66)+SUMIF(E65:AI65,"=ВЧ/РВ",E66:AI66)+SUMIF(E65:AI65,"=РН/РВ",E66:AI66)+SUMIF(E65:AI65,"=Р1/РВ",E66:AI66)+SUMIF(E65:AI65,"=ВЧ2/РВ",E66:AI66)+SUMIF(E65:AI65,"=Р2/РВ",E66:AI66),0)</f>
        <v>0</v>
      </c>
      <c r="AP65" s="202">
        <f>IFERROR(COUNTIF(E65:AI65,"=ВВ")+COUNTIF(E65:AI65,"=Р1/ВВ")+COUNTIF(E65:AI65,"=РН/ВВ")+COUNTIF(E65:AI65,"=ВЧ/ВВ"),0)</f>
        <v>7</v>
      </c>
      <c r="AQ65" s="202">
        <f>SUM(AR65:AZ65)</f>
        <v>0</v>
      </c>
      <c r="AR65" s="202">
        <f>IFERROR(SUMIF(E65:AI65,"=В",E66:AI66)+SUMIF(E65:AI65,"=Ч",E66:AI66)+SUMIF(E65:AI65,"=ВБ",E66:AI66),0)</f>
        <v>0</v>
      </c>
      <c r="AS65" s="202">
        <f>IFERROR(SUMIF(E65:AI65,"=Н",E66:AI66),0)</f>
        <v>0</v>
      </c>
      <c r="AT65" s="202">
        <f>IFERROR(SUMIF(E65:AI65,"=НА",E66:AI66),0)</f>
        <v>0</v>
      </c>
      <c r="AU65" s="202">
        <f>IFERROR(SUMIF(E65:AI65,"=ВП",E66:AI66),0)</f>
        <v>0</v>
      </c>
      <c r="AV65" s="202">
        <f>IFERROR(SUMIF(E65:AI65,"=ДД",E66:AI66),0)</f>
        <v>0</v>
      </c>
      <c r="AW65" s="202">
        <f>IFERROR(SUMIF(E65:AI65,"=ДО",E66:AI66),0)</f>
        <v>0</v>
      </c>
      <c r="AX65" s="202">
        <f>IFERROR(SUMIF(E65:AI65,"=ТН",E66:AI66),0)</f>
        <v>0</v>
      </c>
      <c r="AY65" s="202">
        <f>IFERROR(SUMIF(E65:AI65,"=ВД",E66:AI66),0)</f>
        <v>0</v>
      </c>
      <c r="AZ65" s="200">
        <f>IFERROR(SUMIF(E65:AI65,"=ІН",E66:AI66),0)+SUMIF(E65:AI65,"=НЗ",E66:AI66)</f>
        <v>0</v>
      </c>
    </row>
    <row r="66" spans="1:52" s="177" customFormat="1" ht="20.100000000000001" customHeight="1" thickBot="1" x14ac:dyDescent="0.25">
      <c r="A66" s="290"/>
      <c r="B66" s="231"/>
      <c r="C66" s="231"/>
      <c r="D66" s="231"/>
      <c r="E66" s="192"/>
      <c r="F66" s="192">
        <v>12</v>
      </c>
      <c r="G66" s="192">
        <v>4</v>
      </c>
      <c r="H66" s="192">
        <v>8</v>
      </c>
      <c r="I66" s="192"/>
      <c r="J66" s="192">
        <v>12</v>
      </c>
      <c r="K66" s="192">
        <v>4</v>
      </c>
      <c r="L66" s="192">
        <v>8</v>
      </c>
      <c r="M66" s="192"/>
      <c r="N66" s="192">
        <v>11</v>
      </c>
      <c r="O66" s="192">
        <v>4</v>
      </c>
      <c r="P66" s="192">
        <v>8</v>
      </c>
      <c r="Q66" s="192"/>
      <c r="R66" s="192">
        <v>11</v>
      </c>
      <c r="S66" s="192">
        <v>4</v>
      </c>
      <c r="T66" s="192">
        <v>8</v>
      </c>
      <c r="U66" s="192"/>
      <c r="V66" s="192">
        <v>12</v>
      </c>
      <c r="W66" s="192">
        <v>4</v>
      </c>
      <c r="X66" s="192">
        <v>8</v>
      </c>
      <c r="Y66" s="192"/>
      <c r="Z66" s="192">
        <v>11</v>
      </c>
      <c r="AA66" s="192">
        <v>4</v>
      </c>
      <c r="AB66" s="192">
        <v>8</v>
      </c>
      <c r="AC66" s="192"/>
      <c r="AD66" s="192">
        <v>11</v>
      </c>
      <c r="AE66" s="192">
        <v>4</v>
      </c>
      <c r="AF66" s="192">
        <v>8</v>
      </c>
      <c r="AG66" s="192" t="s">
        <v>491</v>
      </c>
      <c r="AH66" s="192" t="s">
        <v>492</v>
      </c>
      <c r="AI66" s="192" t="s">
        <v>493</v>
      </c>
      <c r="AJ66" s="214"/>
      <c r="AK66" s="203"/>
      <c r="AL66" s="203"/>
      <c r="AM66" s="203"/>
      <c r="AN66" s="203"/>
      <c r="AO66" s="203"/>
      <c r="AP66" s="203"/>
      <c r="AQ66" s="203"/>
      <c r="AR66" s="203"/>
      <c r="AS66" s="203"/>
      <c r="AT66" s="203"/>
      <c r="AU66" s="203"/>
      <c r="AV66" s="203"/>
      <c r="AW66" s="203"/>
      <c r="AX66" s="203"/>
      <c r="AY66" s="203"/>
      <c r="AZ66" s="201"/>
    </row>
    <row r="67" spans="1:52" s="177" customFormat="1" ht="20.100000000000001" customHeight="1" x14ac:dyDescent="0.2">
      <c r="A67" s="289">
        <f t="shared" si="14"/>
        <v>26</v>
      </c>
      <c r="B67" s="228" t="s">
        <v>452</v>
      </c>
      <c r="C67" s="230">
        <v>2102</v>
      </c>
      <c r="D67" s="230" t="s">
        <v>72</v>
      </c>
      <c r="E67" s="191" t="s">
        <v>309</v>
      </c>
      <c r="F67" s="191" t="s">
        <v>43</v>
      </c>
      <c r="G67" s="191" t="s">
        <v>142</v>
      </c>
      <c r="H67" s="191" t="s">
        <v>4</v>
      </c>
      <c r="I67" s="191" t="s">
        <v>41</v>
      </c>
      <c r="J67" s="191" t="s">
        <v>43</v>
      </c>
      <c r="K67" s="191" t="s">
        <v>142</v>
      </c>
      <c r="L67" s="191" t="s">
        <v>4</v>
      </c>
      <c r="M67" s="191" t="s">
        <v>41</v>
      </c>
      <c r="N67" s="191" t="s">
        <v>43</v>
      </c>
      <c r="O67" s="191" t="s">
        <v>142</v>
      </c>
      <c r="P67" s="191" t="s">
        <v>4</v>
      </c>
      <c r="Q67" s="191" t="s">
        <v>41</v>
      </c>
      <c r="R67" s="191" t="s">
        <v>43</v>
      </c>
      <c r="S67" s="191" t="s">
        <v>142</v>
      </c>
      <c r="T67" s="191" t="s">
        <v>4</v>
      </c>
      <c r="U67" s="191" t="s">
        <v>41</v>
      </c>
      <c r="V67" s="191" t="s">
        <v>43</v>
      </c>
      <c r="W67" s="191" t="s">
        <v>142</v>
      </c>
      <c r="X67" s="191" t="s">
        <v>4</v>
      </c>
      <c r="Y67" s="191" t="s">
        <v>41</v>
      </c>
      <c r="Z67" s="191" t="s">
        <v>43</v>
      </c>
      <c r="AA67" s="191" t="s">
        <v>142</v>
      </c>
      <c r="AB67" s="191" t="s">
        <v>263</v>
      </c>
      <c r="AC67" s="191" t="s">
        <v>142</v>
      </c>
      <c r="AD67" s="191" t="s">
        <v>142</v>
      </c>
      <c r="AE67" s="191" t="s">
        <v>263</v>
      </c>
      <c r="AF67" s="191" t="s">
        <v>142</v>
      </c>
      <c r="AG67" s="191"/>
      <c r="AH67" s="191"/>
      <c r="AI67" s="191"/>
      <c r="AJ67" s="213">
        <f>IFERROR(COUNTIF(E67:AI67,"=Р")+COUNTIF(E67:AI67,"=Р1")+COUNTIF(E67:AI67,"=ВЧ")+COUNTIF(E67:AI67,"=РН")+COUNTIF(E67:AI67,"=Р2")+COUNTIF(E67:AI67,"=Р1/РВ")+COUNTIF(E67:AI67,"=Р2/РВ")+COUNTIF(E67:AI67,"=ВЧ/РВ")+COUNTIF(E67:AI67,"=РН/РВ"),0)</f>
        <v>18</v>
      </c>
      <c r="AK67" s="202">
        <f>IFERROR(SUMIF(E67:AI67,"=Р2",E68:AI68)+SUMIF(E67:AI67,"=ВЧ/РВ",E68:AI68)+SUMIF(E67:AI67,"=РН/РВ",E68:AI68)+SUMIF(E67:AI67,"=Р1/РВ",E68:AI68)+SUMIF(E67:AI67,"=ВЧ2/РВ",E68:AI68)+SUMIF(E67:AI67,"=Р2/РВ",E68:AI68)+SUMIF(E67:AI67,"=Р",E68:AI68)+SUMIF(E67:AI67,"=Р1",E68:AI68)+SUMIF(E67:AI67,"=ВЧ1",E68:AI68)+SUMIF(E67:AI67,"=РН",E68:AI68)+SUMIF(E67:AI67,"=ВЧ",E68:AI68),0)+AL67</f>
        <v>156</v>
      </c>
      <c r="AL67" s="202">
        <f>IFERROR(SUMIF(E67:AI67,"=НУ",E68:AI68),0)</f>
        <v>0</v>
      </c>
      <c r="AM67" s="202">
        <f>IFERROR(SUMIF(E67:AI67,"=РН",E68:AI68)+SUMIF(E67:AI67,"=РН/РВ",E68:AI68)+SUMIFS(E68:AI68,E67:AI67,"=Р2",E68:AI68,"=8"),0)</f>
        <v>48</v>
      </c>
      <c r="AN67" s="202">
        <f>IFERROR(SUMIF(E67:AI67,"=ВЧ",E68:AI68)+SUMIF(E67:AI67,"=ВЧ/РВ",E68:AI68)+CEILING(COUNTIFS(E67:AI67,"=Р2",E68:AI68,"=7")*4,1)+CEILING(COUNTIFS(E67:AI67,"=Р2/РВ",E68:AI68,"=7")*4,1)+SUMIFS(E68:AI68,E67:AI67,"=Р1/РВ",E68:AI68,"=12")/6+SUMIFS(E68:AI68,E67:AI67,"=ВЧ2/РВ",E68:AI68,"=4")/2+SUMIFS(E68:AI68,E67:AI67,"=Р1",E68:AI68,"=12")/6+SUMIFS(E68:AI68,E67:AI67,"=Р1",E68:AI68,"=8")/4+SUMIF(E67:AI67,"=ВЧ1",E68:AI68)/2,0)</f>
        <v>26</v>
      </c>
      <c r="AO67" s="202">
        <f>IFERROR(SUMIF(E67:AI67,"=РВ",E68:AI68)+SUMIF(E67:AI67,"=ВЧ/РВ",E68:AI68)+SUMIF(E67:AI67,"=РН/РВ",E68:AI68)+SUMIF(E67:AI67,"=Р1/РВ",E68:AI68)+SUMIF(E67:AI67,"=ВЧ2/РВ",E68:AI68)+SUMIF(E67:AI67,"=Р2/РВ",E68:AI68),0)</f>
        <v>0</v>
      </c>
      <c r="AP67" s="202">
        <f>IFERROR(COUNTIF(E67:AI67,"=ВВ")+COUNTIF(E67:AI67,"=Р1/ВВ")+COUNTIF(E67:AI67,"=РН/ВВ")+COUNTIF(E67:AI67,"=ВЧ/ВВ"),0)</f>
        <v>9</v>
      </c>
      <c r="AQ67" s="202">
        <f>SUM(AR67:AZ67)</f>
        <v>0</v>
      </c>
      <c r="AR67" s="202">
        <f>IFERROR(SUMIF(E67:AI67,"=В",E68:AI68)+SUMIF(E67:AI67,"=Ч",E68:AI68)+SUMIF(E67:AI67,"=ВБ",E68:AI68),0)</f>
        <v>0</v>
      </c>
      <c r="AS67" s="202">
        <f>IFERROR(SUMIF(E67:AI67,"=Н",E68:AI68),0)</f>
        <v>0</v>
      </c>
      <c r="AT67" s="202">
        <f>IFERROR(SUMIF(E67:AI67,"=НА",E68:AI68),0)</f>
        <v>0</v>
      </c>
      <c r="AU67" s="202">
        <f>IFERROR(SUMIF(E67:AI67,"=ВП",E68:AI68),0)</f>
        <v>0</v>
      </c>
      <c r="AV67" s="202">
        <f>IFERROR(SUMIF(E67:AI67,"=ДД",E68:AI68),0)</f>
        <v>0</v>
      </c>
      <c r="AW67" s="202">
        <f>IFERROR(SUMIF(E67:AI67,"=ДО",E68:AI68),0)</f>
        <v>0</v>
      </c>
      <c r="AX67" s="202">
        <f>IFERROR(SUMIF(E67:AI67,"=ТН",E68:AI68),0)</f>
        <v>0</v>
      </c>
      <c r="AY67" s="202">
        <f>IFERROR(SUMIF(E67:AI67,"=ВД",E68:AI68),0)</f>
        <v>0</v>
      </c>
      <c r="AZ67" s="200">
        <f>IFERROR(SUMIF(E67:AI67,"=ІН",E68:AI68),0)+SUMIF(E67:AI67,"=НЗ",E68:AI68)</f>
        <v>0</v>
      </c>
    </row>
    <row r="68" spans="1:52" s="177" customFormat="1" ht="20.100000000000001" customHeight="1" thickBot="1" x14ac:dyDescent="0.25">
      <c r="A68" s="290"/>
      <c r="B68" s="229"/>
      <c r="C68" s="231"/>
      <c r="D68" s="231"/>
      <c r="E68" s="192">
        <v>4</v>
      </c>
      <c r="F68" s="192">
        <v>8</v>
      </c>
      <c r="G68" s="192"/>
      <c r="H68" s="192">
        <v>12</v>
      </c>
      <c r="I68" s="192">
        <v>4</v>
      </c>
      <c r="J68" s="192">
        <v>8</v>
      </c>
      <c r="K68" s="192"/>
      <c r="L68" s="192">
        <v>12</v>
      </c>
      <c r="M68" s="192">
        <v>4</v>
      </c>
      <c r="N68" s="192">
        <v>8</v>
      </c>
      <c r="O68" s="192"/>
      <c r="P68" s="192">
        <v>12</v>
      </c>
      <c r="Q68" s="192">
        <v>4</v>
      </c>
      <c r="R68" s="192">
        <v>8</v>
      </c>
      <c r="S68" s="192"/>
      <c r="T68" s="192">
        <v>12</v>
      </c>
      <c r="U68" s="192">
        <v>4</v>
      </c>
      <c r="V68" s="192">
        <v>8</v>
      </c>
      <c r="W68" s="192"/>
      <c r="X68" s="192">
        <v>12</v>
      </c>
      <c r="Y68" s="192">
        <v>4</v>
      </c>
      <c r="Z68" s="192">
        <v>8</v>
      </c>
      <c r="AA68" s="192"/>
      <c r="AB68" s="192">
        <v>12</v>
      </c>
      <c r="AC68" s="192"/>
      <c r="AD68" s="192"/>
      <c r="AE68" s="192">
        <v>12</v>
      </c>
      <c r="AF68" s="192"/>
      <c r="AG68" s="192" t="s">
        <v>491</v>
      </c>
      <c r="AH68" s="192" t="s">
        <v>492</v>
      </c>
      <c r="AI68" s="192" t="s">
        <v>493</v>
      </c>
      <c r="AJ68" s="214"/>
      <c r="AK68" s="203"/>
      <c r="AL68" s="203"/>
      <c r="AM68" s="203"/>
      <c r="AN68" s="203"/>
      <c r="AO68" s="203"/>
      <c r="AP68" s="203"/>
      <c r="AQ68" s="203"/>
      <c r="AR68" s="203"/>
      <c r="AS68" s="203"/>
      <c r="AT68" s="203"/>
      <c r="AU68" s="203"/>
      <c r="AV68" s="203"/>
      <c r="AW68" s="203"/>
      <c r="AX68" s="203"/>
      <c r="AY68" s="203"/>
      <c r="AZ68" s="201"/>
    </row>
    <row r="69" spans="1:52" ht="20.100000000000001" customHeight="1" x14ac:dyDescent="0.2">
      <c r="A69" s="289"/>
      <c r="B69" s="228" t="s">
        <v>74</v>
      </c>
      <c r="C69" s="228">
        <v>0</v>
      </c>
      <c r="D69" s="228">
        <v>0</v>
      </c>
      <c r="E69" s="65">
        <v>0</v>
      </c>
      <c r="F69" s="65">
        <v>0</v>
      </c>
      <c r="G69" s="65">
        <v>0</v>
      </c>
      <c r="H69" s="65">
        <v>0</v>
      </c>
      <c r="I69" s="65">
        <v>0</v>
      </c>
      <c r="J69" s="65">
        <v>0</v>
      </c>
      <c r="K69" s="65">
        <v>0</v>
      </c>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320">
        <f t="shared" ref="AJ69:AZ69" si="15">SUM(AJ17:AJ68)</f>
        <v>519</v>
      </c>
      <c r="AK69" s="315">
        <f t="shared" si="15"/>
        <v>4139.6000000000004</v>
      </c>
      <c r="AL69" s="315">
        <f t="shared" si="15"/>
        <v>72</v>
      </c>
      <c r="AM69" s="315">
        <f t="shared" si="15"/>
        <v>1160</v>
      </c>
      <c r="AN69" s="315">
        <f t="shared" si="15"/>
        <v>572</v>
      </c>
      <c r="AO69" s="315">
        <f t="shared" si="15"/>
        <v>0</v>
      </c>
      <c r="AP69" s="315">
        <f t="shared" si="15"/>
        <v>189</v>
      </c>
      <c r="AQ69" s="315">
        <f t="shared" si="15"/>
        <v>224.2</v>
      </c>
      <c r="AR69" s="315">
        <f t="shared" si="15"/>
        <v>0</v>
      </c>
      <c r="AS69" s="315">
        <f t="shared" si="15"/>
        <v>0</v>
      </c>
      <c r="AT69" s="315">
        <f t="shared" si="15"/>
        <v>0</v>
      </c>
      <c r="AU69" s="315">
        <f t="shared" si="15"/>
        <v>0</v>
      </c>
      <c r="AV69" s="315">
        <f t="shared" si="15"/>
        <v>0</v>
      </c>
      <c r="AW69" s="315">
        <f t="shared" si="15"/>
        <v>0</v>
      </c>
      <c r="AX69" s="315">
        <f t="shared" si="15"/>
        <v>216</v>
      </c>
      <c r="AY69" s="315">
        <f t="shared" si="15"/>
        <v>8.1999999999999993</v>
      </c>
      <c r="AZ69" s="318">
        <f t="shared" si="15"/>
        <v>0</v>
      </c>
    </row>
    <row r="70" spans="1:52" ht="20.100000000000001" customHeight="1" thickBot="1" x14ac:dyDescent="0.25">
      <c r="A70" s="290"/>
      <c r="B70" s="229"/>
      <c r="C70" s="229"/>
      <c r="D70" s="229"/>
      <c r="E70" s="38">
        <v>0</v>
      </c>
      <c r="F70" s="38">
        <v>0</v>
      </c>
      <c r="G70" s="38">
        <v>0</v>
      </c>
      <c r="H70" s="38">
        <v>0</v>
      </c>
      <c r="I70" s="38">
        <v>0</v>
      </c>
      <c r="J70" s="38">
        <v>0</v>
      </c>
      <c r="K70" s="38">
        <v>0</v>
      </c>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21"/>
      <c r="AK70" s="316"/>
      <c r="AL70" s="316"/>
      <c r="AM70" s="316"/>
      <c r="AN70" s="316"/>
      <c r="AO70" s="316"/>
      <c r="AP70" s="316"/>
      <c r="AQ70" s="317"/>
      <c r="AR70" s="317"/>
      <c r="AS70" s="317"/>
      <c r="AT70" s="317"/>
      <c r="AU70" s="317"/>
      <c r="AV70" s="317"/>
      <c r="AW70" s="317"/>
      <c r="AX70" s="317"/>
      <c r="AY70" s="317"/>
      <c r="AZ70" s="319"/>
    </row>
    <row r="71" spans="1:52" ht="14.25" customHeight="1" x14ac:dyDescent="0.2">
      <c r="C71" s="20"/>
      <c r="D71" s="8"/>
      <c r="AJ71" s="26"/>
    </row>
    <row r="72" spans="1:52" ht="12.75" customHeight="1" x14ac:dyDescent="0.2">
      <c r="A72" s="226" t="s">
        <v>32</v>
      </c>
      <c r="B72" s="226"/>
      <c r="C72" s="226"/>
      <c r="D72" s="227" t="s">
        <v>81</v>
      </c>
      <c r="E72" s="227"/>
      <c r="F72" s="227"/>
      <c r="G72" s="227"/>
      <c r="H72" s="227"/>
      <c r="I72" s="227"/>
      <c r="J72" s="69"/>
      <c r="K72" s="224"/>
      <c r="L72" s="224"/>
      <c r="M72" s="224"/>
      <c r="N72" s="69"/>
      <c r="O72" s="225" t="s">
        <v>278</v>
      </c>
      <c r="P72" s="225"/>
      <c r="Q72" s="225"/>
      <c r="R72" s="225"/>
      <c r="S72" s="225"/>
      <c r="T72" s="9"/>
      <c r="U72" s="221">
        <v>45747</v>
      </c>
      <c r="V72" s="221"/>
      <c r="W72" s="221"/>
      <c r="X72" s="221"/>
      <c r="Y72" s="221"/>
      <c r="Z72" s="10"/>
      <c r="AA72" s="69"/>
      <c r="AB72" s="69"/>
      <c r="AC72" s="69"/>
      <c r="AD72" s="69"/>
      <c r="AE72" s="69"/>
      <c r="AF72" s="69"/>
      <c r="AG72" s="69"/>
      <c r="AH72" s="69"/>
      <c r="AI72" s="69"/>
      <c r="AJ72" s="69"/>
      <c r="AK72" s="69"/>
      <c r="AL72" s="69"/>
      <c r="AM72" s="69"/>
      <c r="AN72" s="69"/>
      <c r="AO72" s="69"/>
      <c r="AP72" s="69"/>
      <c r="AQ72" s="69"/>
      <c r="AR72" s="69"/>
      <c r="AS72" s="69"/>
      <c r="AT72" s="69"/>
    </row>
    <row r="73" spans="1:52" x14ac:dyDescent="0.15">
      <c r="A73" s="13"/>
      <c r="B73" s="16"/>
      <c r="D73" s="222" t="s">
        <v>34</v>
      </c>
      <c r="E73" s="222"/>
      <c r="F73" s="222"/>
      <c r="G73" s="222"/>
      <c r="H73" s="222"/>
      <c r="I73" s="222"/>
      <c r="J73" s="13"/>
      <c r="K73" s="222" t="s">
        <v>35</v>
      </c>
      <c r="L73" s="222"/>
      <c r="M73" s="222"/>
      <c r="N73" s="13"/>
      <c r="O73" s="222" t="s">
        <v>36</v>
      </c>
      <c r="P73" s="222"/>
      <c r="Q73" s="222"/>
      <c r="R73" s="222"/>
      <c r="S73" s="222"/>
      <c r="T73" s="13"/>
      <c r="U73" s="13"/>
      <c r="V73" s="31"/>
      <c r="W73" s="13"/>
      <c r="X73" s="17"/>
      <c r="Y73" s="17"/>
      <c r="Z73" s="17"/>
      <c r="AA73" s="13"/>
      <c r="AB73" s="13"/>
      <c r="AC73" s="13"/>
      <c r="AD73" s="13"/>
      <c r="AE73" s="13"/>
      <c r="AF73" s="13"/>
      <c r="AG73" s="13"/>
      <c r="AH73" s="13"/>
      <c r="AI73" s="13"/>
      <c r="AJ73" s="13"/>
      <c r="AK73" s="13"/>
      <c r="AL73" s="13"/>
      <c r="AM73" s="13"/>
      <c r="AN73" s="13"/>
      <c r="AO73" s="13"/>
      <c r="AP73" s="13"/>
      <c r="AQ73" s="13"/>
      <c r="AR73" s="13"/>
      <c r="AS73" s="13"/>
      <c r="AT73" s="13"/>
    </row>
    <row r="74" spans="1:52" ht="12.75" customHeight="1" x14ac:dyDescent="0.2">
      <c r="A74" s="32" t="s">
        <v>33</v>
      </c>
      <c r="B74" s="32"/>
      <c r="C74" s="69"/>
      <c r="D74" s="223" t="s">
        <v>277</v>
      </c>
      <c r="E74" s="223"/>
      <c r="F74" s="223"/>
      <c r="G74" s="223"/>
      <c r="H74" s="223"/>
      <c r="I74" s="223"/>
      <c r="J74" s="69"/>
      <c r="K74" s="224"/>
      <c r="L74" s="224"/>
      <c r="M74" s="224"/>
      <c r="N74" s="69"/>
      <c r="O74" s="225" t="s">
        <v>279</v>
      </c>
      <c r="P74" s="225"/>
      <c r="Q74" s="225"/>
      <c r="R74" s="225"/>
      <c r="S74" s="225"/>
      <c r="T74" s="9"/>
      <c r="U74" s="221">
        <f>U72</f>
        <v>45747</v>
      </c>
      <c r="V74" s="221"/>
      <c r="W74" s="221"/>
      <c r="X74" s="221"/>
      <c r="Y74" s="221"/>
      <c r="Z74" s="69"/>
      <c r="AA74" s="69"/>
      <c r="AB74" s="69"/>
      <c r="AC74" s="69"/>
      <c r="AD74" s="69"/>
      <c r="AE74" s="69"/>
      <c r="AF74" s="69"/>
      <c r="AG74" s="69"/>
      <c r="AH74" s="69"/>
      <c r="AI74" s="69"/>
      <c r="AJ74" s="69"/>
      <c r="AK74" s="69"/>
      <c r="AL74" s="69"/>
      <c r="AM74" s="69"/>
      <c r="AN74" s="69"/>
      <c r="AO74" s="69"/>
      <c r="AP74" s="69"/>
      <c r="AQ74" s="69"/>
      <c r="AR74" s="69"/>
      <c r="AS74" s="69"/>
      <c r="AT74" s="69"/>
    </row>
    <row r="75" spans="1:52" x14ac:dyDescent="0.2">
      <c r="A75" s="13"/>
      <c r="B75" s="13"/>
      <c r="D75" s="222" t="s">
        <v>34</v>
      </c>
      <c r="E75" s="222"/>
      <c r="F75" s="222"/>
      <c r="G75" s="222"/>
      <c r="H75" s="222"/>
      <c r="I75" s="222"/>
      <c r="J75" s="13"/>
      <c r="K75" s="222" t="s">
        <v>35</v>
      </c>
      <c r="L75" s="222"/>
      <c r="M75" s="222"/>
      <c r="N75" s="13"/>
      <c r="O75" s="222" t="s">
        <v>36</v>
      </c>
      <c r="P75" s="222"/>
      <c r="Q75" s="222"/>
      <c r="R75" s="222"/>
      <c r="S75" s="222"/>
      <c r="T75" s="17"/>
      <c r="U75" s="17"/>
      <c r="V75" s="13"/>
      <c r="W75" s="17"/>
      <c r="X75" s="17"/>
      <c r="Y75" s="17"/>
      <c r="Z75" s="69"/>
      <c r="AA75" s="69"/>
      <c r="AB75" s="69"/>
      <c r="AC75" s="69"/>
      <c r="AD75" s="69"/>
      <c r="AE75" s="69"/>
      <c r="AF75" s="69"/>
      <c r="AG75" s="69"/>
      <c r="AH75" s="69"/>
      <c r="AI75" s="69"/>
      <c r="AJ75" s="69"/>
      <c r="AK75" s="69"/>
      <c r="AL75" s="69"/>
      <c r="AM75" s="69"/>
      <c r="AN75" s="69"/>
      <c r="AO75" s="69"/>
      <c r="AP75" s="69"/>
      <c r="AQ75" s="69"/>
      <c r="AR75" s="69"/>
      <c r="AS75" s="69"/>
      <c r="AT75" s="69"/>
    </row>
    <row r="76" spans="1:52" x14ac:dyDescent="0.2">
      <c r="A76" s="69"/>
      <c r="B76" s="69"/>
      <c r="C76" s="33" t="s">
        <v>39</v>
      </c>
      <c r="D76" s="70"/>
      <c r="E76" s="70"/>
      <c r="F76" s="70"/>
      <c r="G76" s="70"/>
      <c r="H76" s="70"/>
      <c r="I76" s="70"/>
      <c r="J76" s="70"/>
      <c r="K76" s="70"/>
      <c r="L76" s="70"/>
      <c r="M76" s="70"/>
      <c r="N76" s="70"/>
      <c r="O76" s="70"/>
      <c r="P76" s="70"/>
      <c r="Q76" s="70"/>
      <c r="R76" s="69"/>
      <c r="S76" s="69"/>
      <c r="T76" s="69"/>
      <c r="U76" s="69"/>
      <c r="V76" s="69"/>
      <c r="W76" s="69"/>
      <c r="X76" s="69"/>
      <c r="Y76" s="69"/>
      <c r="Z76" s="69"/>
      <c r="AA76" s="69"/>
      <c r="AB76" s="69"/>
      <c r="AC76" s="69"/>
      <c r="AD76" s="69"/>
      <c r="AE76" s="69"/>
      <c r="AF76" s="69"/>
      <c r="AG76" s="69"/>
      <c r="AH76" s="69"/>
      <c r="AI76" s="69"/>
      <c r="AJ76" s="69"/>
      <c r="AK76" s="69"/>
      <c r="AL76" s="69"/>
      <c r="AM76" s="69"/>
      <c r="AN76" s="69"/>
      <c r="AO76" s="69"/>
      <c r="AP76" s="69"/>
      <c r="AQ76" s="69"/>
      <c r="AR76" s="69"/>
      <c r="AS76" s="69"/>
      <c r="AT76" s="69"/>
    </row>
    <row r="77" spans="1:52" x14ac:dyDescent="0.2">
      <c r="A77" s="69"/>
      <c r="B77" s="69"/>
      <c r="C77" s="34" t="s">
        <v>4</v>
      </c>
      <c r="D77" s="35" t="s">
        <v>49</v>
      </c>
      <c r="E77" t="s">
        <v>5</v>
      </c>
      <c r="F77"/>
      <c r="G77"/>
      <c r="H77"/>
      <c r="I77"/>
      <c r="J77"/>
      <c r="K77"/>
      <c r="L77"/>
      <c r="M77"/>
      <c r="N77" s="36"/>
      <c r="O77" s="3"/>
      <c r="P77" s="37"/>
      <c r="Q77" s="37"/>
      <c r="R77" s="69"/>
      <c r="S77" s="69"/>
      <c r="T77" s="69"/>
      <c r="U77" s="21" t="s">
        <v>2</v>
      </c>
      <c r="V77" s="15" t="s">
        <v>49</v>
      </c>
      <c r="W77" t="s">
        <v>61</v>
      </c>
      <c r="X77"/>
      <c r="Y77" s="69"/>
      <c r="Z77" s="69"/>
      <c r="AA77" s="69"/>
      <c r="AB77" s="69"/>
      <c r="AC77" s="69"/>
      <c r="AD77" s="69"/>
      <c r="AE77" s="69"/>
      <c r="AF77" s="69"/>
      <c r="AG77" s="69"/>
      <c r="AH77" s="69"/>
      <c r="AI77" s="69"/>
      <c r="AJ77" s="69"/>
      <c r="AK77" s="69"/>
      <c r="AL77" s="69"/>
      <c r="AM77" s="69"/>
      <c r="AN77" s="69"/>
      <c r="AO77" s="69"/>
      <c r="AP77" s="69"/>
      <c r="AQ77" s="69"/>
      <c r="AR77" s="69"/>
      <c r="AS77" s="69"/>
      <c r="AT77" s="69"/>
    </row>
    <row r="78" spans="1:52" x14ac:dyDescent="0.2">
      <c r="A78" s="69"/>
      <c r="B78" s="69"/>
      <c r="C78" s="34" t="s">
        <v>41</v>
      </c>
      <c r="D78" s="35" t="s">
        <v>49</v>
      </c>
      <c r="E78" t="s">
        <v>40</v>
      </c>
      <c r="F78"/>
      <c r="G78"/>
      <c r="H78"/>
      <c r="I78"/>
      <c r="J78"/>
      <c r="K78"/>
      <c r="L78"/>
      <c r="M78"/>
      <c r="N78" s="36"/>
      <c r="O78" s="3"/>
      <c r="P78" s="37"/>
      <c r="Q78" s="37"/>
      <c r="R78" s="69"/>
      <c r="S78" s="69"/>
      <c r="T78" s="69"/>
      <c r="U78" s="21" t="s">
        <v>50</v>
      </c>
      <c r="V78" s="15" t="s">
        <v>49</v>
      </c>
      <c r="W78" t="s">
        <v>62</v>
      </c>
      <c r="X78"/>
      <c r="Y78" s="69"/>
      <c r="Z78" s="69"/>
      <c r="AA78" s="69"/>
      <c r="AB78" s="69"/>
      <c r="AC78" s="69"/>
      <c r="AD78" s="69"/>
      <c r="AE78" s="69"/>
      <c r="AF78" s="69"/>
      <c r="AG78" s="69"/>
      <c r="AH78" s="69"/>
      <c r="AI78" s="69"/>
      <c r="AJ78" s="69"/>
      <c r="AK78" s="69"/>
      <c r="AL78" s="69"/>
      <c r="AM78" s="69"/>
      <c r="AN78" s="69"/>
      <c r="AO78" s="69"/>
      <c r="AP78" s="69"/>
      <c r="AQ78" s="69"/>
      <c r="AR78" s="69"/>
      <c r="AS78" s="69"/>
      <c r="AT78" s="69"/>
    </row>
    <row r="79" spans="1:52" x14ac:dyDescent="0.2">
      <c r="A79" s="69"/>
      <c r="B79" s="69"/>
      <c r="C79" s="34" t="s">
        <v>43</v>
      </c>
      <c r="D79" s="35" t="s">
        <v>49</v>
      </c>
      <c r="E79" t="s">
        <v>42</v>
      </c>
      <c r="F79"/>
      <c r="G79"/>
      <c r="H79"/>
      <c r="I79"/>
      <c r="J79"/>
      <c r="K79"/>
      <c r="L79"/>
      <c r="M79"/>
      <c r="N79" s="36"/>
      <c r="O79" s="3"/>
      <c r="P79" s="37"/>
      <c r="Q79" s="37"/>
      <c r="R79" s="69"/>
      <c r="S79" s="69"/>
      <c r="T79" s="69"/>
      <c r="U79" s="21" t="s">
        <v>51</v>
      </c>
      <c r="V79" s="15" t="s">
        <v>49</v>
      </c>
      <c r="W79" t="s">
        <v>53</v>
      </c>
      <c r="X79"/>
      <c r="Y79" s="69"/>
      <c r="Z79" s="69"/>
      <c r="AA79" s="69"/>
      <c r="AB79" s="69"/>
      <c r="AC79" s="69"/>
      <c r="AD79" s="69"/>
      <c r="AE79" s="69"/>
      <c r="AF79" s="69"/>
      <c r="AG79" s="69"/>
      <c r="AH79" s="69"/>
      <c r="AI79" s="69"/>
      <c r="AJ79" s="69"/>
      <c r="AK79" s="69"/>
      <c r="AL79" s="69"/>
      <c r="AM79" s="69"/>
      <c r="AN79" s="69"/>
      <c r="AO79" s="69"/>
      <c r="AP79" s="69"/>
      <c r="AQ79" s="69"/>
      <c r="AR79" s="69"/>
      <c r="AS79" s="69"/>
      <c r="AT79" s="69"/>
    </row>
    <row r="80" spans="1:52" x14ac:dyDescent="0.2">
      <c r="A80" s="69"/>
      <c r="B80" s="69"/>
      <c r="C80" s="34" t="s">
        <v>45</v>
      </c>
      <c r="D80" s="35" t="s">
        <v>49</v>
      </c>
      <c r="E80" t="s">
        <v>44</v>
      </c>
      <c r="F80"/>
      <c r="G80"/>
      <c r="H80"/>
      <c r="I80"/>
      <c r="J80"/>
      <c r="K80"/>
      <c r="L80"/>
      <c r="M80"/>
      <c r="N80" s="3"/>
      <c r="O80" s="3"/>
      <c r="P80" s="37"/>
      <c r="Q80" s="37"/>
      <c r="R80" s="69"/>
      <c r="S80" s="69"/>
      <c r="T80" s="69"/>
      <c r="U80" s="15" t="s">
        <v>63</v>
      </c>
      <c r="V80" s="15" t="s">
        <v>49</v>
      </c>
      <c r="W80" t="s">
        <v>64</v>
      </c>
      <c r="X80"/>
      <c r="Y80" s="69"/>
      <c r="Z80" s="69"/>
      <c r="AA80" s="69"/>
      <c r="AB80" s="69"/>
      <c r="AC80" s="69"/>
      <c r="AD80" s="69"/>
      <c r="AE80" s="69"/>
      <c r="AF80" s="69"/>
      <c r="AG80" s="69"/>
      <c r="AH80" s="69"/>
      <c r="AI80" s="69"/>
      <c r="AJ80" s="69"/>
      <c r="AK80" s="69"/>
      <c r="AL80" s="69"/>
      <c r="AM80" s="69"/>
      <c r="AN80" s="69"/>
      <c r="AO80" s="69"/>
      <c r="AP80" s="69"/>
      <c r="AQ80" s="69"/>
      <c r="AR80" s="69"/>
      <c r="AS80" s="69"/>
      <c r="AT80" s="69"/>
    </row>
    <row r="81" spans="1:46" x14ac:dyDescent="0.2">
      <c r="A81" s="69"/>
      <c r="B81" s="69"/>
      <c r="C81" s="34" t="s">
        <v>47</v>
      </c>
      <c r="D81" s="35" t="s">
        <v>49</v>
      </c>
      <c r="E81" t="s">
        <v>46</v>
      </c>
      <c r="F81"/>
      <c r="G81"/>
      <c r="H81"/>
      <c r="I81"/>
      <c r="J81"/>
      <c r="K81"/>
      <c r="L81"/>
      <c r="M81"/>
      <c r="N81" s="3"/>
      <c r="O81" s="3"/>
      <c r="P81" s="37"/>
      <c r="Q81" s="37"/>
      <c r="R81" s="69"/>
      <c r="S81" s="69"/>
      <c r="T81" s="69"/>
      <c r="U81" s="15" t="s">
        <v>65</v>
      </c>
      <c r="V81" s="15" t="s">
        <v>49</v>
      </c>
      <c r="W81" t="s">
        <v>66</v>
      </c>
      <c r="X81"/>
      <c r="Y81" s="69"/>
      <c r="Z81" s="69"/>
      <c r="AA81" s="69"/>
      <c r="AB81" s="69"/>
      <c r="AC81" s="69"/>
      <c r="AD81" s="69"/>
      <c r="AE81" s="69"/>
      <c r="AF81" s="69"/>
      <c r="AG81" s="69"/>
      <c r="AH81" s="69"/>
      <c r="AI81" s="69"/>
      <c r="AJ81" s="69"/>
      <c r="AK81" s="69"/>
      <c r="AL81" s="69"/>
      <c r="AM81" s="69"/>
      <c r="AN81" s="69"/>
      <c r="AO81" s="69"/>
      <c r="AP81" s="69"/>
      <c r="AQ81" s="69"/>
      <c r="AR81" s="69"/>
      <c r="AS81" s="69"/>
      <c r="AT81" s="69"/>
    </row>
    <row r="82" spans="1:46" x14ac:dyDescent="0.2">
      <c r="A82" s="69"/>
      <c r="B82" s="69"/>
      <c r="C82" s="34" t="s">
        <v>48</v>
      </c>
      <c r="D82" s="35" t="s">
        <v>49</v>
      </c>
      <c r="E82" t="s">
        <v>29</v>
      </c>
      <c r="F82"/>
      <c r="G82"/>
      <c r="H82"/>
      <c r="I82"/>
      <c r="J82"/>
      <c r="K82"/>
      <c r="L82"/>
      <c r="M82"/>
      <c r="N82" s="36"/>
      <c r="O82" s="3"/>
      <c r="P82" s="37"/>
      <c r="Q82" s="37"/>
      <c r="R82" s="69"/>
      <c r="S82" s="69"/>
      <c r="T82" s="69"/>
      <c r="U82" s="21" t="s">
        <v>52</v>
      </c>
      <c r="V82" s="15" t="s">
        <v>49</v>
      </c>
      <c r="W82" t="s">
        <v>54</v>
      </c>
      <c r="X82"/>
      <c r="Y82" s="69"/>
      <c r="Z82" s="69"/>
      <c r="AA82" s="69"/>
      <c r="AB82" s="69"/>
      <c r="AC82" s="69"/>
      <c r="AD82" s="69"/>
      <c r="AE82" s="69"/>
      <c r="AF82" s="69"/>
      <c r="AG82" s="69"/>
      <c r="AH82" s="69"/>
      <c r="AI82" s="69"/>
      <c r="AJ82" s="69"/>
      <c r="AK82" s="69"/>
      <c r="AL82" s="69"/>
      <c r="AM82" s="69"/>
      <c r="AN82" s="69"/>
      <c r="AO82" s="69"/>
      <c r="AP82" s="69"/>
      <c r="AQ82" s="69"/>
      <c r="AR82" s="69"/>
      <c r="AS82" s="69"/>
      <c r="AT82" s="69"/>
    </row>
    <row r="83" spans="1:46" x14ac:dyDescent="0.2">
      <c r="A83" s="69"/>
      <c r="B83" s="69"/>
      <c r="C83" s="34" t="s">
        <v>3</v>
      </c>
      <c r="D83" s="35" t="s">
        <v>49</v>
      </c>
      <c r="E83" t="s">
        <v>67</v>
      </c>
      <c r="F83"/>
      <c r="G83"/>
      <c r="H83"/>
      <c r="I83"/>
      <c r="J83"/>
      <c r="K83"/>
      <c r="L83"/>
      <c r="M83"/>
      <c r="N83" s="36"/>
      <c r="O83" s="3"/>
      <c r="P83" s="37"/>
      <c r="Q83" s="37"/>
      <c r="R83" s="69"/>
      <c r="S83" s="69"/>
      <c r="T83" s="69"/>
      <c r="U83" s="21" t="s">
        <v>68</v>
      </c>
      <c r="V83" s="15" t="s">
        <v>49</v>
      </c>
      <c r="W83" t="s">
        <v>31</v>
      </c>
      <c r="X83"/>
      <c r="Y83" s="69"/>
      <c r="Z83" s="69"/>
      <c r="AA83" s="69"/>
      <c r="AB83" s="69"/>
      <c r="AC83" s="69"/>
      <c r="AD83" s="69"/>
      <c r="AE83" s="69"/>
      <c r="AF83" s="69"/>
      <c r="AG83" s="69"/>
      <c r="AH83" s="69"/>
      <c r="AI83" s="69"/>
      <c r="AJ83" s="69"/>
      <c r="AK83" s="69"/>
      <c r="AL83" s="69"/>
      <c r="AM83" s="69"/>
      <c r="AN83" s="69"/>
      <c r="AO83" s="69"/>
      <c r="AP83" s="69"/>
      <c r="AQ83" s="69"/>
      <c r="AR83" s="69"/>
      <c r="AS83" s="69"/>
      <c r="AT83" s="69"/>
    </row>
    <row r="84" spans="1:46" x14ac:dyDescent="0.2">
      <c r="A84" s="69"/>
      <c r="B84" s="69"/>
      <c r="C84" s="34" t="s">
        <v>73</v>
      </c>
      <c r="D84" s="35" t="s">
        <v>49</v>
      </c>
      <c r="E84" s="219" t="s">
        <v>75</v>
      </c>
      <c r="F84" s="220"/>
      <c r="G84" s="220"/>
      <c r="H84" s="220"/>
      <c r="I84" s="220"/>
      <c r="J84" s="220"/>
      <c r="K84" s="220"/>
      <c r="L84" s="220"/>
      <c r="M84" s="220"/>
      <c r="N84" s="220"/>
      <c r="O84" s="220"/>
      <c r="P84" s="220"/>
      <c r="Q84" s="220"/>
      <c r="R84" s="69"/>
      <c r="S84" s="69"/>
      <c r="T84" s="69"/>
      <c r="U84" s="21" t="s">
        <v>76</v>
      </c>
      <c r="V84" s="15" t="s">
        <v>49</v>
      </c>
      <c r="W84" t="s">
        <v>77</v>
      </c>
      <c r="X84" s="69"/>
      <c r="Y84" s="69"/>
      <c r="Z84" s="69"/>
      <c r="AA84" s="69"/>
      <c r="AB84" s="69"/>
      <c r="AC84" s="69"/>
      <c r="AD84" s="69"/>
      <c r="AE84" s="69"/>
      <c r="AF84" s="69"/>
      <c r="AG84" s="69"/>
      <c r="AH84" s="69"/>
      <c r="AI84" s="69"/>
      <c r="AJ84" s="69"/>
      <c r="AK84" s="69"/>
      <c r="AL84" s="69"/>
      <c r="AM84" s="69"/>
      <c r="AN84" s="69"/>
      <c r="AO84" s="69"/>
      <c r="AP84" s="69"/>
      <c r="AQ84" s="69"/>
      <c r="AR84" s="69"/>
      <c r="AS84" s="69"/>
      <c r="AT84" s="69"/>
    </row>
    <row r="85" spans="1:46" x14ac:dyDescent="0.2">
      <c r="A85" s="69"/>
      <c r="B85" s="69"/>
      <c r="C85" s="34" t="s">
        <v>142</v>
      </c>
      <c r="D85" s="35" t="s">
        <v>49</v>
      </c>
      <c r="E85" s="219" t="s">
        <v>143</v>
      </c>
      <c r="F85" s="220"/>
      <c r="G85" s="220"/>
      <c r="H85" s="220"/>
      <c r="I85" s="220"/>
      <c r="J85" s="220"/>
      <c r="K85" s="220"/>
      <c r="L85" s="220"/>
      <c r="M85" s="220"/>
      <c r="N85" s="220"/>
      <c r="O85" s="220"/>
      <c r="P85" s="220"/>
      <c r="Q85" s="220"/>
      <c r="R85" s="69"/>
      <c r="S85" s="69"/>
      <c r="T85" s="69"/>
      <c r="U85" s="69"/>
      <c r="V85" s="69"/>
      <c r="W85" s="69"/>
      <c r="X85" s="69"/>
      <c r="Y85" s="69"/>
      <c r="Z85" s="69"/>
      <c r="AA85" s="69"/>
      <c r="AB85" s="69"/>
      <c r="AC85" s="69"/>
      <c r="AD85" s="69"/>
      <c r="AE85" s="69"/>
      <c r="AF85" s="69"/>
      <c r="AG85" s="69"/>
      <c r="AH85" s="69"/>
      <c r="AI85" s="69"/>
      <c r="AJ85" s="69"/>
      <c r="AK85" s="69"/>
      <c r="AL85" s="69"/>
      <c r="AM85" s="69"/>
      <c r="AN85" s="69"/>
      <c r="AO85" s="69"/>
      <c r="AP85" s="69"/>
      <c r="AQ85" s="69"/>
      <c r="AR85" s="69"/>
      <c r="AS85" s="69"/>
      <c r="AT85" s="69"/>
    </row>
  </sheetData>
  <sheetProtection insertColumns="0" insertRows="0" deleteColumns="0" deleteRows="0" autoFilter="0"/>
  <mergeCells count="654">
    <mergeCell ref="AX41:AX42"/>
    <mergeCell ref="AY41:AY42"/>
    <mergeCell ref="AZ41:AZ42"/>
    <mergeCell ref="AO41:AO42"/>
    <mergeCell ref="AP41:AP42"/>
    <mergeCell ref="AQ41:AQ42"/>
    <mergeCell ref="AR41:AR42"/>
    <mergeCell ref="AS41:AS42"/>
    <mergeCell ref="AT41:AT42"/>
    <mergeCell ref="AU41:AU42"/>
    <mergeCell ref="AV41:AV42"/>
    <mergeCell ref="AW41:AW42"/>
    <mergeCell ref="A41:A42"/>
    <mergeCell ref="B41:B42"/>
    <mergeCell ref="C41:C42"/>
    <mergeCell ref="D41:D42"/>
    <mergeCell ref="AJ41:AJ42"/>
    <mergeCell ref="AK41:AK42"/>
    <mergeCell ref="AL41:AL42"/>
    <mergeCell ref="AM41:AM42"/>
    <mergeCell ref="AN41:AN42"/>
    <mergeCell ref="AX37:AX38"/>
    <mergeCell ref="AY37:AY38"/>
    <mergeCell ref="AZ37:AZ38"/>
    <mergeCell ref="A23:A24"/>
    <mergeCell ref="B23:B24"/>
    <mergeCell ref="C23:C24"/>
    <mergeCell ref="D23:D24"/>
    <mergeCell ref="AJ23:AJ24"/>
    <mergeCell ref="AK23:AK24"/>
    <mergeCell ref="AL23:AL24"/>
    <mergeCell ref="AM23:AM24"/>
    <mergeCell ref="AN23:AN24"/>
    <mergeCell ref="AO23:AO24"/>
    <mergeCell ref="AP23:AP24"/>
    <mergeCell ref="AQ23:AQ24"/>
    <mergeCell ref="AR23:AR24"/>
    <mergeCell ref="AS23:AS24"/>
    <mergeCell ref="AT23:AT24"/>
    <mergeCell ref="AU23:AU24"/>
    <mergeCell ref="AV23:AV24"/>
    <mergeCell ref="AW23:AW24"/>
    <mergeCell ref="AX23:AX24"/>
    <mergeCell ref="AY23:AY24"/>
    <mergeCell ref="AZ23:AZ24"/>
    <mergeCell ref="AO37:AO38"/>
    <mergeCell ref="AP37:AP38"/>
    <mergeCell ref="AQ37:AQ38"/>
    <mergeCell ref="AR37:AR38"/>
    <mergeCell ref="AS37:AS38"/>
    <mergeCell ref="AT37:AT38"/>
    <mergeCell ref="AU37:AU38"/>
    <mergeCell ref="AV37:AV38"/>
    <mergeCell ref="AW37:AW38"/>
    <mergeCell ref="A37:A38"/>
    <mergeCell ref="B37:B38"/>
    <mergeCell ref="C37:C38"/>
    <mergeCell ref="D37:D38"/>
    <mergeCell ref="AJ37:AJ38"/>
    <mergeCell ref="AK37:AK38"/>
    <mergeCell ref="AL37:AL38"/>
    <mergeCell ref="AM37:AM38"/>
    <mergeCell ref="AN37:AN38"/>
    <mergeCell ref="AX33:AX34"/>
    <mergeCell ref="AY33:AY34"/>
    <mergeCell ref="AZ33:AZ34"/>
    <mergeCell ref="AO33:AO34"/>
    <mergeCell ref="AP33:AP34"/>
    <mergeCell ref="AQ33:AQ34"/>
    <mergeCell ref="AR33:AR34"/>
    <mergeCell ref="AS33:AS34"/>
    <mergeCell ref="AT33:AT34"/>
    <mergeCell ref="AU33:AU34"/>
    <mergeCell ref="AV33:AV34"/>
    <mergeCell ref="AW33:AW34"/>
    <mergeCell ref="A33:A34"/>
    <mergeCell ref="B33:B34"/>
    <mergeCell ref="C33:C34"/>
    <mergeCell ref="D33:D34"/>
    <mergeCell ref="AJ33:AJ34"/>
    <mergeCell ref="AK33:AK34"/>
    <mergeCell ref="AL33:AL34"/>
    <mergeCell ref="AM33:AM34"/>
    <mergeCell ref="AN33:AN34"/>
    <mergeCell ref="AX43:AX44"/>
    <mergeCell ref="AY43:AY44"/>
    <mergeCell ref="AZ43:AZ44"/>
    <mergeCell ref="AO43:AO44"/>
    <mergeCell ref="AP43:AP44"/>
    <mergeCell ref="AQ43:AQ44"/>
    <mergeCell ref="AR43:AR44"/>
    <mergeCell ref="AS43:AS44"/>
    <mergeCell ref="AT43:AT44"/>
    <mergeCell ref="AU43:AU44"/>
    <mergeCell ref="AV43:AV44"/>
    <mergeCell ref="AW43:AW44"/>
    <mergeCell ref="A43:A44"/>
    <mergeCell ref="B43:B44"/>
    <mergeCell ref="C43:C44"/>
    <mergeCell ref="D43:D44"/>
    <mergeCell ref="AJ43:AJ44"/>
    <mergeCell ref="AK43:AK44"/>
    <mergeCell ref="AL43:AL44"/>
    <mergeCell ref="AM43:AM44"/>
    <mergeCell ref="AN43:AN44"/>
    <mergeCell ref="AN67:AN68"/>
    <mergeCell ref="AX67:AX68"/>
    <mergeCell ref="AY67:AY68"/>
    <mergeCell ref="AZ67:AZ68"/>
    <mergeCell ref="AO67:AO68"/>
    <mergeCell ref="AP67:AP68"/>
    <mergeCell ref="AQ67:AQ68"/>
    <mergeCell ref="AR67:AR68"/>
    <mergeCell ref="AS67:AS68"/>
    <mergeCell ref="AT67:AT68"/>
    <mergeCell ref="AU67:AU68"/>
    <mergeCell ref="AV67:AV68"/>
    <mergeCell ref="A47:A48"/>
    <mergeCell ref="B47:B48"/>
    <mergeCell ref="C47:C48"/>
    <mergeCell ref="D47:D48"/>
    <mergeCell ref="AJ47:AJ48"/>
    <mergeCell ref="AK51:AK52"/>
    <mergeCell ref="AQ47:AQ48"/>
    <mergeCell ref="AR47:AR48"/>
    <mergeCell ref="AP47:AP48"/>
    <mergeCell ref="AK47:AK48"/>
    <mergeCell ref="AL47:AL48"/>
    <mergeCell ref="AM47:AM48"/>
    <mergeCell ref="AN47:AN48"/>
    <mergeCell ref="AP51:AP52"/>
    <mergeCell ref="AN51:AN52"/>
    <mergeCell ref="AO51:AO52"/>
    <mergeCell ref="A49:A50"/>
    <mergeCell ref="B49:B50"/>
    <mergeCell ref="C49:C50"/>
    <mergeCell ref="D49:D50"/>
    <mergeCell ref="AJ49:AJ50"/>
    <mergeCell ref="AK49:AK50"/>
    <mergeCell ref="AL49:AL50"/>
    <mergeCell ref="AM49:AM50"/>
    <mergeCell ref="A69:A70"/>
    <mergeCell ref="B69:B70"/>
    <mergeCell ref="C69:C70"/>
    <mergeCell ref="D69:D70"/>
    <mergeCell ref="AJ69:AJ70"/>
    <mergeCell ref="AK69:AK70"/>
    <mergeCell ref="AL69:AL70"/>
    <mergeCell ref="AM69:AM70"/>
    <mergeCell ref="B51:B52"/>
    <mergeCell ref="C51:C52"/>
    <mergeCell ref="D51:D52"/>
    <mergeCell ref="A51:A52"/>
    <mergeCell ref="AJ51:AJ52"/>
    <mergeCell ref="AL51:AL52"/>
    <mergeCell ref="AM51:AM52"/>
    <mergeCell ref="A67:A68"/>
    <mergeCell ref="B67:B68"/>
    <mergeCell ref="C67:C68"/>
    <mergeCell ref="D67:D68"/>
    <mergeCell ref="AJ67:AJ68"/>
    <mergeCell ref="AK67:AK68"/>
    <mergeCell ref="AL67:AL68"/>
    <mergeCell ref="AM67:AM68"/>
    <mergeCell ref="A57:A58"/>
    <mergeCell ref="AQ12:AQ15"/>
    <mergeCell ref="AX47:AX48"/>
    <mergeCell ref="AT47:AT48"/>
    <mergeCell ref="AU47:AU48"/>
    <mergeCell ref="AO47:AO48"/>
    <mergeCell ref="AS47:AS48"/>
    <mergeCell ref="AV47:AV48"/>
    <mergeCell ref="AZ13:AZ15"/>
    <mergeCell ref="AY13:AY15"/>
    <mergeCell ref="AY47:AY48"/>
    <mergeCell ref="AZ47:AZ48"/>
    <mergeCell ref="AW47:AW48"/>
    <mergeCell ref="AX17:AX18"/>
    <mergeCell ref="AY17:AY18"/>
    <mergeCell ref="AZ17:AZ18"/>
    <mergeCell ref="AV17:AV18"/>
    <mergeCell ref="AW17:AW18"/>
    <mergeCell ref="AO17:AO18"/>
    <mergeCell ref="AP17:AP18"/>
    <mergeCell ref="AQ17:AQ18"/>
    <mergeCell ref="AR17:AR18"/>
    <mergeCell ref="AS17:AS18"/>
    <mergeCell ref="AT17:AT18"/>
    <mergeCell ref="AU17:AU18"/>
    <mergeCell ref="C8:F8"/>
    <mergeCell ref="W8:Y8"/>
    <mergeCell ref="Z8:AB8"/>
    <mergeCell ref="E13:E15"/>
    <mergeCell ref="AS13:AS15"/>
    <mergeCell ref="AT13:AT15"/>
    <mergeCell ref="AU13:AU15"/>
    <mergeCell ref="AV13:AV15"/>
    <mergeCell ref="AX13:AX15"/>
    <mergeCell ref="AG13:AG15"/>
    <mergeCell ref="AH13:AH15"/>
    <mergeCell ref="AI13:AI15"/>
    <mergeCell ref="AJ13:AJ15"/>
    <mergeCell ref="AK13:AO13"/>
    <mergeCell ref="AR13:AR15"/>
    <mergeCell ref="AW13:AW15"/>
    <mergeCell ref="AA13:AA15"/>
    <mergeCell ref="AB13:AB15"/>
    <mergeCell ref="T13:T15"/>
    <mergeCell ref="G13:G15"/>
    <mergeCell ref="H13:H15"/>
    <mergeCell ref="I13:I15"/>
    <mergeCell ref="J13:J15"/>
    <mergeCell ref="AP12:AP15"/>
    <mergeCell ref="AK14:AK15"/>
    <mergeCell ref="AL14:AO14"/>
    <mergeCell ref="E16:AI16"/>
    <mergeCell ref="AK16:AO16"/>
    <mergeCell ref="A2:N2"/>
    <mergeCell ref="AJ12:AO12"/>
    <mergeCell ref="W2:AB2"/>
    <mergeCell ref="W3:Y3"/>
    <mergeCell ref="Z3:AB3"/>
    <mergeCell ref="W4:Y4"/>
    <mergeCell ref="Z4:AB4"/>
    <mergeCell ref="A12:A15"/>
    <mergeCell ref="B12:B15"/>
    <mergeCell ref="C12:C15"/>
    <mergeCell ref="D12:D15"/>
    <mergeCell ref="E12:AI12"/>
    <mergeCell ref="L13:L15"/>
    <mergeCell ref="M13:M15"/>
    <mergeCell ref="N13:N15"/>
    <mergeCell ref="A5:N5"/>
    <mergeCell ref="A6:N6"/>
    <mergeCell ref="W6:Y7"/>
    <mergeCell ref="Z6:AB7"/>
    <mergeCell ref="A8:B8"/>
    <mergeCell ref="AC13:AC15"/>
    <mergeCell ref="AD13:AD15"/>
    <mergeCell ref="AE13:AE15"/>
    <mergeCell ref="AF13:AF15"/>
    <mergeCell ref="U13:U15"/>
    <mergeCell ref="V13:V15"/>
    <mergeCell ref="W13:W15"/>
    <mergeCell ref="X13:X15"/>
    <mergeCell ref="Y13:Y15"/>
    <mergeCell ref="Z13:Z15"/>
    <mergeCell ref="F13:F15"/>
    <mergeCell ref="K13:K15"/>
    <mergeCell ref="H9:S9"/>
    <mergeCell ref="D10:P10"/>
    <mergeCell ref="O13:O15"/>
    <mergeCell ref="P13:P15"/>
    <mergeCell ref="Q13:Q15"/>
    <mergeCell ref="R13:R15"/>
    <mergeCell ref="S13:S15"/>
    <mergeCell ref="E84:Q84"/>
    <mergeCell ref="E85:Q85"/>
    <mergeCell ref="A72:C72"/>
    <mergeCell ref="D72:I72"/>
    <mergeCell ref="K72:M72"/>
    <mergeCell ref="O72:S72"/>
    <mergeCell ref="U72:Y72"/>
    <mergeCell ref="D73:I73"/>
    <mergeCell ref="K73:M73"/>
    <mergeCell ref="O73:S73"/>
    <mergeCell ref="D74:I74"/>
    <mergeCell ref="K74:M74"/>
    <mergeCell ref="O74:S74"/>
    <mergeCell ref="U74:Y74"/>
    <mergeCell ref="D75:I75"/>
    <mergeCell ref="K75:M75"/>
    <mergeCell ref="O75:S75"/>
    <mergeCell ref="AO69:AO70"/>
    <mergeCell ref="AQ51:AQ52"/>
    <mergeCell ref="AR51:AR52"/>
    <mergeCell ref="AN69:AN70"/>
    <mergeCell ref="AP69:AP70"/>
    <mergeCell ref="AQ69:AQ70"/>
    <mergeCell ref="AR69:AR70"/>
    <mergeCell ref="AX69:AX70"/>
    <mergeCell ref="AZ51:AZ52"/>
    <mergeCell ref="AS51:AS52"/>
    <mergeCell ref="AT51:AT52"/>
    <mergeCell ref="AU69:AU70"/>
    <mergeCell ref="AV69:AV70"/>
    <mergeCell ref="AS69:AS70"/>
    <mergeCell ref="AZ69:AZ70"/>
    <mergeCell ref="AX51:AX52"/>
    <mergeCell ref="AY51:AY52"/>
    <mergeCell ref="AT69:AT70"/>
    <mergeCell ref="AY69:AY70"/>
    <mergeCell ref="AW51:AW52"/>
    <mergeCell ref="AW69:AW70"/>
    <mergeCell ref="AU51:AU52"/>
    <mergeCell ref="AV51:AV52"/>
    <mergeCell ref="AW67:AW68"/>
    <mergeCell ref="A17:A18"/>
    <mergeCell ref="B17:B18"/>
    <mergeCell ref="C17:C18"/>
    <mergeCell ref="D17:D18"/>
    <mergeCell ref="AJ17:AJ18"/>
    <mergeCell ref="AK17:AK18"/>
    <mergeCell ref="AL17:AL18"/>
    <mergeCell ref="AM17:AM18"/>
    <mergeCell ref="AN17:AN18"/>
    <mergeCell ref="A21:A22"/>
    <mergeCell ref="B21:B22"/>
    <mergeCell ref="C21:C22"/>
    <mergeCell ref="D21:D22"/>
    <mergeCell ref="AJ21:AJ22"/>
    <mergeCell ref="AK21:AK22"/>
    <mergeCell ref="AL21:AL22"/>
    <mergeCell ref="AM21:AM22"/>
    <mergeCell ref="AN21:AN22"/>
    <mergeCell ref="AO21:AO22"/>
    <mergeCell ref="AP21:AP22"/>
    <mergeCell ref="AQ21:AQ22"/>
    <mergeCell ref="AR21:AR22"/>
    <mergeCell ref="AS21:AS22"/>
    <mergeCell ref="AT21:AT22"/>
    <mergeCell ref="AU21:AU22"/>
    <mergeCell ref="AV21:AV22"/>
    <mergeCell ref="AW21:AW22"/>
    <mergeCell ref="AX21:AX22"/>
    <mergeCell ref="AY21:AY22"/>
    <mergeCell ref="AZ21:AZ22"/>
    <mergeCell ref="A25:A26"/>
    <mergeCell ref="B25:B26"/>
    <mergeCell ref="C25:C26"/>
    <mergeCell ref="D25:D26"/>
    <mergeCell ref="AJ25:AJ26"/>
    <mergeCell ref="AK25:AK26"/>
    <mergeCell ref="AL25:AL26"/>
    <mergeCell ref="AM25:AM26"/>
    <mergeCell ref="AN25:AN26"/>
    <mergeCell ref="AO25:AO26"/>
    <mergeCell ref="AP25:AP26"/>
    <mergeCell ref="AQ25:AQ26"/>
    <mergeCell ref="AR25:AR26"/>
    <mergeCell ref="AS25:AS26"/>
    <mergeCell ref="AT25:AT26"/>
    <mergeCell ref="AU25:AU26"/>
    <mergeCell ref="AV25:AV26"/>
    <mergeCell ref="AW25:AW26"/>
    <mergeCell ref="AX25:AX26"/>
    <mergeCell ref="AY25:AY26"/>
    <mergeCell ref="AZ25:AZ26"/>
    <mergeCell ref="A27:A28"/>
    <mergeCell ref="B27:B28"/>
    <mergeCell ref="C27:C28"/>
    <mergeCell ref="D27:D28"/>
    <mergeCell ref="AJ27:AJ28"/>
    <mergeCell ref="AK27:AK28"/>
    <mergeCell ref="AL27:AL28"/>
    <mergeCell ref="AM27:AM28"/>
    <mergeCell ref="AN27:AN28"/>
    <mergeCell ref="AO27:AO28"/>
    <mergeCell ref="AP27:AP28"/>
    <mergeCell ref="AQ27:AQ28"/>
    <mergeCell ref="AR27:AR28"/>
    <mergeCell ref="AS27:AS28"/>
    <mergeCell ref="AT27:AT28"/>
    <mergeCell ref="AU27:AU28"/>
    <mergeCell ref="AV27:AV28"/>
    <mergeCell ref="AW27:AW28"/>
    <mergeCell ref="AX27:AX28"/>
    <mergeCell ref="AY27:AY28"/>
    <mergeCell ref="AZ27:AZ28"/>
    <mergeCell ref="A29:A30"/>
    <mergeCell ref="B29:B30"/>
    <mergeCell ref="C29:C30"/>
    <mergeCell ref="D29:D30"/>
    <mergeCell ref="AJ29:AJ30"/>
    <mergeCell ref="AK29:AK30"/>
    <mergeCell ref="AL29:AL30"/>
    <mergeCell ref="AM29:AM30"/>
    <mergeCell ref="AN29:AN30"/>
    <mergeCell ref="AO29:AO30"/>
    <mergeCell ref="AP29:AP30"/>
    <mergeCell ref="AQ29:AQ30"/>
    <mergeCell ref="AR29:AR30"/>
    <mergeCell ref="AS29:AS30"/>
    <mergeCell ref="AT29:AT30"/>
    <mergeCell ref="AU29:AU30"/>
    <mergeCell ref="AV29:AV30"/>
    <mergeCell ref="AW29:AW30"/>
    <mergeCell ref="AX29:AX30"/>
    <mergeCell ref="AY29:AY30"/>
    <mergeCell ref="AZ29:AZ30"/>
    <mergeCell ref="A31:A32"/>
    <mergeCell ref="B31:B32"/>
    <mergeCell ref="C31:C32"/>
    <mergeCell ref="D31:D32"/>
    <mergeCell ref="AJ31:AJ32"/>
    <mergeCell ref="AK31:AK32"/>
    <mergeCell ref="AL31:AL32"/>
    <mergeCell ref="AM31:AM32"/>
    <mergeCell ref="AN31:AN32"/>
    <mergeCell ref="AO31:AO32"/>
    <mergeCell ref="AP31:AP32"/>
    <mergeCell ref="AQ31:AQ32"/>
    <mergeCell ref="AR31:AR32"/>
    <mergeCell ref="AS31:AS32"/>
    <mergeCell ref="AT31:AT32"/>
    <mergeCell ref="AU31:AU32"/>
    <mergeCell ref="AV31:AV32"/>
    <mergeCell ref="AW31:AW32"/>
    <mergeCell ref="AX31:AX32"/>
    <mergeCell ref="AY31:AY32"/>
    <mergeCell ref="AZ31:AZ32"/>
    <mergeCell ref="A35:A36"/>
    <mergeCell ref="B35:B36"/>
    <mergeCell ref="C35:C36"/>
    <mergeCell ref="D35:D36"/>
    <mergeCell ref="AJ35:AJ36"/>
    <mergeCell ref="AK35:AK36"/>
    <mergeCell ref="AL35:AL36"/>
    <mergeCell ref="AM35:AM36"/>
    <mergeCell ref="AN35:AN36"/>
    <mergeCell ref="AO35:AO36"/>
    <mergeCell ref="AP35:AP36"/>
    <mergeCell ref="AQ35:AQ36"/>
    <mergeCell ref="AR35:AR36"/>
    <mergeCell ref="AS35:AS36"/>
    <mergeCell ref="AT35:AT36"/>
    <mergeCell ref="AU35:AU36"/>
    <mergeCell ref="AV35:AV36"/>
    <mergeCell ref="AW35:AW36"/>
    <mergeCell ref="AX35:AX36"/>
    <mergeCell ref="AY35:AY36"/>
    <mergeCell ref="AZ35:AZ36"/>
    <mergeCell ref="A39:A40"/>
    <mergeCell ref="B39:B40"/>
    <mergeCell ref="C39:C40"/>
    <mergeCell ref="D39:D40"/>
    <mergeCell ref="AJ39:AJ40"/>
    <mergeCell ref="AK39:AK40"/>
    <mergeCell ref="AL39:AL40"/>
    <mergeCell ref="AM39:AM40"/>
    <mergeCell ref="AN39:AN40"/>
    <mergeCell ref="AO39:AO40"/>
    <mergeCell ref="AP39:AP40"/>
    <mergeCell ref="AQ39:AQ40"/>
    <mergeCell ref="AR39:AR40"/>
    <mergeCell ref="AS39:AS40"/>
    <mergeCell ref="AT39:AT40"/>
    <mergeCell ref="AU39:AU40"/>
    <mergeCell ref="AV39:AV40"/>
    <mergeCell ref="AW39:AW40"/>
    <mergeCell ref="AX39:AX40"/>
    <mergeCell ref="AY39:AY40"/>
    <mergeCell ref="AZ39:AZ40"/>
    <mergeCell ref="A45:A46"/>
    <mergeCell ref="B45:B46"/>
    <mergeCell ref="C45:C46"/>
    <mergeCell ref="D45:D46"/>
    <mergeCell ref="AJ45:AJ46"/>
    <mergeCell ref="AK45:AK46"/>
    <mergeCell ref="AL45:AL46"/>
    <mergeCell ref="AM45:AM46"/>
    <mergeCell ref="AN45:AN46"/>
    <mergeCell ref="AO45:AO46"/>
    <mergeCell ref="AP45:AP46"/>
    <mergeCell ref="AQ45:AQ46"/>
    <mergeCell ref="AR45:AR46"/>
    <mergeCell ref="AS45:AS46"/>
    <mergeCell ref="AT45:AT46"/>
    <mergeCell ref="AU45:AU46"/>
    <mergeCell ref="AV45:AV46"/>
    <mergeCell ref="AW45:AW46"/>
    <mergeCell ref="AX45:AX46"/>
    <mergeCell ref="AY45:AY46"/>
    <mergeCell ref="AZ45:AZ46"/>
    <mergeCell ref="AN49:AN50"/>
    <mergeCell ref="AO49:AO50"/>
    <mergeCell ref="AP49:AP50"/>
    <mergeCell ref="AQ49:AQ50"/>
    <mergeCell ref="AR49:AR50"/>
    <mergeCell ref="AS49:AS50"/>
    <mergeCell ref="AT49:AT50"/>
    <mergeCell ref="AU49:AU50"/>
    <mergeCell ref="AV49:AV50"/>
    <mergeCell ref="AW49:AW50"/>
    <mergeCell ref="AX49:AX50"/>
    <mergeCell ref="AY49:AY50"/>
    <mergeCell ref="AZ49:AZ50"/>
    <mergeCell ref="A53:A54"/>
    <mergeCell ref="B53:B54"/>
    <mergeCell ref="C53:C54"/>
    <mergeCell ref="D53:D54"/>
    <mergeCell ref="AJ53:AJ54"/>
    <mergeCell ref="AK53:AK54"/>
    <mergeCell ref="AL53:AL54"/>
    <mergeCell ref="AM53:AM54"/>
    <mergeCell ref="AN53:AN54"/>
    <mergeCell ref="AO53:AO54"/>
    <mergeCell ref="AP53:AP54"/>
    <mergeCell ref="AQ53:AQ54"/>
    <mergeCell ref="AR53:AR54"/>
    <mergeCell ref="AS53:AS54"/>
    <mergeCell ref="AT53:AT54"/>
    <mergeCell ref="AU53:AU54"/>
    <mergeCell ref="AV53:AV54"/>
    <mergeCell ref="AW53:AW54"/>
    <mergeCell ref="AX53:AX54"/>
    <mergeCell ref="AY53:AY54"/>
    <mergeCell ref="AZ53:AZ54"/>
    <mergeCell ref="A55:A56"/>
    <mergeCell ref="B55:B56"/>
    <mergeCell ref="C55:C56"/>
    <mergeCell ref="D55:D56"/>
    <mergeCell ref="AJ55:AJ56"/>
    <mergeCell ref="AK55:AK56"/>
    <mergeCell ref="AL55:AL56"/>
    <mergeCell ref="AM55:AM56"/>
    <mergeCell ref="AN55:AN56"/>
    <mergeCell ref="AO55:AO56"/>
    <mergeCell ref="AP55:AP56"/>
    <mergeCell ref="AQ55:AQ56"/>
    <mergeCell ref="AR55:AR56"/>
    <mergeCell ref="AS55:AS56"/>
    <mergeCell ref="AT55:AT56"/>
    <mergeCell ref="AU55:AU56"/>
    <mergeCell ref="AV55:AV56"/>
    <mergeCell ref="AW55:AW56"/>
    <mergeCell ref="AX55:AX56"/>
    <mergeCell ref="AY55:AY56"/>
    <mergeCell ref="AZ55:AZ56"/>
    <mergeCell ref="AQ57:AQ58"/>
    <mergeCell ref="AR57:AR58"/>
    <mergeCell ref="AS57:AS58"/>
    <mergeCell ref="AT57:AT58"/>
    <mergeCell ref="AU57:AU58"/>
    <mergeCell ref="AV57:AV58"/>
    <mergeCell ref="AW57:AW58"/>
    <mergeCell ref="AX57:AX58"/>
    <mergeCell ref="B57:B58"/>
    <mergeCell ref="C57:C58"/>
    <mergeCell ref="D57:D58"/>
    <mergeCell ref="AJ57:AJ58"/>
    <mergeCell ref="AK57:AK58"/>
    <mergeCell ref="AL57:AL58"/>
    <mergeCell ref="AM57:AM58"/>
    <mergeCell ref="AN57:AN58"/>
    <mergeCell ref="AO57:AO58"/>
    <mergeCell ref="AY57:AY58"/>
    <mergeCell ref="AZ57:AZ58"/>
    <mergeCell ref="A59:A60"/>
    <mergeCell ref="B59:B60"/>
    <mergeCell ref="C59:C60"/>
    <mergeCell ref="D59:D60"/>
    <mergeCell ref="AJ59:AJ60"/>
    <mergeCell ref="AK59:AK60"/>
    <mergeCell ref="AL59:AL60"/>
    <mergeCell ref="AM59:AM60"/>
    <mergeCell ref="AN59:AN60"/>
    <mergeCell ref="AO59:AO60"/>
    <mergeCell ref="AP59:AP60"/>
    <mergeCell ref="AQ59:AQ60"/>
    <mergeCell ref="AR59:AR60"/>
    <mergeCell ref="AS59:AS60"/>
    <mergeCell ref="AT59:AT60"/>
    <mergeCell ref="AU59:AU60"/>
    <mergeCell ref="AV59:AV60"/>
    <mergeCell ref="AW59:AW60"/>
    <mergeCell ref="AX59:AX60"/>
    <mergeCell ref="AY59:AY60"/>
    <mergeCell ref="AZ59:AZ60"/>
    <mergeCell ref="AP57:AP58"/>
    <mergeCell ref="A61:A62"/>
    <mergeCell ref="B61:B62"/>
    <mergeCell ref="C61:C62"/>
    <mergeCell ref="D61:D62"/>
    <mergeCell ref="AJ61:AJ62"/>
    <mergeCell ref="AK61:AK62"/>
    <mergeCell ref="AL61:AL62"/>
    <mergeCell ref="AM61:AM62"/>
    <mergeCell ref="AN61:AN62"/>
    <mergeCell ref="AO61:AO62"/>
    <mergeCell ref="AP61:AP62"/>
    <mergeCell ref="AQ61:AQ62"/>
    <mergeCell ref="AR61:AR62"/>
    <mergeCell ref="AS61:AS62"/>
    <mergeCell ref="AT61:AT62"/>
    <mergeCell ref="AU61:AU62"/>
    <mergeCell ref="AV61:AV62"/>
    <mergeCell ref="AW61:AW62"/>
    <mergeCell ref="AX61:AX62"/>
    <mergeCell ref="AY61:AY62"/>
    <mergeCell ref="AZ61:AZ62"/>
    <mergeCell ref="A63:A64"/>
    <mergeCell ref="B63:B64"/>
    <mergeCell ref="C63:C64"/>
    <mergeCell ref="D63:D64"/>
    <mergeCell ref="AJ63:AJ64"/>
    <mergeCell ref="AK63:AK64"/>
    <mergeCell ref="AL63:AL64"/>
    <mergeCell ref="AM63:AM64"/>
    <mergeCell ref="AN63:AN64"/>
    <mergeCell ref="AO63:AO64"/>
    <mergeCell ref="AP63:AP64"/>
    <mergeCell ref="AQ63:AQ64"/>
    <mergeCell ref="AR63:AR64"/>
    <mergeCell ref="AS63:AS64"/>
    <mergeCell ref="AT63:AT64"/>
    <mergeCell ref="AU63:AU64"/>
    <mergeCell ref="AV63:AV64"/>
    <mergeCell ref="AW63:AW64"/>
    <mergeCell ref="AX63:AX64"/>
    <mergeCell ref="AY63:AY64"/>
    <mergeCell ref="AZ63:AZ64"/>
    <mergeCell ref="A65:A66"/>
    <mergeCell ref="B65:B66"/>
    <mergeCell ref="C65:C66"/>
    <mergeCell ref="D65:D66"/>
    <mergeCell ref="AJ65:AJ66"/>
    <mergeCell ref="AK65:AK66"/>
    <mergeCell ref="AL65:AL66"/>
    <mergeCell ref="AM65:AM66"/>
    <mergeCell ref="AN65:AN66"/>
    <mergeCell ref="AO65:AO66"/>
    <mergeCell ref="AP65:AP66"/>
    <mergeCell ref="AQ65:AQ66"/>
    <mergeCell ref="AR65:AR66"/>
    <mergeCell ref="AS65:AS66"/>
    <mergeCell ref="AT65:AT66"/>
    <mergeCell ref="AU65:AU66"/>
    <mergeCell ref="AV65:AV66"/>
    <mergeCell ref="AW65:AW66"/>
    <mergeCell ref="AX65:AX66"/>
    <mergeCell ref="AY65:AY66"/>
    <mergeCell ref="AZ65:AZ66"/>
    <mergeCell ref="A19:A20"/>
    <mergeCell ref="B19:B20"/>
    <mergeCell ref="C19:C20"/>
    <mergeCell ref="D19:D20"/>
    <mergeCell ref="AJ19:AJ20"/>
    <mergeCell ref="AK19:AK20"/>
    <mergeCell ref="AL19:AL20"/>
    <mergeCell ref="AM19:AM20"/>
    <mergeCell ref="AN19:AN20"/>
    <mergeCell ref="AO19:AO20"/>
    <mergeCell ref="AP19:AP20"/>
    <mergeCell ref="AQ19:AQ20"/>
    <mergeCell ref="AR19:AR20"/>
    <mergeCell ref="AS19:AS20"/>
    <mergeCell ref="AT19:AT20"/>
    <mergeCell ref="AU19:AU20"/>
    <mergeCell ref="AV19:AV20"/>
    <mergeCell ref="AW19:AW20"/>
    <mergeCell ref="AX19:AX20"/>
    <mergeCell ref="AY19:AY20"/>
    <mergeCell ref="AZ19:AZ20"/>
  </mergeCells>
  <conditionalFormatting sqref="E17">
    <cfRule type="expression" dxfId="930" priority="73" stopIfTrue="1">
      <formula>(E17="Р")</formula>
    </cfRule>
    <cfRule type="expression" dxfId="929" priority="74" stopIfTrue="1">
      <formula>(E17="ВЧ")</formula>
    </cfRule>
    <cfRule type="expression" dxfId="928" priority="75" stopIfTrue="1">
      <formula>(E17="ВЧ1")</formula>
    </cfRule>
    <cfRule type="expression" dxfId="927" priority="76" stopIfTrue="1">
      <formula>(E17="ВЧ2")</formula>
    </cfRule>
    <cfRule type="expression" dxfId="926" priority="77" stopIfTrue="1">
      <formula>(E17="РН")</formula>
    </cfRule>
    <cfRule type="expression" dxfId="925" priority="78" stopIfTrue="1">
      <formula>(E17="НУ")</formula>
    </cfRule>
    <cfRule type="expression" dxfId="924" priority="79" stopIfTrue="1">
      <formula>(E17="Р1")</formula>
    </cfRule>
    <cfRule type="expression" dxfId="923" priority="80" stopIfTrue="1">
      <formula>(E17="Р2")</formula>
    </cfRule>
    <cfRule type="expression" dxfId="922" priority="81" stopIfTrue="1">
      <formula>(E17="Р1/РВ")</formula>
    </cfRule>
    <cfRule type="expression" dxfId="921" priority="82" stopIfTrue="1">
      <formula>(E17="Р2/РВ")</formula>
    </cfRule>
    <cfRule type="expression" dxfId="920" priority="83" stopIfTrue="1">
      <formula>(E17="ВЧ/РВ")</formula>
    </cfRule>
    <cfRule type="expression" priority="84" stopIfTrue="1">
      <formula>(E17="РН/РВ")</formula>
    </cfRule>
  </conditionalFormatting>
  <conditionalFormatting sqref="F17:AI17">
    <cfRule type="expression" dxfId="919" priority="61" stopIfTrue="1">
      <formula>(F17="Р")</formula>
    </cfRule>
    <cfRule type="expression" dxfId="918" priority="62" stopIfTrue="1">
      <formula>(F17="ВЧ")</formula>
    </cfRule>
    <cfRule type="expression" dxfId="917" priority="63" stopIfTrue="1">
      <formula>(F17="ВЧ1")</formula>
    </cfRule>
    <cfRule type="expression" dxfId="916" priority="64" stopIfTrue="1">
      <formula>(F17="ВЧ2")</formula>
    </cfRule>
    <cfRule type="expression" dxfId="915" priority="65" stopIfTrue="1">
      <formula>(F17="РН")</formula>
    </cfRule>
    <cfRule type="expression" dxfId="914" priority="66" stopIfTrue="1">
      <formula>(F17="НУ")</formula>
    </cfRule>
    <cfRule type="expression" dxfId="913" priority="67" stopIfTrue="1">
      <formula>(F17="Р1")</formula>
    </cfRule>
    <cfRule type="expression" dxfId="912" priority="68" stopIfTrue="1">
      <formula>(F17="Р2")</formula>
    </cfRule>
    <cfRule type="expression" dxfId="911" priority="69" stopIfTrue="1">
      <formula>(F17="Р1/РВ")</formula>
    </cfRule>
    <cfRule type="expression" dxfId="910" priority="70" stopIfTrue="1">
      <formula>(F17="Р2/РВ")</formula>
    </cfRule>
    <cfRule type="expression" dxfId="909" priority="71" stopIfTrue="1">
      <formula>(F17="ВЧ/РВ")</formula>
    </cfRule>
    <cfRule type="expression" priority="72" stopIfTrue="1">
      <formula>(F17="РН/РВ")</formula>
    </cfRule>
  </conditionalFormatting>
  <conditionalFormatting sqref="E18">
    <cfRule type="expression" dxfId="908" priority="85" stopIfTrue="1">
      <formula>(E17="ВД")</formula>
    </cfRule>
    <cfRule type="expression" dxfId="907" priority="86" stopIfTrue="1">
      <formula>(E17="В")</formula>
    </cfRule>
    <cfRule type="expression" dxfId="906" priority="87" stopIfTrue="1">
      <formula>(E17="ВП")</formula>
    </cfRule>
    <cfRule type="expression" dxfId="905" priority="88" stopIfTrue="1">
      <formula>(E17="ДД")</formula>
    </cfRule>
    <cfRule type="expression" dxfId="904" priority="89" stopIfTrue="1">
      <formula>(E17="НА")</formula>
    </cfRule>
    <cfRule type="expression" dxfId="903" priority="90" stopIfTrue="1">
      <formula>(E17="Ч")</formula>
    </cfRule>
    <cfRule type="expression" dxfId="902" priority="91" stopIfTrue="1">
      <formula>(E17="Н")</formula>
    </cfRule>
    <cfRule type="expression" dxfId="901" priority="92" stopIfTrue="1">
      <formula>(E17="ТН")</formula>
    </cfRule>
    <cfRule type="expression" dxfId="900" priority="93" stopIfTrue="1">
      <formula>(E17="ДО")</formula>
    </cfRule>
    <cfRule type="expression" dxfId="899" priority="94" stopIfTrue="1">
      <formula>(E17="ІН")</formula>
    </cfRule>
    <cfRule type="expression" dxfId="898" priority="95" stopIfTrue="1">
      <formula>(E17="РВ")</formula>
    </cfRule>
    <cfRule type="expression" dxfId="897" priority="96" stopIfTrue="1">
      <formula>(E17="ВБ")</formula>
    </cfRule>
  </conditionalFormatting>
  <conditionalFormatting sqref="F18:AI18">
    <cfRule type="expression" dxfId="896" priority="49" stopIfTrue="1">
      <formula>(F17="ВД")</formula>
    </cfRule>
    <cfRule type="expression" dxfId="895" priority="50" stopIfTrue="1">
      <formula>(F17="В")</formula>
    </cfRule>
    <cfRule type="expression" dxfId="894" priority="51" stopIfTrue="1">
      <formula>(F17="ВП")</formula>
    </cfRule>
    <cfRule type="expression" dxfId="893" priority="52" stopIfTrue="1">
      <formula>(F17="ДД")</formula>
    </cfRule>
    <cfRule type="expression" dxfId="892" priority="53" stopIfTrue="1">
      <formula>(F17="НА")</formula>
    </cfRule>
    <cfRule type="expression" dxfId="891" priority="54" stopIfTrue="1">
      <formula>(F17="Ч")</formula>
    </cfRule>
    <cfRule type="expression" dxfId="890" priority="55" stopIfTrue="1">
      <formula>(F17="Н")</formula>
    </cfRule>
    <cfRule type="expression" dxfId="889" priority="56" stopIfTrue="1">
      <formula>(F17="ТН")</formula>
    </cfRule>
    <cfRule type="expression" dxfId="888" priority="57" stopIfTrue="1">
      <formula>(F17="ДО")</formula>
    </cfRule>
    <cfRule type="expression" dxfId="887" priority="58" stopIfTrue="1">
      <formula>(F17="ІН")</formula>
    </cfRule>
    <cfRule type="expression" dxfId="886" priority="59" stopIfTrue="1">
      <formula>(F17="РВ")</formula>
    </cfRule>
    <cfRule type="expression" dxfId="885" priority="60" stopIfTrue="1">
      <formula>(F17="ВБ")</formula>
    </cfRule>
  </conditionalFormatting>
  <conditionalFormatting sqref="E19 E21 E23 E25 E27 E29 E31 E33 E35 E37 E39 E41 E43 E45 E47 E49 E51 E53 E55 E57 E59 E61 E63 E65 E67">
    <cfRule type="expression" dxfId="884" priority="25" stopIfTrue="1">
      <formula>(E19="Р")</formula>
    </cfRule>
    <cfRule type="expression" dxfId="883" priority="26" stopIfTrue="1">
      <formula>(E19="ВЧ")</formula>
    </cfRule>
    <cfRule type="expression" dxfId="882" priority="27" stopIfTrue="1">
      <formula>(E19="ВЧ1")</formula>
    </cfRule>
    <cfRule type="expression" dxfId="881" priority="28" stopIfTrue="1">
      <formula>(E19="ВЧ2")</formula>
    </cfRule>
    <cfRule type="expression" dxfId="880" priority="29" stopIfTrue="1">
      <formula>(E19="РН")</formula>
    </cfRule>
    <cfRule type="expression" dxfId="879" priority="30" stopIfTrue="1">
      <formula>(E19="НУ")</formula>
    </cfRule>
    <cfRule type="expression" dxfId="878" priority="31" stopIfTrue="1">
      <formula>(E19="Р1")</formula>
    </cfRule>
    <cfRule type="expression" dxfId="877" priority="32" stopIfTrue="1">
      <formula>(E19="Р2")</formula>
    </cfRule>
    <cfRule type="expression" dxfId="876" priority="33" stopIfTrue="1">
      <formula>(E19="Р1/РВ")</formula>
    </cfRule>
    <cfRule type="expression" dxfId="875" priority="34" stopIfTrue="1">
      <formula>(E19="Р2/РВ")</formula>
    </cfRule>
    <cfRule type="expression" dxfId="874" priority="35" stopIfTrue="1">
      <formula>(E19="ВЧ/РВ")</formula>
    </cfRule>
    <cfRule type="expression" priority="36" stopIfTrue="1">
      <formula>(E19="РН/РВ")</formula>
    </cfRule>
  </conditionalFormatting>
  <conditionalFormatting sqref="F19:AI19 F21:AI21 F23:AI23 F25:AI25 F27:AI27 F29:AI29 F31:AI31 F33:AI33 F35:AI35 F37:AI37 F39:AI39 F41:AI41 F43:AI43 F45:AI45 F47:AI47 F49:AI49 F51:AI51 F53:AI53 F55:AI55 F57:AI57 F59:AI59 F61:AI61 F63:AI63 F65:AI65 F67:AI67">
    <cfRule type="expression" dxfId="873" priority="13" stopIfTrue="1">
      <formula>(F19="Р")</formula>
    </cfRule>
    <cfRule type="expression" dxfId="872" priority="14" stopIfTrue="1">
      <formula>(F19="ВЧ")</formula>
    </cfRule>
    <cfRule type="expression" dxfId="871" priority="15" stopIfTrue="1">
      <formula>(F19="ВЧ1")</formula>
    </cfRule>
    <cfRule type="expression" dxfId="870" priority="16" stopIfTrue="1">
      <formula>(F19="ВЧ2")</formula>
    </cfRule>
    <cfRule type="expression" dxfId="869" priority="17" stopIfTrue="1">
      <formula>(F19="РН")</formula>
    </cfRule>
    <cfRule type="expression" dxfId="868" priority="18" stopIfTrue="1">
      <formula>(F19="НУ")</formula>
    </cfRule>
    <cfRule type="expression" dxfId="867" priority="19" stopIfTrue="1">
      <formula>(F19="Р1")</formula>
    </cfRule>
    <cfRule type="expression" dxfId="866" priority="20" stopIfTrue="1">
      <formula>(F19="Р2")</formula>
    </cfRule>
    <cfRule type="expression" dxfId="865" priority="21" stopIfTrue="1">
      <formula>(F19="Р1/РВ")</formula>
    </cfRule>
    <cfRule type="expression" dxfId="864" priority="22" stopIfTrue="1">
      <formula>(F19="Р2/РВ")</formula>
    </cfRule>
    <cfRule type="expression" dxfId="863" priority="23" stopIfTrue="1">
      <formula>(F19="ВЧ/РВ")</formula>
    </cfRule>
    <cfRule type="expression" priority="24" stopIfTrue="1">
      <formula>(F19="РН/РВ")</formula>
    </cfRule>
  </conditionalFormatting>
  <conditionalFormatting sqref="E20 E22 E24 E26 E28 E30 E32 E34 E36 E38 E40 E42 E44 E46 E48 E50 E52 E54 E56 E58 E60 E62 E64 E66 E68">
    <cfRule type="expression" dxfId="862" priority="37" stopIfTrue="1">
      <formula>(E19="ВД")</formula>
    </cfRule>
    <cfRule type="expression" dxfId="861" priority="38" stopIfTrue="1">
      <formula>(E19="В")</formula>
    </cfRule>
    <cfRule type="expression" dxfId="860" priority="39" stopIfTrue="1">
      <formula>(E19="ВП")</formula>
    </cfRule>
    <cfRule type="expression" dxfId="859" priority="40" stopIfTrue="1">
      <formula>(E19="ДД")</formula>
    </cfRule>
    <cfRule type="expression" dxfId="858" priority="41" stopIfTrue="1">
      <formula>(E19="НА")</formula>
    </cfRule>
    <cfRule type="expression" dxfId="857" priority="42" stopIfTrue="1">
      <formula>(E19="Ч")</formula>
    </cfRule>
    <cfRule type="expression" dxfId="856" priority="43" stopIfTrue="1">
      <formula>(E19="Н")</formula>
    </cfRule>
    <cfRule type="expression" dxfId="855" priority="44" stopIfTrue="1">
      <formula>(E19="ТН")</formula>
    </cfRule>
    <cfRule type="expression" dxfId="854" priority="45" stopIfTrue="1">
      <formula>(E19="ДО")</formula>
    </cfRule>
    <cfRule type="expression" dxfId="853" priority="46" stopIfTrue="1">
      <formula>(E19="ІН")</formula>
    </cfRule>
    <cfRule type="expression" dxfId="852" priority="47" stopIfTrue="1">
      <formula>(E19="РВ")</formula>
    </cfRule>
    <cfRule type="expression" dxfId="851" priority="48" stopIfTrue="1">
      <formula>(E19="ВБ")</formula>
    </cfRule>
  </conditionalFormatting>
  <conditionalFormatting sqref="F20:AI20 F22:AI22 F24:AI24 F26:AI26 F28:AI28 F30:AI30 F32:AI32 F34:AI34 F36:AI36 F38:AI38 F40:AI40 F42:AI42 F44:AI44 F46:AI46 F48:AI48 F50:AI50 F52:AI52 F54:AI54 F56:AI56 F58:AI58 F60:AI60 F62:AI62 F64:AI64 F66:AI66 F68:AI68">
    <cfRule type="expression" dxfId="850" priority="1" stopIfTrue="1">
      <formula>(F19="ВД")</formula>
    </cfRule>
    <cfRule type="expression" dxfId="849" priority="2" stopIfTrue="1">
      <formula>(F19="В")</formula>
    </cfRule>
    <cfRule type="expression" dxfId="848" priority="3" stopIfTrue="1">
      <formula>(F19="ВП")</formula>
    </cfRule>
    <cfRule type="expression" dxfId="847" priority="4" stopIfTrue="1">
      <formula>(F19="ДД")</formula>
    </cfRule>
    <cfRule type="expression" dxfId="846" priority="5" stopIfTrue="1">
      <formula>(F19="НА")</formula>
    </cfRule>
    <cfRule type="expression" dxfId="845" priority="6" stopIfTrue="1">
      <formula>(F19="Ч")</formula>
    </cfRule>
    <cfRule type="expression" dxfId="844" priority="7" stopIfTrue="1">
      <formula>(F19="Н")</formula>
    </cfRule>
    <cfRule type="expression" dxfId="843" priority="8" stopIfTrue="1">
      <formula>(F19="ТН")</formula>
    </cfRule>
    <cfRule type="expression" dxfId="842" priority="9" stopIfTrue="1">
      <formula>(F19="ДО")</formula>
    </cfRule>
    <cfRule type="expression" dxfId="841" priority="10" stopIfTrue="1">
      <formula>(F19="ІН")</formula>
    </cfRule>
    <cfRule type="expression" dxfId="840" priority="11" stopIfTrue="1">
      <formula>(F19="РВ")</formula>
    </cfRule>
    <cfRule type="expression" dxfId="839" priority="12" stopIfTrue="1">
      <formula>(F19="ВБ")</formula>
    </cfRule>
  </conditionalFormatting>
  <printOptions horizontalCentered="1"/>
  <pageMargins left="0.39370078740157483" right="0.39370078740157483" top="0.39370078740157483" bottom="0.39370078740157483" header="0" footer="0"/>
  <pageSetup paperSize="8" scale="82" fitToHeight="999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4" r:id="rId4" name="Button 4">
              <controlPr defaultSize="0" print="0" autoFill="0" autoPict="0" macro="[0]!Макрос1">
                <anchor moveWithCells="1" sizeWithCells="1">
                  <from>
                    <xdr:col>16</xdr:col>
                    <xdr:colOff>180975</xdr:colOff>
                    <xdr:row>1</xdr:row>
                    <xdr:rowOff>9525</xdr:rowOff>
                  </from>
                  <to>
                    <xdr:col>21</xdr:col>
                    <xdr:colOff>95250</xdr:colOff>
                    <xdr:row>2</xdr:row>
                    <xdr:rowOff>85725</xdr:rowOff>
                  </to>
                </anchor>
              </controlPr>
            </control>
          </mc:Choice>
        </mc:AlternateContent>
        <mc:AlternateContent xmlns:mc="http://schemas.openxmlformats.org/markup-compatibility/2006">
          <mc:Choice Requires="x14">
            <control shapeId="30725" r:id="rId5" name="Button 5">
              <controlPr defaultSize="0" print="0" autoFill="0" autoPict="0" macro="[0]!Макрос2">
                <anchor moveWithCells="1" sizeWithCells="1">
                  <from>
                    <xdr:col>16</xdr:col>
                    <xdr:colOff>180975</xdr:colOff>
                    <xdr:row>3</xdr:row>
                    <xdr:rowOff>66675</xdr:rowOff>
                  </from>
                  <to>
                    <xdr:col>21</xdr:col>
                    <xdr:colOff>104775</xdr:colOff>
                    <xdr:row>4</xdr:row>
                    <xdr:rowOff>104775</xdr:rowOff>
                  </to>
                </anchor>
              </controlPr>
            </control>
          </mc:Choice>
        </mc:AlternateContent>
        <mc:AlternateContent xmlns:mc="http://schemas.openxmlformats.org/markup-compatibility/2006">
          <mc:Choice Requires="x14">
            <control shapeId="30726" r:id="rId6" name="Button 6">
              <controlPr defaultSize="0" print="0" autoFill="0" autoPict="0" macro="[0]!Макрос3">
                <anchor moveWithCells="1" sizeWithCells="1">
                  <from>
                    <xdr:col>15</xdr:col>
                    <xdr:colOff>76200</xdr:colOff>
                    <xdr:row>5</xdr:row>
                    <xdr:rowOff>95250</xdr:rowOff>
                  </from>
                  <to>
                    <xdr:col>21</xdr:col>
                    <xdr:colOff>104775</xdr:colOff>
                    <xdr:row>6</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0">
    <pageSetUpPr fitToPage="1"/>
  </sheetPr>
  <dimension ref="A2:AZ87"/>
  <sheetViews>
    <sheetView showZeros="0" topLeftCell="C1" zoomScale="90" zoomScaleNormal="90" zoomScaleSheetLayoutView="80" workbookViewId="0">
      <pane ySplit="15" topLeftCell="A65" activePane="bottomLeft" state="frozen"/>
      <selection pane="bottomLeft" activeCell="AX71" sqref="AX71:AX72"/>
    </sheetView>
  </sheetViews>
  <sheetFormatPr defaultRowHeight="12.75" x14ac:dyDescent="0.2"/>
  <cols>
    <col min="1" max="1" width="5.28515625" style="1" customWidth="1"/>
    <col min="2" max="2" width="26.7109375" style="1" customWidth="1"/>
    <col min="3" max="3" width="5.85546875" style="13" customWidth="1"/>
    <col min="4" max="4" width="3.7109375" style="1" customWidth="1"/>
    <col min="5" max="5" width="4.28515625" style="1" customWidth="1"/>
    <col min="6" max="18" width="3.7109375" style="1" customWidth="1"/>
    <col min="19" max="19" width="4" style="1" customWidth="1"/>
    <col min="20" max="27" width="3.7109375" style="1" customWidth="1"/>
    <col min="28" max="28" width="4.7109375" style="1" customWidth="1"/>
    <col min="29" max="34" width="3.7109375" style="1" customWidth="1"/>
    <col min="35" max="35" width="4.5703125" style="1" customWidth="1"/>
    <col min="36" max="36" width="4.7109375" style="1" customWidth="1"/>
    <col min="37" max="37" width="7.140625" style="1" customWidth="1"/>
    <col min="38" max="42" width="4.7109375" style="1" customWidth="1"/>
    <col min="43" max="43" width="6.85546875" style="1" customWidth="1"/>
    <col min="44" max="45" width="4.7109375" style="1" customWidth="1"/>
    <col min="46" max="46" width="5.7109375" style="1" customWidth="1"/>
    <col min="47" max="48" width="4.7109375" style="1" customWidth="1"/>
    <col min="49" max="49" width="4.7109375" style="131" customWidth="1"/>
    <col min="50" max="52" width="4.7109375" style="1" customWidth="1"/>
    <col min="53" max="16384" width="9.140625" style="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98</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99</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2"/>
      <c r="U9" s="42"/>
      <c r="V9" s="42"/>
      <c r="W9" s="42"/>
      <c r="X9" s="42"/>
      <c r="Y9" s="42"/>
      <c r="Z9" s="42"/>
      <c r="AA9" s="42"/>
      <c r="AB9" s="42"/>
      <c r="AC9" s="42"/>
      <c r="AD9" s="42"/>
      <c r="AE9" s="42"/>
      <c r="AF9" s="42"/>
      <c r="AG9" s="42"/>
      <c r="AH9" s="42"/>
      <c r="AI9" s="42"/>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67">
        <v>1</v>
      </c>
      <c r="B16" s="66">
        <v>2</v>
      </c>
      <c r="C16" s="71">
        <v>3</v>
      </c>
      <c r="D16" s="71" t="s">
        <v>27</v>
      </c>
      <c r="E16" s="232">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43">
        <v>6</v>
      </c>
      <c r="AK16" s="233">
        <v>7</v>
      </c>
      <c r="AL16" s="232"/>
      <c r="AM16" s="232"/>
      <c r="AN16" s="232"/>
      <c r="AO16" s="234"/>
      <c r="AP16" s="43">
        <v>8</v>
      </c>
      <c r="AQ16" s="27">
        <v>9</v>
      </c>
      <c r="AR16" s="28"/>
      <c r="AS16" s="28"/>
      <c r="AT16" s="28"/>
      <c r="AU16" s="28"/>
      <c r="AV16" s="28"/>
      <c r="AW16" s="28"/>
      <c r="AX16" s="28"/>
      <c r="AY16" s="29"/>
      <c r="AZ16" s="30"/>
    </row>
    <row r="17" spans="1:52" s="162" customFormat="1" ht="18.75" customHeight="1" x14ac:dyDescent="0.2">
      <c r="A17" s="305">
        <v>1</v>
      </c>
      <c r="B17" s="228" t="s">
        <v>371</v>
      </c>
      <c r="C17" s="279">
        <v>1333</v>
      </c>
      <c r="D17" s="279" t="s">
        <v>72</v>
      </c>
      <c r="E17" s="191" t="s">
        <v>43</v>
      </c>
      <c r="F17" s="191" t="s">
        <v>142</v>
      </c>
      <c r="G17" s="191" t="s">
        <v>4</v>
      </c>
      <c r="H17" s="191" t="s">
        <v>41</v>
      </c>
      <c r="I17" s="191" t="s">
        <v>43</v>
      </c>
      <c r="J17" s="191" t="s">
        <v>142</v>
      </c>
      <c r="K17" s="191" t="s">
        <v>4</v>
      </c>
      <c r="L17" s="191" t="s">
        <v>41</v>
      </c>
      <c r="M17" s="191" t="s">
        <v>43</v>
      </c>
      <c r="N17" s="191" t="s">
        <v>142</v>
      </c>
      <c r="O17" s="191" t="s">
        <v>4</v>
      </c>
      <c r="P17" s="191" t="s">
        <v>41</v>
      </c>
      <c r="Q17" s="191" t="s">
        <v>43</v>
      </c>
      <c r="R17" s="191" t="s">
        <v>142</v>
      </c>
      <c r="S17" s="191" t="s">
        <v>4</v>
      </c>
      <c r="T17" s="191" t="s">
        <v>41</v>
      </c>
      <c r="U17" s="191" t="s">
        <v>43</v>
      </c>
      <c r="V17" s="191" t="s">
        <v>142</v>
      </c>
      <c r="W17" s="191" t="s">
        <v>4</v>
      </c>
      <c r="X17" s="191" t="s">
        <v>41</v>
      </c>
      <c r="Y17" s="191" t="s">
        <v>43</v>
      </c>
      <c r="Z17" s="191" t="s">
        <v>142</v>
      </c>
      <c r="AA17" s="191" t="s">
        <v>4</v>
      </c>
      <c r="AB17" s="191" t="s">
        <v>41</v>
      </c>
      <c r="AC17" s="191" t="s">
        <v>43</v>
      </c>
      <c r="AD17" s="191" t="s">
        <v>142</v>
      </c>
      <c r="AE17" s="191" t="s">
        <v>4</v>
      </c>
      <c r="AF17" s="191" t="s">
        <v>41</v>
      </c>
      <c r="AG17" s="191"/>
      <c r="AH17" s="191"/>
      <c r="AI17" s="191"/>
      <c r="AJ17" s="294">
        <f>IFERROR(COUNTIF(E17:AI17,"=Р")+COUNTIF(E17:AI17,"=Р1")+COUNTIF(E17:AI17,"=ВЧ")+COUNTIF(E17:AI17,"=РН")+COUNTIF(E17:AI17,"=Р2")+COUNTIF(E17:AI17,"=Р1/РВ")+COUNTIF(E17:AI17,"=Р2/РВ")+COUNTIF(E17:AI17,"=ВЧ/РВ")+COUNTIF(E17:AI17,"=РН/РВ"),0)</f>
        <v>21</v>
      </c>
      <c r="AK17" s="211">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164</v>
      </c>
      <c r="AL17" s="211">
        <f>IFERROR(SUMIF(E17:AI17,"=НУ",E18:AI18),0)</f>
        <v>0</v>
      </c>
      <c r="AM17" s="211">
        <f>IFERROR(SUMIF(E17:AI17,"=РН",E18:AI18)+SUMIF(E17:AI17,"=РН/РВ",E18:AI18)+SUMIFS(E18:AI18,E17:AI17,"=Р2",E18:AI18,"=8"),0)</f>
        <v>56</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28</v>
      </c>
      <c r="AO17" s="211">
        <f>IFERROR(SUMIF(E17:AI17,"=РВ",E18:AI18)+SUMIF(E17:AI17,"=ВЧ/РВ",E18:AI18)+SUMIF(E17:AI17,"=РН/РВ",E18:AI18)+SUMIF(E17:AI17,"=Р1/РВ",E18:AI18)+SUMIF(E17:AI17,"=ВЧ2/РВ",E18:AI18)+SUMIF(E17:AI17,"=Р2/РВ",E18:AI18),0)</f>
        <v>0</v>
      </c>
      <c r="AP17" s="211">
        <f>IFERROR(COUNTIF(E17:AI17,"=ВВ")+COUNTIF(E17:AI17,"=Р1/ВВ")+COUNTIF(E17:AI17,"=РН/ВВ")+COUNTIF(E17:AI17,"=ВЧ/ВВ"),0)</f>
        <v>7</v>
      </c>
      <c r="AQ17" s="211">
        <f>SUM(AR17:AZ17)</f>
        <v>0</v>
      </c>
      <c r="AR17" s="211">
        <f>IFERROR(SUMIF(E17:AI17,"=В",E18:AI18)+SUMIF(E17:AI17,"=Ч",E18:AI18)+SUMIF(E17:AI17,"=ВБ",E18:AI18),0)</f>
        <v>0</v>
      </c>
      <c r="AS17" s="211">
        <f>IFERROR(SUMIF(E17:AI17,"=Н",E18:AI18),0)</f>
        <v>0</v>
      </c>
      <c r="AT17" s="211">
        <f>IFERROR(SUMIF(E17:AI17,"=НА",E18:AI18),0)</f>
        <v>0</v>
      </c>
      <c r="AU17" s="211">
        <f>IFERROR(SUMIF(E17:AI17,"=ВП",E18:AI18),0)</f>
        <v>0</v>
      </c>
      <c r="AV17" s="211">
        <f>IFERROR(SUMIF(E17:AI17,"=ДД",E18:AI18),0)</f>
        <v>0</v>
      </c>
      <c r="AW17" s="202">
        <f>IFERROR(SUMIF(E17:AI17,"=ДО",E18:AI18),0)</f>
        <v>0</v>
      </c>
      <c r="AX17" s="211">
        <f>IFERROR(SUMIF(E17:AI17,"=ТН",E18:AI18),0)</f>
        <v>0</v>
      </c>
      <c r="AY17" s="211">
        <f>IFERROR(SUMIF(E17:AI17,"=ВД",E18:AI18),0)</f>
        <v>0</v>
      </c>
      <c r="AZ17" s="312">
        <f>IFERROR(SUMIF(E17:AI17,"=ІН",E18:AI18),0)+SUMIF(E17:AI17,"=НЗ",E18:AI18)</f>
        <v>0</v>
      </c>
    </row>
    <row r="18" spans="1:52" s="162" customFormat="1" ht="20.100000000000001" customHeight="1" thickBot="1" x14ac:dyDescent="0.25">
      <c r="A18" s="306"/>
      <c r="B18" s="229"/>
      <c r="C18" s="280"/>
      <c r="D18" s="280"/>
      <c r="E18" s="192">
        <v>8</v>
      </c>
      <c r="F18" s="192"/>
      <c r="G18" s="192">
        <v>12</v>
      </c>
      <c r="H18" s="192">
        <v>4</v>
      </c>
      <c r="I18" s="192">
        <v>8</v>
      </c>
      <c r="J18" s="192"/>
      <c r="K18" s="192">
        <v>12</v>
      </c>
      <c r="L18" s="192">
        <v>4</v>
      </c>
      <c r="M18" s="192">
        <v>8</v>
      </c>
      <c r="N18" s="192"/>
      <c r="O18" s="192">
        <v>8</v>
      </c>
      <c r="P18" s="192">
        <v>4</v>
      </c>
      <c r="Q18" s="192">
        <v>8</v>
      </c>
      <c r="R18" s="192"/>
      <c r="S18" s="192">
        <v>12</v>
      </c>
      <c r="T18" s="192">
        <v>4</v>
      </c>
      <c r="U18" s="192">
        <v>8</v>
      </c>
      <c r="V18" s="192"/>
      <c r="W18" s="192">
        <v>12</v>
      </c>
      <c r="X18" s="192">
        <v>4</v>
      </c>
      <c r="Y18" s="192">
        <v>8</v>
      </c>
      <c r="Z18" s="192"/>
      <c r="AA18" s="192">
        <v>12</v>
      </c>
      <c r="AB18" s="192">
        <v>4</v>
      </c>
      <c r="AC18" s="192">
        <v>8</v>
      </c>
      <c r="AD18" s="192"/>
      <c r="AE18" s="192">
        <v>12</v>
      </c>
      <c r="AF18" s="192">
        <v>4</v>
      </c>
      <c r="AG18" s="192" t="s">
        <v>491</v>
      </c>
      <c r="AH18" s="192" t="s">
        <v>492</v>
      </c>
      <c r="AI18" s="192" t="s">
        <v>493</v>
      </c>
      <c r="AJ18" s="314"/>
      <c r="AK18" s="212"/>
      <c r="AL18" s="212"/>
      <c r="AM18" s="212"/>
      <c r="AN18" s="212"/>
      <c r="AO18" s="212"/>
      <c r="AP18" s="212"/>
      <c r="AQ18" s="311"/>
      <c r="AR18" s="311"/>
      <c r="AS18" s="311"/>
      <c r="AT18" s="311"/>
      <c r="AU18" s="311"/>
      <c r="AV18" s="311"/>
      <c r="AW18" s="203"/>
      <c r="AX18" s="311"/>
      <c r="AY18" s="311"/>
      <c r="AZ18" s="313"/>
    </row>
    <row r="19" spans="1:52" s="177" customFormat="1" ht="23.25" customHeight="1" x14ac:dyDescent="0.2">
      <c r="A19" s="305">
        <f>A17+1</f>
        <v>2</v>
      </c>
      <c r="B19" s="228" t="s">
        <v>160</v>
      </c>
      <c r="C19" s="279">
        <v>1870</v>
      </c>
      <c r="D19" s="279" t="s">
        <v>65</v>
      </c>
      <c r="E19" s="191" t="s">
        <v>4</v>
      </c>
      <c r="F19" s="191" t="s">
        <v>41</v>
      </c>
      <c r="G19" s="191" t="s">
        <v>43</v>
      </c>
      <c r="H19" s="191" t="s">
        <v>142</v>
      </c>
      <c r="I19" s="191" t="s">
        <v>4</v>
      </c>
      <c r="J19" s="191" t="s">
        <v>41</v>
      </c>
      <c r="K19" s="191" t="s">
        <v>43</v>
      </c>
      <c r="L19" s="191" t="s">
        <v>142</v>
      </c>
      <c r="M19" s="191" t="s">
        <v>4</v>
      </c>
      <c r="N19" s="191" t="s">
        <v>41</v>
      </c>
      <c r="O19" s="191" t="s">
        <v>43</v>
      </c>
      <c r="P19" s="191" t="s">
        <v>142</v>
      </c>
      <c r="Q19" s="191" t="s">
        <v>4</v>
      </c>
      <c r="R19" s="191" t="s">
        <v>41</v>
      </c>
      <c r="S19" s="191" t="s">
        <v>43</v>
      </c>
      <c r="T19" s="191" t="s">
        <v>142</v>
      </c>
      <c r="U19" s="191" t="s">
        <v>4</v>
      </c>
      <c r="V19" s="191" t="s">
        <v>41</v>
      </c>
      <c r="W19" s="191" t="s">
        <v>43</v>
      </c>
      <c r="X19" s="191" t="s">
        <v>142</v>
      </c>
      <c r="Y19" s="191" t="s">
        <v>4</v>
      </c>
      <c r="Z19" s="191" t="s">
        <v>41</v>
      </c>
      <c r="AA19" s="191" t="s">
        <v>43</v>
      </c>
      <c r="AB19" s="191" t="s">
        <v>142</v>
      </c>
      <c r="AC19" s="191" t="s">
        <v>4</v>
      </c>
      <c r="AD19" s="191" t="s">
        <v>41</v>
      </c>
      <c r="AE19" s="191" t="s">
        <v>43</v>
      </c>
      <c r="AF19" s="191" t="s">
        <v>142</v>
      </c>
      <c r="AG19" s="191" t="s">
        <v>142</v>
      </c>
      <c r="AH19" s="191" t="s">
        <v>142</v>
      </c>
      <c r="AI19" s="191" t="s">
        <v>4</v>
      </c>
      <c r="AJ19" s="294">
        <f>IFERROR(COUNTIF(E19:AI19,"=Р")+COUNTIF(E19:AI19,"=Р1")+COUNTIF(E19:AI19,"=ВЧ")+COUNTIF(E19:AI19,"=РН")+COUNTIF(E19:AI19,"=Р2")+COUNTIF(E19:AI19,"=Р1/РВ")+COUNTIF(E19:AI19,"=Р2/РВ")+COUNTIF(E19:AI19,"=ВЧ/РВ")+COUNTIF(E19:AI19,"=РН/РВ"),0)</f>
        <v>22</v>
      </c>
      <c r="AK19" s="211">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168</v>
      </c>
      <c r="AL19" s="211">
        <f>IFERROR(SUMIF(E19:AI19,"=НУ",E20:AI20),0)</f>
        <v>0</v>
      </c>
      <c r="AM19" s="211">
        <f>IFERROR(SUMIF(E19:AI19,"=РН",E20:AI20)+SUMIF(E19:AI19,"=РН/РВ",E20:AI20)+SUMIFS(E20:AI20,E19:AI19,"=Р2",E20:AI20,"=8"),0)</f>
        <v>56</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28</v>
      </c>
      <c r="AO19" s="211">
        <f>IFERROR(SUMIF(E19:AI19,"=РВ",E20:AI20)+SUMIF(E19:AI19,"=ВЧ/РВ",E20:AI20)+SUMIF(E19:AI19,"=РН/РВ",E20:AI20)+SUMIF(E19:AI19,"=Р1/РВ",E20:AI20)+SUMIF(E19:AI19,"=ВЧ2/РВ",E20:AI20)+SUMIF(E19:AI19,"=Р2/РВ",E20:AI20),0)</f>
        <v>0</v>
      </c>
      <c r="AP19" s="211">
        <f>IFERROR(COUNTIF(E19:AI19,"=ВВ")+COUNTIF(E19:AI19,"=Р1/ВВ")+COUNTIF(E19:AI19,"=РН/ВВ")+COUNTIF(E19:AI19,"=ВЧ/ВВ"),0)</f>
        <v>9</v>
      </c>
      <c r="AQ19" s="211">
        <f>SUM(AR19:AZ19)</f>
        <v>0</v>
      </c>
      <c r="AR19" s="211">
        <f>IFERROR(SUMIF(E19:AI19,"=В",E20:AI20)+SUMIF(E19:AI19,"=Ч",E20:AI20)+SUMIF(E19:AI19,"=ВБ",E20:AI20),0)</f>
        <v>0</v>
      </c>
      <c r="AS19" s="211">
        <f>IFERROR(SUMIF(E19:AI19,"=Н",E20:AI20),0)</f>
        <v>0</v>
      </c>
      <c r="AT19" s="211">
        <f>IFERROR(SUMIF(E19:AI19,"=НА",E20:AI20),0)</f>
        <v>0</v>
      </c>
      <c r="AU19" s="211">
        <f>IFERROR(SUMIF(E19:AI19,"=ВП",E20:AI20),0)</f>
        <v>0</v>
      </c>
      <c r="AV19" s="211">
        <f>IFERROR(SUMIF(E19:AI19,"=ДД",E20:AI20),0)</f>
        <v>0</v>
      </c>
      <c r="AW19" s="202">
        <f>IFERROR(SUMIF(E19:AI19,"=ДО",E20:AI20),0)</f>
        <v>0</v>
      </c>
      <c r="AX19" s="211">
        <f>IFERROR(SUMIF(E19:AI19,"=ТН",E20:AI20),0)</f>
        <v>0</v>
      </c>
      <c r="AY19" s="211">
        <f>IFERROR(SUMIF(E19:AI19,"=ВД",E20:AI20),0)</f>
        <v>0</v>
      </c>
      <c r="AZ19" s="312">
        <f>IFERROR(SUMIF(E19:AI19,"=ІН",E20:AI20),0)+SUMIF(E19:AI19,"=НЗ",E20:AI20)</f>
        <v>0</v>
      </c>
    </row>
    <row r="20" spans="1:52" s="177" customFormat="1" ht="20.100000000000001" customHeight="1" thickBot="1" x14ac:dyDescent="0.25">
      <c r="A20" s="306"/>
      <c r="B20" s="229"/>
      <c r="C20" s="280"/>
      <c r="D20" s="280"/>
      <c r="E20" s="192">
        <v>12</v>
      </c>
      <c r="F20" s="192">
        <v>4</v>
      </c>
      <c r="G20" s="192">
        <v>8</v>
      </c>
      <c r="H20" s="192"/>
      <c r="I20" s="192">
        <v>12</v>
      </c>
      <c r="J20" s="192">
        <v>4</v>
      </c>
      <c r="K20" s="192">
        <v>8</v>
      </c>
      <c r="L20" s="192"/>
      <c r="M20" s="192">
        <v>12</v>
      </c>
      <c r="N20" s="192">
        <v>4</v>
      </c>
      <c r="O20" s="192">
        <v>8</v>
      </c>
      <c r="P20" s="192"/>
      <c r="Q20" s="192">
        <v>12</v>
      </c>
      <c r="R20" s="192">
        <v>4</v>
      </c>
      <c r="S20" s="192">
        <v>8</v>
      </c>
      <c r="T20" s="192"/>
      <c r="U20" s="192">
        <v>12</v>
      </c>
      <c r="V20" s="192">
        <v>4</v>
      </c>
      <c r="W20" s="192">
        <v>8</v>
      </c>
      <c r="X20" s="192"/>
      <c r="Y20" s="192">
        <v>8</v>
      </c>
      <c r="Z20" s="192">
        <v>4</v>
      </c>
      <c r="AA20" s="192">
        <v>8</v>
      </c>
      <c r="AB20" s="192"/>
      <c r="AC20" s="192">
        <v>8</v>
      </c>
      <c r="AD20" s="192">
        <v>4</v>
      </c>
      <c r="AE20" s="192">
        <v>8</v>
      </c>
      <c r="AF20" s="192"/>
      <c r="AG20" s="192"/>
      <c r="AH20" s="192"/>
      <c r="AI20" s="192">
        <v>8</v>
      </c>
      <c r="AJ20" s="314"/>
      <c r="AK20" s="212"/>
      <c r="AL20" s="212"/>
      <c r="AM20" s="212"/>
      <c r="AN20" s="212"/>
      <c r="AO20" s="212"/>
      <c r="AP20" s="212"/>
      <c r="AQ20" s="311"/>
      <c r="AR20" s="311"/>
      <c r="AS20" s="311"/>
      <c r="AT20" s="311"/>
      <c r="AU20" s="311"/>
      <c r="AV20" s="311"/>
      <c r="AW20" s="203"/>
      <c r="AX20" s="311"/>
      <c r="AY20" s="311"/>
      <c r="AZ20" s="313"/>
    </row>
    <row r="21" spans="1:52" s="177" customFormat="1" ht="21" customHeight="1" x14ac:dyDescent="0.2">
      <c r="A21" s="305">
        <f t="shared" ref="A21" si="0">A19+1</f>
        <v>3</v>
      </c>
      <c r="B21" s="228" t="s">
        <v>376</v>
      </c>
      <c r="C21" s="279">
        <v>2223</v>
      </c>
      <c r="D21" s="279" t="s">
        <v>72</v>
      </c>
      <c r="E21" s="191" t="s">
        <v>142</v>
      </c>
      <c r="F21" s="191" t="s">
        <v>4</v>
      </c>
      <c r="G21" s="191" t="s">
        <v>41</v>
      </c>
      <c r="H21" s="191" t="s">
        <v>43</v>
      </c>
      <c r="I21" s="191" t="s">
        <v>142</v>
      </c>
      <c r="J21" s="191" t="s">
        <v>4</v>
      </c>
      <c r="K21" s="191" t="s">
        <v>41</v>
      </c>
      <c r="L21" s="191" t="s">
        <v>43</v>
      </c>
      <c r="M21" s="191" t="s">
        <v>142</v>
      </c>
      <c r="N21" s="191" t="s">
        <v>4</v>
      </c>
      <c r="O21" s="191" t="s">
        <v>41</v>
      </c>
      <c r="P21" s="191" t="s">
        <v>43</v>
      </c>
      <c r="Q21" s="191" t="s">
        <v>142</v>
      </c>
      <c r="R21" s="191" t="s">
        <v>4</v>
      </c>
      <c r="S21" s="191" t="s">
        <v>41</v>
      </c>
      <c r="T21" s="191" t="s">
        <v>43</v>
      </c>
      <c r="U21" s="191" t="s">
        <v>142</v>
      </c>
      <c r="V21" s="191" t="s">
        <v>4</v>
      </c>
      <c r="W21" s="191" t="s">
        <v>41</v>
      </c>
      <c r="X21" s="191" t="s">
        <v>43</v>
      </c>
      <c r="Y21" s="191" t="s">
        <v>142</v>
      </c>
      <c r="Z21" s="191" t="s">
        <v>4</v>
      </c>
      <c r="AA21" s="191" t="s">
        <v>41</v>
      </c>
      <c r="AB21" s="191" t="s">
        <v>43</v>
      </c>
      <c r="AC21" s="191" t="s">
        <v>142</v>
      </c>
      <c r="AD21" s="191" t="s">
        <v>4</v>
      </c>
      <c r="AE21" s="191" t="s">
        <v>41</v>
      </c>
      <c r="AF21" s="191" t="s">
        <v>43</v>
      </c>
      <c r="AG21" s="191"/>
      <c r="AH21" s="191"/>
      <c r="AI21" s="191"/>
      <c r="AJ21" s="294">
        <f>IFERROR(COUNTIF(E21:AI21,"=Р")+COUNTIF(E21:AI21,"=Р1")+COUNTIF(E21:AI21,"=ВЧ")+COUNTIF(E21:AI21,"=РН")+COUNTIF(E21:AI21,"=Р2")+COUNTIF(E21:AI21,"=Р1/РВ")+COUNTIF(E21:AI21,"=Р2/РВ")+COUNTIF(E21:AI21,"=ВЧ/РВ")+COUNTIF(E21:AI21,"=РН/РВ"),0)</f>
        <v>21</v>
      </c>
      <c r="AK21" s="211">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164</v>
      </c>
      <c r="AL21" s="211">
        <f>IFERROR(SUMIF(E21:AI21,"=НУ",E22:AI22),0)</f>
        <v>0</v>
      </c>
      <c r="AM21" s="211">
        <f>IFERROR(SUMIF(E21:AI21,"=РН",E22:AI22)+SUMIF(E21:AI21,"=РН/РВ",E22:AI22)+SUMIFS(E22:AI22,E21:AI21,"=Р2",E22:AI22,"=8"),0)</f>
        <v>56</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28</v>
      </c>
      <c r="AO21" s="211">
        <f>IFERROR(SUMIF(E21:AI21,"=РВ",E22:AI22)+SUMIF(E21:AI21,"=ВЧ/РВ",E22:AI22)+SUMIF(E21:AI21,"=РН/РВ",E22:AI22)+SUMIF(E21:AI21,"=Р1/РВ",E22:AI22)+SUMIF(E21:AI21,"=ВЧ2/РВ",E22:AI22)+SUMIF(E21:AI21,"=Р2/РВ",E22:AI22),0)</f>
        <v>0</v>
      </c>
      <c r="AP21" s="211">
        <f>IFERROR(COUNTIF(E21:AI21,"=ВВ")+COUNTIF(E21:AI21,"=Р1/ВВ")+COUNTIF(E21:AI21,"=РН/ВВ")+COUNTIF(E21:AI21,"=ВЧ/ВВ"),0)</f>
        <v>7</v>
      </c>
      <c r="AQ21" s="211">
        <f>SUM(AR21:AZ21)</f>
        <v>0</v>
      </c>
      <c r="AR21" s="211">
        <f>IFERROR(SUMIF(E21:AI21,"=В",E22:AI22)+SUMIF(E21:AI21,"=Ч",E22:AI22)+SUMIF(E21:AI21,"=ВБ",E22:AI22),0)</f>
        <v>0</v>
      </c>
      <c r="AS21" s="211">
        <f>IFERROR(SUMIF(E21:AI21,"=Н",E22:AI22),0)</f>
        <v>0</v>
      </c>
      <c r="AT21" s="211">
        <f>IFERROR(SUMIF(E21:AI21,"=НА",E22:AI22),0)</f>
        <v>0</v>
      </c>
      <c r="AU21" s="211">
        <f>IFERROR(SUMIF(E21:AI21,"=ВП",E22:AI22),0)</f>
        <v>0</v>
      </c>
      <c r="AV21" s="211">
        <f>IFERROR(SUMIF(E21:AI21,"=ДД",E22:AI22),0)</f>
        <v>0</v>
      </c>
      <c r="AW21" s="202">
        <f>IFERROR(SUMIF(E21:AI21,"=ДО",E22:AI22),0)</f>
        <v>0</v>
      </c>
      <c r="AX21" s="211">
        <f>IFERROR(SUMIF(E21:AI21,"=ТН",E22:AI22),0)</f>
        <v>0</v>
      </c>
      <c r="AY21" s="211">
        <f>IFERROR(SUMIF(E21:AI21,"=ВД",E22:AI22),0)</f>
        <v>0</v>
      </c>
      <c r="AZ21" s="312">
        <f>IFERROR(SUMIF(E21:AI21,"=ІН",E22:AI22),0)+SUMIF(E21:AI21,"=НЗ",E22:AI22)</f>
        <v>0</v>
      </c>
    </row>
    <row r="22" spans="1:52" s="177" customFormat="1" ht="21.75" customHeight="1" thickBot="1" x14ac:dyDescent="0.25">
      <c r="A22" s="306"/>
      <c r="B22" s="229"/>
      <c r="C22" s="280"/>
      <c r="D22" s="280"/>
      <c r="E22" s="192"/>
      <c r="F22" s="192">
        <v>12</v>
      </c>
      <c r="G22" s="192">
        <v>4</v>
      </c>
      <c r="H22" s="192">
        <v>8</v>
      </c>
      <c r="I22" s="192"/>
      <c r="J22" s="192">
        <v>12</v>
      </c>
      <c r="K22" s="192">
        <v>4</v>
      </c>
      <c r="L22" s="192">
        <v>8</v>
      </c>
      <c r="M22" s="192"/>
      <c r="N22" s="192">
        <v>8</v>
      </c>
      <c r="O22" s="192">
        <v>4</v>
      </c>
      <c r="P22" s="192">
        <v>8</v>
      </c>
      <c r="Q22" s="192"/>
      <c r="R22" s="192">
        <v>12</v>
      </c>
      <c r="S22" s="192">
        <v>4</v>
      </c>
      <c r="T22" s="192">
        <v>8</v>
      </c>
      <c r="U22" s="192"/>
      <c r="V22" s="192">
        <v>12</v>
      </c>
      <c r="W22" s="192">
        <v>4</v>
      </c>
      <c r="X22" s="192">
        <v>8</v>
      </c>
      <c r="Y22" s="192"/>
      <c r="Z22" s="192">
        <v>12</v>
      </c>
      <c r="AA22" s="192">
        <v>4</v>
      </c>
      <c r="AB22" s="192">
        <v>8</v>
      </c>
      <c r="AC22" s="192"/>
      <c r="AD22" s="192">
        <v>12</v>
      </c>
      <c r="AE22" s="192">
        <v>4</v>
      </c>
      <c r="AF22" s="192">
        <v>8</v>
      </c>
      <c r="AG22" s="192" t="s">
        <v>491</v>
      </c>
      <c r="AH22" s="192" t="s">
        <v>492</v>
      </c>
      <c r="AI22" s="192" t="s">
        <v>493</v>
      </c>
      <c r="AJ22" s="314"/>
      <c r="AK22" s="212"/>
      <c r="AL22" s="212"/>
      <c r="AM22" s="212"/>
      <c r="AN22" s="212"/>
      <c r="AO22" s="212"/>
      <c r="AP22" s="212"/>
      <c r="AQ22" s="311"/>
      <c r="AR22" s="311"/>
      <c r="AS22" s="311"/>
      <c r="AT22" s="311"/>
      <c r="AU22" s="311"/>
      <c r="AV22" s="311"/>
      <c r="AW22" s="203"/>
      <c r="AX22" s="311"/>
      <c r="AY22" s="311"/>
      <c r="AZ22" s="313"/>
    </row>
    <row r="23" spans="1:52" ht="17.25" customHeight="1" x14ac:dyDescent="0.2">
      <c r="A23" s="305">
        <f t="shared" ref="A23" si="1">A21+1</f>
        <v>4</v>
      </c>
      <c r="B23" s="228" t="s">
        <v>161</v>
      </c>
      <c r="C23" s="279">
        <v>1595</v>
      </c>
      <c r="D23" s="279" t="s">
        <v>65</v>
      </c>
      <c r="E23" s="191" t="s">
        <v>142</v>
      </c>
      <c r="F23" s="191" t="s">
        <v>142</v>
      </c>
      <c r="G23" s="191" t="s">
        <v>4</v>
      </c>
      <c r="H23" s="191" t="s">
        <v>4</v>
      </c>
      <c r="I23" s="191" t="s">
        <v>4</v>
      </c>
      <c r="J23" s="191" t="s">
        <v>4</v>
      </c>
      <c r="K23" s="191" t="s">
        <v>4</v>
      </c>
      <c r="L23" s="191" t="s">
        <v>142</v>
      </c>
      <c r="M23" s="191" t="s">
        <v>142</v>
      </c>
      <c r="N23" s="191" t="s">
        <v>4</v>
      </c>
      <c r="O23" s="191" t="s">
        <v>4</v>
      </c>
      <c r="P23" s="191" t="s">
        <v>4</v>
      </c>
      <c r="Q23" s="191" t="s">
        <v>4</v>
      </c>
      <c r="R23" s="191" t="s">
        <v>4</v>
      </c>
      <c r="S23" s="191" t="s">
        <v>142</v>
      </c>
      <c r="T23" s="191" t="s">
        <v>142</v>
      </c>
      <c r="U23" s="191" t="s">
        <v>4</v>
      </c>
      <c r="V23" s="191" t="s">
        <v>4</v>
      </c>
      <c r="W23" s="191" t="s">
        <v>4</v>
      </c>
      <c r="X23" s="191" t="s">
        <v>4</v>
      </c>
      <c r="Y23" s="191" t="s">
        <v>4</v>
      </c>
      <c r="Z23" s="191" t="s">
        <v>142</v>
      </c>
      <c r="AA23" s="191" t="s">
        <v>142</v>
      </c>
      <c r="AB23" s="191" t="s">
        <v>4</v>
      </c>
      <c r="AC23" s="191" t="s">
        <v>4</v>
      </c>
      <c r="AD23" s="191" t="s">
        <v>4</v>
      </c>
      <c r="AE23" s="191" t="s">
        <v>4</v>
      </c>
      <c r="AF23" s="191" t="s">
        <v>4</v>
      </c>
      <c r="AG23" s="191" t="s">
        <v>142</v>
      </c>
      <c r="AH23" s="191" t="s">
        <v>142</v>
      </c>
      <c r="AI23" s="191" t="s">
        <v>4</v>
      </c>
      <c r="AJ23" s="294">
        <f>IFERROR(COUNTIF(E23:AI23,"=Р")+COUNTIF(E23:AI23,"=Р1")+COUNTIF(E23:AI23,"=ВЧ")+COUNTIF(E23:AI23,"=РН")+COUNTIF(E23:AI23,"=Р2")+COUNTIF(E23:AI23,"=Р1/РВ")+COUNTIF(E23:AI23,"=Р2/РВ")+COUNTIF(E23:AI23,"=ВЧ/РВ")+COUNTIF(E23:AI23,"=РН/РВ"),0)</f>
        <v>21</v>
      </c>
      <c r="AK23" s="211">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167.99999999999997</v>
      </c>
      <c r="AL23" s="211">
        <f>IFERROR(SUMIF(E23:AI23,"=НУ",E24:AI24),0)</f>
        <v>0</v>
      </c>
      <c r="AM23" s="211">
        <f>IFERROR(SUMIF(E23:AI23,"=РН",E24:AI24)+SUMIF(E23:AI23,"=РН/РВ",E24:AI24)+SUMIFS(E24:AI24,E23:AI23,"=Р2",E24:AI24,"=8"),0)</f>
        <v>0</v>
      </c>
      <c r="AN23" s="211">
        <f t="shared" ref="AN23:AN55" si="2">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0</v>
      </c>
      <c r="AO23" s="211">
        <f>IFERROR(SUMIF(E23:AI23,"=РВ",E24:AI24)+SUMIF(E23:AI23,"=ВЧ/РВ",E24:AI24)+SUMIF(E23:AI23,"=РН/РВ",E24:AI24)+SUMIF(E23:AI23,"=Р1/РВ",E24:AI24)+SUMIF(E23:AI23,"=ВЧ2/РВ",E24:AI24)+SUMIF(E23:AI23,"=Р2/РВ",E24:AI24),0)</f>
        <v>0</v>
      </c>
      <c r="AP23" s="211">
        <f t="shared" ref="AP23:AP55" si="3">IFERROR(COUNTIF(E23:AI23,"=ВВ")+COUNTIF(E23:AI23,"=Р1/ВВ")+COUNTIF(E23:AI23,"=РН/ВВ")+COUNTIF(E23:AI23,"=ВЧ/ВВ"),0)</f>
        <v>10</v>
      </c>
      <c r="AQ23" s="211">
        <f>SUM(AR23:AZ23)</f>
        <v>0</v>
      </c>
      <c r="AR23" s="211">
        <f>IFERROR(SUMIF(E23:AI23,"=В",E24:AI24)+SUMIF(E23:AI23,"=Ч",E24:AI24)+SUMIF(E23:AI23,"=ВБ",E24:AI24),0)</f>
        <v>0</v>
      </c>
      <c r="AS23" s="211">
        <f>IFERROR(SUMIF(E23:AI23,"=Н",E24:AI24),0)</f>
        <v>0</v>
      </c>
      <c r="AT23" s="211">
        <f>IFERROR(SUMIF(E23:AI23,"=НА",E24:AI24),0)</f>
        <v>0</v>
      </c>
      <c r="AU23" s="211">
        <f>IFERROR(SUMIF(E23:AI23,"=ВП",E24:AI24),0)</f>
        <v>0</v>
      </c>
      <c r="AV23" s="211">
        <f>IFERROR(SUMIF(E23:AI23,"=ДД",E24:AI24),0)</f>
        <v>0</v>
      </c>
      <c r="AW23" s="202">
        <f>IFERROR(SUMIF(E23:AI23,"=ДО",E24:AI24),0)</f>
        <v>0</v>
      </c>
      <c r="AX23" s="211">
        <f>IFERROR(SUMIF(E23:AI23,"=ТН",E24:AI24),0)</f>
        <v>0</v>
      </c>
      <c r="AY23" s="211">
        <f>IFERROR(SUMIF(E23:AI23,"=ВД",E24:AI24),0)</f>
        <v>0</v>
      </c>
      <c r="AZ23" s="312">
        <f>IFERROR(SUMIF(E23:AI23,"=ІН",E24:AI24),0)+SUMIF(E23:AI23,"=НЗ",E24:AI24)</f>
        <v>0</v>
      </c>
    </row>
    <row r="24" spans="1:52" ht="20.100000000000001" customHeight="1" thickBot="1" x14ac:dyDescent="0.25">
      <c r="A24" s="306"/>
      <c r="B24" s="229"/>
      <c r="C24" s="280"/>
      <c r="D24" s="280"/>
      <c r="E24" s="192"/>
      <c r="F24" s="192"/>
      <c r="G24" s="192">
        <v>8.1999999999999993</v>
      </c>
      <c r="H24" s="192">
        <v>8.1999999999999993</v>
      </c>
      <c r="I24" s="192">
        <v>8.1999999999999993</v>
      </c>
      <c r="J24" s="192">
        <v>8.1999999999999993</v>
      </c>
      <c r="K24" s="192">
        <v>7</v>
      </c>
      <c r="L24" s="192"/>
      <c r="M24" s="192"/>
      <c r="N24" s="192">
        <v>8.1999999999999993</v>
      </c>
      <c r="O24" s="192">
        <v>8.1999999999999993</v>
      </c>
      <c r="P24" s="192">
        <v>8.1999999999999993</v>
      </c>
      <c r="Q24" s="192">
        <v>8.1999999999999993</v>
      </c>
      <c r="R24" s="192">
        <v>7.2</v>
      </c>
      <c r="S24" s="192"/>
      <c r="T24" s="192"/>
      <c r="U24" s="192">
        <v>8.1999999999999993</v>
      </c>
      <c r="V24" s="192">
        <v>8.1999999999999993</v>
      </c>
      <c r="W24" s="192">
        <v>8.1999999999999993</v>
      </c>
      <c r="X24" s="192">
        <v>8.1999999999999993</v>
      </c>
      <c r="Y24" s="192">
        <v>7.2</v>
      </c>
      <c r="Z24" s="192"/>
      <c r="AA24" s="192"/>
      <c r="AB24" s="192">
        <v>8.1999999999999993</v>
      </c>
      <c r="AC24" s="192">
        <v>8.1999999999999993</v>
      </c>
      <c r="AD24" s="192">
        <v>8.1999999999999993</v>
      </c>
      <c r="AE24" s="192">
        <v>8.1999999999999993</v>
      </c>
      <c r="AF24" s="192">
        <v>7.2</v>
      </c>
      <c r="AG24" s="192"/>
      <c r="AH24" s="192"/>
      <c r="AI24" s="192">
        <v>8.1999999999999993</v>
      </c>
      <c r="AJ24" s="314"/>
      <c r="AK24" s="212"/>
      <c r="AL24" s="212"/>
      <c r="AM24" s="212"/>
      <c r="AN24" s="212"/>
      <c r="AO24" s="212"/>
      <c r="AP24" s="212"/>
      <c r="AQ24" s="311"/>
      <c r="AR24" s="311"/>
      <c r="AS24" s="311"/>
      <c r="AT24" s="311"/>
      <c r="AU24" s="311"/>
      <c r="AV24" s="311"/>
      <c r="AW24" s="203"/>
      <c r="AX24" s="311"/>
      <c r="AY24" s="311"/>
      <c r="AZ24" s="313"/>
    </row>
    <row r="25" spans="1:52" s="177" customFormat="1" ht="21.75" customHeight="1" x14ac:dyDescent="0.2">
      <c r="A25" s="305">
        <f t="shared" ref="A25" si="4">A23+1</f>
        <v>5</v>
      </c>
      <c r="B25" s="228" t="s">
        <v>380</v>
      </c>
      <c r="C25" s="279">
        <v>1574</v>
      </c>
      <c r="D25" s="279" t="s">
        <v>72</v>
      </c>
      <c r="E25" s="191" t="s">
        <v>309</v>
      </c>
      <c r="F25" s="191" t="s">
        <v>43</v>
      </c>
      <c r="G25" s="191" t="s">
        <v>142</v>
      </c>
      <c r="H25" s="191" t="s">
        <v>4</v>
      </c>
      <c r="I25" s="191" t="s">
        <v>41</v>
      </c>
      <c r="J25" s="191" t="s">
        <v>43</v>
      </c>
      <c r="K25" s="191" t="s">
        <v>142</v>
      </c>
      <c r="L25" s="191" t="s">
        <v>4</v>
      </c>
      <c r="M25" s="191" t="s">
        <v>41</v>
      </c>
      <c r="N25" s="191" t="s">
        <v>43</v>
      </c>
      <c r="O25" s="191" t="s">
        <v>142</v>
      </c>
      <c r="P25" s="191" t="s">
        <v>4</v>
      </c>
      <c r="Q25" s="191" t="s">
        <v>41</v>
      </c>
      <c r="R25" s="191" t="s">
        <v>43</v>
      </c>
      <c r="S25" s="191" t="s">
        <v>142</v>
      </c>
      <c r="T25" s="191" t="s">
        <v>4</v>
      </c>
      <c r="U25" s="191" t="s">
        <v>41</v>
      </c>
      <c r="V25" s="191" t="s">
        <v>43</v>
      </c>
      <c r="W25" s="191" t="s">
        <v>142</v>
      </c>
      <c r="X25" s="191" t="s">
        <v>4</v>
      </c>
      <c r="Y25" s="191" t="s">
        <v>41</v>
      </c>
      <c r="Z25" s="191" t="s">
        <v>43</v>
      </c>
      <c r="AA25" s="191" t="s">
        <v>142</v>
      </c>
      <c r="AB25" s="191" t="s">
        <v>4</v>
      </c>
      <c r="AC25" s="191" t="s">
        <v>41</v>
      </c>
      <c r="AD25" s="191" t="s">
        <v>43</v>
      </c>
      <c r="AE25" s="191" t="s">
        <v>142</v>
      </c>
      <c r="AF25" s="191" t="s">
        <v>4</v>
      </c>
      <c r="AG25" s="191"/>
      <c r="AH25" s="191"/>
      <c r="AI25" s="191"/>
      <c r="AJ25" s="294">
        <f>IFERROR(COUNTIF(E25:AI25,"=Р")+COUNTIF(E25:AI25,"=Р1")+COUNTIF(E25:AI25,"=ВЧ")+COUNTIF(E25:AI25,"=РН")+COUNTIF(E25:AI25,"=Р2")+COUNTIF(E25:AI25,"=Р1/РВ")+COUNTIF(E25:AI25,"=Р2/РВ")+COUNTIF(E25:AI25,"=ВЧ/РВ")+COUNTIF(E25:AI25,"=РН/РВ"),0)</f>
        <v>20</v>
      </c>
      <c r="AK25" s="211">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164</v>
      </c>
      <c r="AL25" s="211">
        <f>IFERROR(SUMIF(E25:AI25,"=НУ",E26:AI26),0)</f>
        <v>0</v>
      </c>
      <c r="AM25" s="211">
        <f>IFERROR(SUMIF(E25:AI25,"=РН",E26:AI26)+SUMIF(E25:AI25,"=РН/РВ",E26:AI26)+SUMIFS(E26:AI26,E25:AI25,"=Р2",E26:AI26,"=8"),0)</f>
        <v>56</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26</v>
      </c>
      <c r="AO25" s="211">
        <f>IFERROR(SUMIF(E25:AI25,"=РВ",E26:AI26)+SUMIF(E25:AI25,"=ВЧ/РВ",E26:AI26)+SUMIF(E25:AI25,"=РН/РВ",E26:AI26)+SUMIF(E25:AI25,"=Р1/РВ",E26:AI26)+SUMIF(E25:AI25,"=ВЧ2/РВ",E26:AI26)+SUMIF(E25:AI25,"=Р2/РВ",E26:AI26),0)</f>
        <v>0</v>
      </c>
      <c r="AP25" s="211">
        <f>IFERROR(COUNTIF(E25:AI25,"=ВВ")+COUNTIF(E25:AI25,"=Р1/ВВ")+COUNTIF(E25:AI25,"=РН/ВВ")+COUNTIF(E25:AI25,"=ВЧ/ВВ"),0)</f>
        <v>7</v>
      </c>
      <c r="AQ25" s="211">
        <f>SUM(AR25:AZ25)</f>
        <v>0</v>
      </c>
      <c r="AR25" s="211">
        <f>IFERROR(SUMIF(E25:AI25,"=В",E26:AI26)+SUMIF(E25:AI25,"=Ч",E26:AI26)+SUMIF(E25:AI25,"=ВБ",E26:AI26),0)</f>
        <v>0</v>
      </c>
      <c r="AS25" s="211">
        <f>IFERROR(SUMIF(E25:AI25,"=Н",E26:AI26),0)</f>
        <v>0</v>
      </c>
      <c r="AT25" s="211">
        <f>IFERROR(SUMIF(E25:AI25,"=НА",E26:AI26),0)</f>
        <v>0</v>
      </c>
      <c r="AU25" s="211">
        <f>IFERROR(SUMIF(E25:AI25,"=ВП",E26:AI26),0)</f>
        <v>0</v>
      </c>
      <c r="AV25" s="211">
        <f>IFERROR(SUMIF(E25:AI25,"=ДД",E26:AI26),0)</f>
        <v>0</v>
      </c>
      <c r="AW25" s="202">
        <f>IFERROR(SUMIF(E25:AI25,"=ДО",E26:AI26),0)</f>
        <v>0</v>
      </c>
      <c r="AX25" s="211">
        <f>IFERROR(SUMIF(E25:AI25,"=ТН",E26:AI26),0)</f>
        <v>0</v>
      </c>
      <c r="AY25" s="211">
        <f>IFERROR(SUMIF(E25:AI25,"=ВД",E26:AI26),0)</f>
        <v>0</v>
      </c>
      <c r="AZ25" s="312">
        <f>IFERROR(SUMIF(E25:AI25,"=ІН",E26:AI26),0)+SUMIF(E25:AI25,"=НЗ",E26:AI26)</f>
        <v>0</v>
      </c>
    </row>
    <row r="26" spans="1:52" s="177" customFormat="1" ht="20.100000000000001" customHeight="1" thickBot="1" x14ac:dyDescent="0.25">
      <c r="A26" s="306"/>
      <c r="B26" s="229"/>
      <c r="C26" s="280"/>
      <c r="D26" s="280"/>
      <c r="E26" s="192">
        <v>4</v>
      </c>
      <c r="F26" s="192">
        <v>8</v>
      </c>
      <c r="G26" s="192"/>
      <c r="H26" s="192">
        <v>12</v>
      </c>
      <c r="I26" s="192">
        <v>4</v>
      </c>
      <c r="J26" s="192">
        <v>8</v>
      </c>
      <c r="K26" s="192"/>
      <c r="L26" s="192">
        <v>12</v>
      </c>
      <c r="M26" s="192">
        <v>4</v>
      </c>
      <c r="N26" s="192">
        <v>8</v>
      </c>
      <c r="O26" s="192"/>
      <c r="P26" s="192">
        <v>8</v>
      </c>
      <c r="Q26" s="192">
        <v>4</v>
      </c>
      <c r="R26" s="192">
        <v>8</v>
      </c>
      <c r="S26" s="192"/>
      <c r="T26" s="192">
        <v>12</v>
      </c>
      <c r="U26" s="192">
        <v>4</v>
      </c>
      <c r="V26" s="192">
        <v>8</v>
      </c>
      <c r="W26" s="192"/>
      <c r="X26" s="192">
        <v>12</v>
      </c>
      <c r="Y26" s="192">
        <v>4</v>
      </c>
      <c r="Z26" s="192">
        <v>8</v>
      </c>
      <c r="AA26" s="192"/>
      <c r="AB26" s="192">
        <v>12</v>
      </c>
      <c r="AC26" s="192">
        <v>4</v>
      </c>
      <c r="AD26" s="192">
        <v>8</v>
      </c>
      <c r="AE26" s="192"/>
      <c r="AF26" s="192">
        <v>12</v>
      </c>
      <c r="AG26" s="192" t="s">
        <v>491</v>
      </c>
      <c r="AH26" s="192" t="s">
        <v>492</v>
      </c>
      <c r="AI26" s="192" t="s">
        <v>493</v>
      </c>
      <c r="AJ26" s="314"/>
      <c r="AK26" s="212"/>
      <c r="AL26" s="212"/>
      <c r="AM26" s="212"/>
      <c r="AN26" s="212"/>
      <c r="AO26" s="212"/>
      <c r="AP26" s="212"/>
      <c r="AQ26" s="311"/>
      <c r="AR26" s="311"/>
      <c r="AS26" s="311"/>
      <c r="AT26" s="311"/>
      <c r="AU26" s="311"/>
      <c r="AV26" s="311"/>
      <c r="AW26" s="203"/>
      <c r="AX26" s="311"/>
      <c r="AY26" s="311"/>
      <c r="AZ26" s="313"/>
    </row>
    <row r="27" spans="1:52" s="177" customFormat="1" ht="21" customHeight="1" x14ac:dyDescent="0.2">
      <c r="A27" s="305">
        <f t="shared" ref="A27" si="5">A25+1</f>
        <v>6</v>
      </c>
      <c r="B27" s="228" t="s">
        <v>381</v>
      </c>
      <c r="C27" s="279">
        <v>2225</v>
      </c>
      <c r="D27" s="279" t="s">
        <v>72</v>
      </c>
      <c r="E27" s="191" t="s">
        <v>142</v>
      </c>
      <c r="F27" s="191" t="s">
        <v>4</v>
      </c>
      <c r="G27" s="191" t="s">
        <v>41</v>
      </c>
      <c r="H27" s="191" t="s">
        <v>43</v>
      </c>
      <c r="I27" s="191" t="s">
        <v>142</v>
      </c>
      <c r="J27" s="191" t="s">
        <v>4</v>
      </c>
      <c r="K27" s="191" t="s">
        <v>41</v>
      </c>
      <c r="L27" s="191" t="s">
        <v>43</v>
      </c>
      <c r="M27" s="191" t="s">
        <v>142</v>
      </c>
      <c r="N27" s="191" t="s">
        <v>4</v>
      </c>
      <c r="O27" s="191" t="s">
        <v>41</v>
      </c>
      <c r="P27" s="191" t="s">
        <v>43</v>
      </c>
      <c r="Q27" s="191" t="s">
        <v>142</v>
      </c>
      <c r="R27" s="191" t="s">
        <v>4</v>
      </c>
      <c r="S27" s="191" t="s">
        <v>41</v>
      </c>
      <c r="T27" s="191" t="s">
        <v>43</v>
      </c>
      <c r="U27" s="191" t="s">
        <v>142</v>
      </c>
      <c r="V27" s="191" t="s">
        <v>4</v>
      </c>
      <c r="W27" s="191" t="s">
        <v>41</v>
      </c>
      <c r="X27" s="191" t="s">
        <v>43</v>
      </c>
      <c r="Y27" s="191" t="s">
        <v>4</v>
      </c>
      <c r="Z27" s="191" t="s">
        <v>41</v>
      </c>
      <c r="AA27" s="191" t="s">
        <v>43</v>
      </c>
      <c r="AB27" s="191" t="s">
        <v>263</v>
      </c>
      <c r="AC27" s="191" t="s">
        <v>142</v>
      </c>
      <c r="AD27" s="191" t="s">
        <v>4</v>
      </c>
      <c r="AE27" s="191" t="s">
        <v>41</v>
      </c>
      <c r="AF27" s="191" t="s">
        <v>43</v>
      </c>
      <c r="AG27" s="191"/>
      <c r="AH27" s="191"/>
      <c r="AI27" s="191"/>
      <c r="AJ27" s="294">
        <f>IFERROR(COUNTIF(E27:AI27,"=Р")+COUNTIF(E27:AI27,"=Р1")+COUNTIF(E27:AI27,"=ВЧ")+COUNTIF(E27:AI27,"=РН")+COUNTIF(E27:AI27,"=Р2")+COUNTIF(E27:AI27,"=Р1/РВ")+COUNTIF(E27:AI27,"=Р2/РВ")+COUNTIF(E27:AI27,"=ВЧ/РВ")+COUNTIF(E27:AI27,"=РН/РВ"),0)</f>
        <v>22</v>
      </c>
      <c r="AK27" s="211">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166</v>
      </c>
      <c r="AL27" s="211">
        <f>IFERROR(SUMIF(E27:AI27,"=НУ",E28:AI28),0)</f>
        <v>0</v>
      </c>
      <c r="AM27" s="211">
        <f>IFERROR(SUMIF(E27:AI27,"=РН",E28:AI28)+SUMIF(E27:AI27,"=РН/РВ",E28:AI28)+SUMIFS(E28:AI28,E27:AI27,"=Р2",E28:AI28,"=8"),0)</f>
        <v>56</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30</v>
      </c>
      <c r="AO27" s="211">
        <f>IFERROR(SUMIF(E27:AI27,"=РВ",E28:AI28)+SUMIF(E27:AI27,"=ВЧ/РВ",E28:AI28)+SUMIF(E27:AI27,"=РН/РВ",E28:AI28)+SUMIF(E27:AI27,"=Р1/РВ",E28:AI28)+SUMIF(E27:AI27,"=ВЧ2/РВ",E28:AI28)+SUMIF(E27:AI27,"=Р2/РВ",E28:AI28),0)</f>
        <v>0</v>
      </c>
      <c r="AP27" s="211">
        <f>IFERROR(COUNTIF(E27:AI27,"=ВВ")+COUNTIF(E27:AI27,"=Р1/ВВ")+COUNTIF(E27:AI27,"=РН/ВВ")+COUNTIF(E27:AI27,"=ВЧ/ВВ"),0)</f>
        <v>6</v>
      </c>
      <c r="AQ27" s="211">
        <f>SUM(AR27:AZ27)</f>
        <v>0</v>
      </c>
      <c r="AR27" s="211">
        <f>IFERROR(SUMIF(E27:AI27,"=В",E28:AI28)+SUMIF(E27:AI27,"=Ч",E28:AI28)+SUMIF(E27:AI27,"=ВБ",E28:AI28),0)</f>
        <v>0</v>
      </c>
      <c r="AS27" s="211">
        <f>IFERROR(SUMIF(E27:AI27,"=Н",E28:AI28),0)</f>
        <v>0</v>
      </c>
      <c r="AT27" s="211">
        <f>IFERROR(SUMIF(E27:AI27,"=НА",E28:AI28),0)</f>
        <v>0</v>
      </c>
      <c r="AU27" s="211">
        <f>IFERROR(SUMIF(E27:AI27,"=ВП",E28:AI28),0)</f>
        <v>0</v>
      </c>
      <c r="AV27" s="211">
        <f>IFERROR(SUMIF(E27:AI27,"=ДД",E28:AI28),0)</f>
        <v>0</v>
      </c>
      <c r="AW27" s="202">
        <f>IFERROR(SUMIF(E27:AI27,"=ДО",E28:AI28),0)</f>
        <v>0</v>
      </c>
      <c r="AX27" s="211">
        <f>IFERROR(SUMIF(E27:AI27,"=ТН",E28:AI28),0)</f>
        <v>0</v>
      </c>
      <c r="AY27" s="211">
        <f>IFERROR(SUMIF(E27:AI27,"=ВД",E28:AI28),0)</f>
        <v>0</v>
      </c>
      <c r="AZ27" s="312">
        <f>IFERROR(SUMIF(E27:AI27,"=ІН",E28:AI28),0)+SUMIF(E27:AI27,"=НЗ",E28:AI28)</f>
        <v>0</v>
      </c>
    </row>
    <row r="28" spans="1:52" s="177" customFormat="1" ht="20.100000000000001" customHeight="1" thickBot="1" x14ac:dyDescent="0.25">
      <c r="A28" s="306"/>
      <c r="B28" s="229"/>
      <c r="C28" s="280"/>
      <c r="D28" s="280"/>
      <c r="E28" s="192"/>
      <c r="F28" s="192">
        <v>8</v>
      </c>
      <c r="G28" s="192">
        <v>4</v>
      </c>
      <c r="H28" s="192">
        <v>8</v>
      </c>
      <c r="I28" s="192"/>
      <c r="J28" s="192">
        <v>8</v>
      </c>
      <c r="K28" s="192">
        <v>4</v>
      </c>
      <c r="L28" s="192">
        <v>8</v>
      </c>
      <c r="M28" s="192"/>
      <c r="N28" s="192">
        <v>8</v>
      </c>
      <c r="O28" s="192">
        <v>4</v>
      </c>
      <c r="P28" s="192">
        <v>8</v>
      </c>
      <c r="Q28" s="192"/>
      <c r="R28" s="192">
        <v>10</v>
      </c>
      <c r="S28" s="192">
        <v>4</v>
      </c>
      <c r="T28" s="192">
        <v>8</v>
      </c>
      <c r="U28" s="192"/>
      <c r="V28" s="192">
        <v>12</v>
      </c>
      <c r="W28" s="192">
        <v>4</v>
      </c>
      <c r="X28" s="192">
        <v>8</v>
      </c>
      <c r="Y28" s="192">
        <v>12</v>
      </c>
      <c r="Z28" s="192">
        <v>4</v>
      </c>
      <c r="AA28" s="192">
        <v>8</v>
      </c>
      <c r="AB28" s="192">
        <v>12</v>
      </c>
      <c r="AC28" s="192"/>
      <c r="AD28" s="192">
        <v>12</v>
      </c>
      <c r="AE28" s="192">
        <v>4</v>
      </c>
      <c r="AF28" s="192">
        <v>8</v>
      </c>
      <c r="AG28" s="192" t="s">
        <v>491</v>
      </c>
      <c r="AH28" s="192" t="s">
        <v>492</v>
      </c>
      <c r="AI28" s="192" t="s">
        <v>493</v>
      </c>
      <c r="AJ28" s="314"/>
      <c r="AK28" s="212"/>
      <c r="AL28" s="212"/>
      <c r="AM28" s="212"/>
      <c r="AN28" s="212"/>
      <c r="AO28" s="212"/>
      <c r="AP28" s="212"/>
      <c r="AQ28" s="311"/>
      <c r="AR28" s="311"/>
      <c r="AS28" s="311"/>
      <c r="AT28" s="311"/>
      <c r="AU28" s="311"/>
      <c r="AV28" s="311"/>
      <c r="AW28" s="203"/>
      <c r="AX28" s="311"/>
      <c r="AY28" s="311"/>
      <c r="AZ28" s="313"/>
    </row>
    <row r="29" spans="1:52" s="177" customFormat="1" ht="21" customHeight="1" x14ac:dyDescent="0.2">
      <c r="A29" s="305">
        <f t="shared" ref="A29" si="6">A27+1</f>
        <v>7</v>
      </c>
      <c r="B29" s="228" t="s">
        <v>391</v>
      </c>
      <c r="C29" s="279">
        <v>704</v>
      </c>
      <c r="D29" s="279" t="s">
        <v>72</v>
      </c>
      <c r="E29" s="191" t="s">
        <v>142</v>
      </c>
      <c r="F29" s="191" t="s">
        <v>4</v>
      </c>
      <c r="G29" s="191" t="s">
        <v>41</v>
      </c>
      <c r="H29" s="191" t="s">
        <v>43</v>
      </c>
      <c r="I29" s="191" t="s">
        <v>142</v>
      </c>
      <c r="J29" s="191" t="s">
        <v>4</v>
      </c>
      <c r="K29" s="191" t="s">
        <v>41</v>
      </c>
      <c r="L29" s="191" t="s">
        <v>43</v>
      </c>
      <c r="M29" s="191" t="s">
        <v>142</v>
      </c>
      <c r="N29" s="191" t="s">
        <v>4</v>
      </c>
      <c r="O29" s="191" t="s">
        <v>41</v>
      </c>
      <c r="P29" s="191" t="s">
        <v>43</v>
      </c>
      <c r="Q29" s="191" t="s">
        <v>142</v>
      </c>
      <c r="R29" s="191" t="s">
        <v>4</v>
      </c>
      <c r="S29" s="191" t="s">
        <v>41</v>
      </c>
      <c r="T29" s="191" t="s">
        <v>43</v>
      </c>
      <c r="U29" s="191" t="s">
        <v>142</v>
      </c>
      <c r="V29" s="191" t="s">
        <v>4</v>
      </c>
      <c r="W29" s="191" t="s">
        <v>41</v>
      </c>
      <c r="X29" s="191" t="s">
        <v>43</v>
      </c>
      <c r="Y29" s="191" t="s">
        <v>142</v>
      </c>
      <c r="Z29" s="191" t="s">
        <v>4</v>
      </c>
      <c r="AA29" s="191" t="s">
        <v>41</v>
      </c>
      <c r="AB29" s="191" t="s">
        <v>43</v>
      </c>
      <c r="AC29" s="191" t="s">
        <v>142</v>
      </c>
      <c r="AD29" s="191" t="s">
        <v>4</v>
      </c>
      <c r="AE29" s="191" t="s">
        <v>41</v>
      </c>
      <c r="AF29" s="191" t="s">
        <v>43</v>
      </c>
      <c r="AG29" s="191"/>
      <c r="AH29" s="191"/>
      <c r="AI29" s="191"/>
      <c r="AJ29" s="294">
        <f>IFERROR(COUNTIF(E29:AI29,"=Р")+COUNTIF(E29:AI29,"=Р1")+COUNTIF(E29:AI29,"=ВЧ")+COUNTIF(E29:AI29,"=РН")+COUNTIF(E29:AI29,"=Р2")+COUNTIF(E29:AI29,"=Р1/РВ")+COUNTIF(E29:AI29,"=Р2/РВ")+COUNTIF(E29:AI29,"=ВЧ/РВ")+COUNTIF(E29:AI29,"=РН/РВ"),0)</f>
        <v>21</v>
      </c>
      <c r="AK29" s="211">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164</v>
      </c>
      <c r="AL29" s="211">
        <f>IFERROR(SUMIF(E29:AI29,"=НУ",E30:AI30),0)</f>
        <v>0</v>
      </c>
      <c r="AM29" s="211">
        <f>IFERROR(SUMIF(E29:AI29,"=РН",E30:AI30)+SUMIF(E29:AI29,"=РН/РВ",E30:AI30)+SUMIFS(E30:AI30,E29:AI29,"=Р2",E30:AI30,"=8"),0)</f>
        <v>56</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28</v>
      </c>
      <c r="AO29" s="211">
        <f>IFERROR(SUMIF(E29:AI29,"=РВ",E30:AI30)+SUMIF(E29:AI29,"=ВЧ/РВ",E30:AI30)+SUMIF(E29:AI29,"=РН/РВ",E30:AI30)+SUMIF(E29:AI29,"=Р1/РВ",E30:AI30)+SUMIF(E29:AI29,"=ВЧ2/РВ",E30:AI30)+SUMIF(E29:AI29,"=Р2/РВ",E30:AI30),0)</f>
        <v>0</v>
      </c>
      <c r="AP29" s="211">
        <f>IFERROR(COUNTIF(E29:AI29,"=ВВ")+COUNTIF(E29:AI29,"=Р1/ВВ")+COUNTIF(E29:AI29,"=РН/ВВ")+COUNTIF(E29:AI29,"=ВЧ/ВВ"),0)</f>
        <v>7</v>
      </c>
      <c r="AQ29" s="211">
        <f>SUM(AR29:AZ29)</f>
        <v>0</v>
      </c>
      <c r="AR29" s="211">
        <f>IFERROR(SUMIF(E29:AI29,"=В",E30:AI30)+SUMIF(E29:AI29,"=Ч",E30:AI30)+SUMIF(E29:AI29,"=ВБ",E30:AI30),0)</f>
        <v>0</v>
      </c>
      <c r="AS29" s="211">
        <f>IFERROR(SUMIF(E29:AI29,"=Н",E30:AI30),0)</f>
        <v>0</v>
      </c>
      <c r="AT29" s="211">
        <f>IFERROR(SUMIF(E29:AI29,"=НА",E30:AI30),0)</f>
        <v>0</v>
      </c>
      <c r="AU29" s="211">
        <f>IFERROR(SUMIF(E29:AI29,"=ВП",E30:AI30),0)</f>
        <v>0</v>
      </c>
      <c r="AV29" s="211">
        <f>IFERROR(SUMIF(E29:AI29,"=ДД",E30:AI30),0)</f>
        <v>0</v>
      </c>
      <c r="AW29" s="202">
        <f>IFERROR(SUMIF(E29:AI29,"=ДО",E30:AI30),0)</f>
        <v>0</v>
      </c>
      <c r="AX29" s="211">
        <f>IFERROR(SUMIF(E29:AI29,"=ТН",E30:AI30),0)</f>
        <v>0</v>
      </c>
      <c r="AY29" s="211">
        <f>IFERROR(SUMIF(E29:AI29,"=ВД",E30:AI30),0)</f>
        <v>0</v>
      </c>
      <c r="AZ29" s="312">
        <f>IFERROR(SUMIF(E29:AI29,"=ІН",E30:AI30),0)+SUMIF(E29:AI29,"=НЗ",E30:AI30)</f>
        <v>0</v>
      </c>
    </row>
    <row r="30" spans="1:52" s="177" customFormat="1" ht="20.100000000000001" customHeight="1" thickBot="1" x14ac:dyDescent="0.25">
      <c r="A30" s="306"/>
      <c r="B30" s="229"/>
      <c r="C30" s="280"/>
      <c r="D30" s="280"/>
      <c r="E30" s="192"/>
      <c r="F30" s="192">
        <v>12</v>
      </c>
      <c r="G30" s="192">
        <v>4</v>
      </c>
      <c r="H30" s="192">
        <v>8</v>
      </c>
      <c r="I30" s="192"/>
      <c r="J30" s="192">
        <v>12</v>
      </c>
      <c r="K30" s="192">
        <v>4</v>
      </c>
      <c r="L30" s="192">
        <v>8</v>
      </c>
      <c r="M30" s="192"/>
      <c r="N30" s="192">
        <v>8</v>
      </c>
      <c r="O30" s="192">
        <v>4</v>
      </c>
      <c r="P30" s="192">
        <v>8</v>
      </c>
      <c r="Q30" s="192"/>
      <c r="R30" s="192">
        <v>12</v>
      </c>
      <c r="S30" s="192">
        <v>4</v>
      </c>
      <c r="T30" s="192">
        <v>8</v>
      </c>
      <c r="U30" s="192"/>
      <c r="V30" s="192">
        <v>12</v>
      </c>
      <c r="W30" s="192">
        <v>4</v>
      </c>
      <c r="X30" s="192">
        <v>8</v>
      </c>
      <c r="Y30" s="192"/>
      <c r="Z30" s="192">
        <v>12</v>
      </c>
      <c r="AA30" s="192">
        <v>4</v>
      </c>
      <c r="AB30" s="192">
        <v>8</v>
      </c>
      <c r="AC30" s="192"/>
      <c r="AD30" s="192">
        <v>12</v>
      </c>
      <c r="AE30" s="192">
        <v>4</v>
      </c>
      <c r="AF30" s="192">
        <v>8</v>
      </c>
      <c r="AG30" s="192" t="s">
        <v>491</v>
      </c>
      <c r="AH30" s="192" t="s">
        <v>492</v>
      </c>
      <c r="AI30" s="192" t="s">
        <v>493</v>
      </c>
      <c r="AJ30" s="314"/>
      <c r="AK30" s="212"/>
      <c r="AL30" s="212"/>
      <c r="AM30" s="212"/>
      <c r="AN30" s="212"/>
      <c r="AO30" s="212"/>
      <c r="AP30" s="212"/>
      <c r="AQ30" s="311"/>
      <c r="AR30" s="311"/>
      <c r="AS30" s="311"/>
      <c r="AT30" s="311"/>
      <c r="AU30" s="311"/>
      <c r="AV30" s="311"/>
      <c r="AW30" s="203"/>
      <c r="AX30" s="311"/>
      <c r="AY30" s="311"/>
      <c r="AZ30" s="313"/>
    </row>
    <row r="31" spans="1:52" s="177" customFormat="1" ht="18.75" customHeight="1" x14ac:dyDescent="0.2">
      <c r="A31" s="305">
        <f t="shared" ref="A31" si="7">A29+1</f>
        <v>8</v>
      </c>
      <c r="B31" s="228" t="s">
        <v>398</v>
      </c>
      <c r="C31" s="279">
        <v>2039</v>
      </c>
      <c r="D31" s="279" t="s">
        <v>72</v>
      </c>
      <c r="E31" s="191" t="s">
        <v>4</v>
      </c>
      <c r="F31" s="191" t="s">
        <v>41</v>
      </c>
      <c r="G31" s="191" t="s">
        <v>43</v>
      </c>
      <c r="H31" s="191" t="s">
        <v>142</v>
      </c>
      <c r="I31" s="191" t="s">
        <v>4</v>
      </c>
      <c r="J31" s="191" t="s">
        <v>41</v>
      </c>
      <c r="K31" s="191" t="s">
        <v>43</v>
      </c>
      <c r="L31" s="191" t="s">
        <v>142</v>
      </c>
      <c r="M31" s="191" t="s">
        <v>4</v>
      </c>
      <c r="N31" s="191" t="s">
        <v>41</v>
      </c>
      <c r="O31" s="191" t="s">
        <v>43</v>
      </c>
      <c r="P31" s="191" t="s">
        <v>142</v>
      </c>
      <c r="Q31" s="191" t="s">
        <v>4</v>
      </c>
      <c r="R31" s="191" t="s">
        <v>41</v>
      </c>
      <c r="S31" s="191" t="s">
        <v>43</v>
      </c>
      <c r="T31" s="191" t="s">
        <v>142</v>
      </c>
      <c r="U31" s="191" t="s">
        <v>4</v>
      </c>
      <c r="V31" s="191" t="s">
        <v>41</v>
      </c>
      <c r="W31" s="191" t="s">
        <v>43</v>
      </c>
      <c r="X31" s="191" t="s">
        <v>142</v>
      </c>
      <c r="Y31" s="191" t="s">
        <v>4</v>
      </c>
      <c r="Z31" s="191" t="s">
        <v>41</v>
      </c>
      <c r="AA31" s="191" t="s">
        <v>43</v>
      </c>
      <c r="AB31" s="191" t="s">
        <v>142</v>
      </c>
      <c r="AC31" s="191" t="s">
        <v>4</v>
      </c>
      <c r="AD31" s="191" t="s">
        <v>41</v>
      </c>
      <c r="AE31" s="191" t="s">
        <v>43</v>
      </c>
      <c r="AF31" s="191" t="s">
        <v>142</v>
      </c>
      <c r="AG31" s="191"/>
      <c r="AH31" s="191"/>
      <c r="AI31" s="191"/>
      <c r="AJ31" s="294">
        <f>IFERROR(COUNTIF(E31:AI31,"=Р")+COUNTIF(E31:AI31,"=Р1")+COUNTIF(E31:AI31,"=ВЧ")+COUNTIF(E31:AI31,"=РН")+COUNTIF(E31:AI31,"=Р2")+COUNTIF(E31:AI31,"=Р1/РВ")+COUNTIF(E31:AI31,"=Р2/РВ")+COUNTIF(E31:AI31,"=ВЧ/РВ")+COUNTIF(E31:AI31,"=РН/РВ"),0)</f>
        <v>21</v>
      </c>
      <c r="AK31" s="211">
        <f>IFERROR(SUMIF(E31:AI31,"=Р2",E32:AI32)+SUMIF(E31:AI31,"=ВЧ/РВ",E32:AI32)+SUMIF(E31:AI31,"=РН/РВ",E32:AI32)+SUMIF(E31:AI31,"=Р1/РВ",E32:AI32)+SUMIF(E31:AI31,"=ВЧ2/РВ",E32:AI32)+SUMIF(E31:AI31,"=Р2/РВ",E32:AI32)+SUMIF(E31:AI31,"=Р",E32:AI32)+SUMIF(E31:AI31,"=Р1",E32:AI32)+SUMIF(E31:AI31,"=ВЧ1",E32:AI32)+SUMIF(E31:AI31,"=РН",E32:AI32)+SUMIF(E31:AI31,"=ВЧ",E32:AI32),0)+AL31</f>
        <v>164</v>
      </c>
      <c r="AL31" s="211">
        <f>IFERROR(SUMIF(E31:AI31,"=НУ",E32:AI32),0)</f>
        <v>0</v>
      </c>
      <c r="AM31" s="211">
        <f>IFERROR(SUMIF(E31:AI31,"=РН",E32:AI32)+SUMIF(E31:AI31,"=РН/РВ",E32:AI32)+SUMIFS(E32:AI32,E31:AI31,"=Р2",E32:AI32,"=8"),0)</f>
        <v>56</v>
      </c>
      <c r="AN31" s="211">
        <f>IFERROR(SUMIF(E31:AI31,"=ВЧ",E32:AI32)+SUMIF(E31:AI31,"=ВЧ/РВ",E32:AI32)+CEILING(COUNTIFS(E31:AI31,"=Р2",E32:AI32,"=7")*4,1)+CEILING(COUNTIFS(E31:AI31,"=Р2/РВ",E32:AI32,"=7")*4,1)+SUMIFS(E32:AI32,E31:AI31,"=Р1/РВ",E32:AI32,"=12")/6+SUMIFS(E32:AI32,E31:AI31,"=ВЧ2/РВ",E32:AI32,"=4")/2+SUMIFS(E32:AI32,E31:AI31,"=Р1",E32:AI32,"=12")/6+SUMIFS(E32:AI32,E31:AI31,"=Р1",E32:AI32,"=8")/4+SUMIF(E31:AI31,"=ВЧ1",E32:AI32)/2,0)</f>
        <v>28</v>
      </c>
      <c r="AO31" s="211">
        <f>IFERROR(SUMIF(E31:AI31,"=РВ",E32:AI32)+SUMIF(E31:AI31,"=ВЧ/РВ",E32:AI32)+SUMIF(E31:AI31,"=РН/РВ",E32:AI32)+SUMIF(E31:AI31,"=Р1/РВ",E32:AI32)+SUMIF(E31:AI31,"=ВЧ2/РВ",E32:AI32)+SUMIF(E31:AI31,"=Р2/РВ",E32:AI32),0)</f>
        <v>0</v>
      </c>
      <c r="AP31" s="211">
        <f>IFERROR(COUNTIF(E31:AI31,"=ВВ")+COUNTIF(E31:AI31,"=Р1/ВВ")+COUNTIF(E31:AI31,"=РН/ВВ")+COUNTIF(E31:AI31,"=ВЧ/ВВ"),0)</f>
        <v>7</v>
      </c>
      <c r="AQ31" s="211">
        <f>SUM(AR31:AZ31)</f>
        <v>0</v>
      </c>
      <c r="AR31" s="211">
        <f>IFERROR(SUMIF(E31:AI31,"=В",E32:AI32)+SUMIF(E31:AI31,"=Ч",E32:AI32)+SUMIF(E31:AI31,"=ВБ",E32:AI32),0)</f>
        <v>0</v>
      </c>
      <c r="AS31" s="211">
        <f>IFERROR(SUMIF(E31:AI31,"=Н",E32:AI32),0)</f>
        <v>0</v>
      </c>
      <c r="AT31" s="211">
        <f>IFERROR(SUMIF(E31:AI31,"=НА",E32:AI32),0)</f>
        <v>0</v>
      </c>
      <c r="AU31" s="211">
        <f>IFERROR(SUMIF(E31:AI31,"=ВП",E32:AI32),0)</f>
        <v>0</v>
      </c>
      <c r="AV31" s="211">
        <f>IFERROR(SUMIF(E31:AI31,"=ДД",E32:AI32),0)</f>
        <v>0</v>
      </c>
      <c r="AW31" s="202">
        <f>IFERROR(SUMIF(E31:AI31,"=ДО",E32:AI32),0)</f>
        <v>0</v>
      </c>
      <c r="AX31" s="211">
        <f>IFERROR(SUMIF(E31:AI31,"=ТН",E32:AI32),0)</f>
        <v>0</v>
      </c>
      <c r="AY31" s="211">
        <f>IFERROR(SUMIF(E31:AI31,"=ВД",E32:AI32),0)</f>
        <v>0</v>
      </c>
      <c r="AZ31" s="312">
        <f>IFERROR(SUMIF(E31:AI31,"=ІН",E32:AI32),0)+SUMIF(E31:AI31,"=НЗ",E32:AI32)</f>
        <v>0</v>
      </c>
    </row>
    <row r="32" spans="1:52" s="177" customFormat="1" ht="20.100000000000001" customHeight="1" thickBot="1" x14ac:dyDescent="0.25">
      <c r="A32" s="306"/>
      <c r="B32" s="229"/>
      <c r="C32" s="280"/>
      <c r="D32" s="280"/>
      <c r="E32" s="192">
        <v>12</v>
      </c>
      <c r="F32" s="192">
        <v>4</v>
      </c>
      <c r="G32" s="192">
        <v>8</v>
      </c>
      <c r="H32" s="192"/>
      <c r="I32" s="192">
        <v>12</v>
      </c>
      <c r="J32" s="192">
        <v>4</v>
      </c>
      <c r="K32" s="192">
        <v>8</v>
      </c>
      <c r="L32" s="192"/>
      <c r="M32" s="192">
        <v>12</v>
      </c>
      <c r="N32" s="192">
        <v>4</v>
      </c>
      <c r="O32" s="192">
        <v>8</v>
      </c>
      <c r="P32" s="192"/>
      <c r="Q32" s="192">
        <v>12</v>
      </c>
      <c r="R32" s="192">
        <v>4</v>
      </c>
      <c r="S32" s="192">
        <v>8</v>
      </c>
      <c r="T32" s="192"/>
      <c r="U32" s="192">
        <v>8</v>
      </c>
      <c r="V32" s="192">
        <v>4</v>
      </c>
      <c r="W32" s="192">
        <v>8</v>
      </c>
      <c r="X32" s="192"/>
      <c r="Y32" s="192">
        <v>12</v>
      </c>
      <c r="Z32" s="192">
        <v>4</v>
      </c>
      <c r="AA32" s="192">
        <v>8</v>
      </c>
      <c r="AB32" s="192"/>
      <c r="AC32" s="192">
        <v>12</v>
      </c>
      <c r="AD32" s="192">
        <v>4</v>
      </c>
      <c r="AE32" s="192">
        <v>8</v>
      </c>
      <c r="AF32" s="192"/>
      <c r="AG32" s="192" t="s">
        <v>491</v>
      </c>
      <c r="AH32" s="192" t="s">
        <v>492</v>
      </c>
      <c r="AI32" s="192" t="s">
        <v>493</v>
      </c>
      <c r="AJ32" s="314"/>
      <c r="AK32" s="212"/>
      <c r="AL32" s="212"/>
      <c r="AM32" s="212"/>
      <c r="AN32" s="212"/>
      <c r="AO32" s="212"/>
      <c r="AP32" s="212"/>
      <c r="AQ32" s="311"/>
      <c r="AR32" s="311"/>
      <c r="AS32" s="311"/>
      <c r="AT32" s="311"/>
      <c r="AU32" s="311"/>
      <c r="AV32" s="311"/>
      <c r="AW32" s="203"/>
      <c r="AX32" s="311"/>
      <c r="AY32" s="311"/>
      <c r="AZ32" s="313"/>
    </row>
    <row r="33" spans="1:52" s="177" customFormat="1" ht="21.75" customHeight="1" x14ac:dyDescent="0.2">
      <c r="A33" s="305">
        <f t="shared" ref="A33" si="8">A31+1</f>
        <v>9</v>
      </c>
      <c r="B33" s="228" t="s">
        <v>404</v>
      </c>
      <c r="C33" s="279">
        <v>215</v>
      </c>
      <c r="D33" s="279" t="s">
        <v>72</v>
      </c>
      <c r="E33" s="191" t="s">
        <v>309</v>
      </c>
      <c r="F33" s="191" t="s">
        <v>43</v>
      </c>
      <c r="G33" s="191" t="s">
        <v>142</v>
      </c>
      <c r="H33" s="191" t="s">
        <v>4</v>
      </c>
      <c r="I33" s="191" t="s">
        <v>41</v>
      </c>
      <c r="J33" s="191" t="s">
        <v>43</v>
      </c>
      <c r="K33" s="191" t="s">
        <v>142</v>
      </c>
      <c r="L33" s="191" t="s">
        <v>4</v>
      </c>
      <c r="M33" s="191" t="s">
        <v>41</v>
      </c>
      <c r="N33" s="191" t="s">
        <v>43</v>
      </c>
      <c r="O33" s="191" t="s">
        <v>142</v>
      </c>
      <c r="P33" s="191" t="s">
        <v>4</v>
      </c>
      <c r="Q33" s="191" t="s">
        <v>41</v>
      </c>
      <c r="R33" s="191" t="s">
        <v>43</v>
      </c>
      <c r="S33" s="191" t="s">
        <v>142</v>
      </c>
      <c r="T33" s="191" t="s">
        <v>4</v>
      </c>
      <c r="U33" s="191" t="s">
        <v>41</v>
      </c>
      <c r="V33" s="191" t="s">
        <v>43</v>
      </c>
      <c r="W33" s="191" t="s">
        <v>142</v>
      </c>
      <c r="X33" s="191" t="s">
        <v>4</v>
      </c>
      <c r="Y33" s="191" t="s">
        <v>41</v>
      </c>
      <c r="Z33" s="191" t="s">
        <v>43</v>
      </c>
      <c r="AA33" s="191" t="s">
        <v>142</v>
      </c>
      <c r="AB33" s="191" t="s">
        <v>4</v>
      </c>
      <c r="AC33" s="191" t="s">
        <v>41</v>
      </c>
      <c r="AD33" s="191" t="s">
        <v>43</v>
      </c>
      <c r="AE33" s="191" t="s">
        <v>142</v>
      </c>
      <c r="AF33" s="191" t="s">
        <v>4</v>
      </c>
      <c r="AG33" s="191"/>
      <c r="AH33" s="191"/>
      <c r="AI33" s="191"/>
      <c r="AJ33" s="294">
        <f>IFERROR(COUNTIF(E33:AI33,"=Р")+COUNTIF(E33:AI33,"=Р1")+COUNTIF(E33:AI33,"=ВЧ")+COUNTIF(E33:AI33,"=РН")+COUNTIF(E33:AI33,"=Р2")+COUNTIF(E33:AI33,"=Р1/РВ")+COUNTIF(E33:AI33,"=Р2/РВ")+COUNTIF(E33:AI33,"=ВЧ/РВ")+COUNTIF(E33:AI33,"=РН/РВ"),0)</f>
        <v>20</v>
      </c>
      <c r="AK33" s="211">
        <f>IFERROR(SUMIF(E33:AI33,"=Р2",E34:AI34)+SUMIF(E33:AI33,"=ВЧ/РВ",E34:AI34)+SUMIF(E33:AI33,"=РН/РВ",E34:AI34)+SUMIF(E33:AI33,"=Р1/РВ",E34:AI34)+SUMIF(E33:AI33,"=ВЧ2/РВ",E34:AI34)+SUMIF(E33:AI33,"=Р2/РВ",E34:AI34)+SUMIF(E33:AI33,"=Р",E34:AI34)+SUMIF(E33:AI33,"=Р1",E34:AI34)+SUMIF(E33:AI33,"=ВЧ1",E34:AI34)+SUMIF(E33:AI33,"=РН",E34:AI34)+SUMIF(E33:AI33,"=ВЧ",E34:AI34),0)+AL33</f>
        <v>164</v>
      </c>
      <c r="AL33" s="211">
        <f>IFERROR(SUMIF(E33:AI33,"=НУ",E34:AI34),0)</f>
        <v>0</v>
      </c>
      <c r="AM33" s="211">
        <f>IFERROR(SUMIF(E33:AI33,"=РН",E34:AI34)+SUMIF(E33:AI33,"=РН/РВ",E34:AI34)+SUMIFS(E34:AI34,E33:AI33,"=Р2",E34:AI34,"=8"),0)</f>
        <v>56</v>
      </c>
      <c r="AN33" s="211">
        <f>IFERROR(SUMIF(E33:AI33,"=ВЧ",E34:AI34)+SUMIF(E33:AI33,"=ВЧ/РВ",E34:AI34)+CEILING(COUNTIFS(E33:AI33,"=Р2",E34:AI34,"=7")*4,1)+CEILING(COUNTIFS(E33:AI33,"=Р2/РВ",E34:AI34,"=7")*4,1)+SUMIFS(E34:AI34,E33:AI33,"=Р1/РВ",E34:AI34,"=12")/6+SUMIFS(E34:AI34,E33:AI33,"=ВЧ2/РВ",E34:AI34,"=4")/2+SUMIFS(E34:AI34,E33:AI33,"=Р1",E34:AI34,"=12")/6+SUMIFS(E34:AI34,E33:AI33,"=Р1",E34:AI34,"=8")/4+SUMIF(E33:AI33,"=ВЧ1",E34:AI34)/2,0)</f>
        <v>26</v>
      </c>
      <c r="AO33" s="211">
        <f>IFERROR(SUMIF(E33:AI33,"=РВ",E34:AI34)+SUMIF(E33:AI33,"=ВЧ/РВ",E34:AI34)+SUMIF(E33:AI33,"=РН/РВ",E34:AI34)+SUMIF(E33:AI33,"=Р1/РВ",E34:AI34)+SUMIF(E33:AI33,"=ВЧ2/РВ",E34:AI34)+SUMIF(E33:AI33,"=Р2/РВ",E34:AI34),0)</f>
        <v>0</v>
      </c>
      <c r="AP33" s="211">
        <f>IFERROR(COUNTIF(E33:AI33,"=ВВ")+COUNTIF(E33:AI33,"=Р1/ВВ")+COUNTIF(E33:AI33,"=РН/ВВ")+COUNTIF(E33:AI33,"=ВЧ/ВВ"),0)</f>
        <v>7</v>
      </c>
      <c r="AQ33" s="211">
        <f>SUM(AR33:AZ33)</f>
        <v>0</v>
      </c>
      <c r="AR33" s="211">
        <f>IFERROR(SUMIF(E33:AI33,"=В",E34:AI34)+SUMIF(E33:AI33,"=Ч",E34:AI34)+SUMIF(E33:AI33,"=ВБ",E34:AI34),0)</f>
        <v>0</v>
      </c>
      <c r="AS33" s="211">
        <f>IFERROR(SUMIF(E33:AI33,"=Н",E34:AI34),0)</f>
        <v>0</v>
      </c>
      <c r="AT33" s="211">
        <f>IFERROR(SUMIF(E33:AI33,"=НА",E34:AI34),0)</f>
        <v>0</v>
      </c>
      <c r="AU33" s="211">
        <f>IFERROR(SUMIF(E33:AI33,"=ВП",E34:AI34),0)</f>
        <v>0</v>
      </c>
      <c r="AV33" s="211">
        <f>IFERROR(SUMIF(E33:AI33,"=ДД",E34:AI34),0)</f>
        <v>0</v>
      </c>
      <c r="AW33" s="202">
        <f>IFERROR(SUMIF(E33:AI33,"=ДО",E34:AI34),0)</f>
        <v>0</v>
      </c>
      <c r="AX33" s="211">
        <f>IFERROR(SUMIF(E33:AI33,"=ТН",E34:AI34),0)</f>
        <v>0</v>
      </c>
      <c r="AY33" s="211">
        <f>IFERROR(SUMIF(E33:AI33,"=ВД",E34:AI34),0)</f>
        <v>0</v>
      </c>
      <c r="AZ33" s="312">
        <f>IFERROR(SUMIF(E33:AI33,"=ІН",E34:AI34),0)+SUMIF(E33:AI33,"=НЗ",E34:AI34)</f>
        <v>0</v>
      </c>
    </row>
    <row r="34" spans="1:52" s="177" customFormat="1" ht="20.100000000000001" customHeight="1" thickBot="1" x14ac:dyDescent="0.25">
      <c r="A34" s="306"/>
      <c r="B34" s="229"/>
      <c r="C34" s="280"/>
      <c r="D34" s="280"/>
      <c r="E34" s="192">
        <v>4</v>
      </c>
      <c r="F34" s="192">
        <v>8</v>
      </c>
      <c r="G34" s="192"/>
      <c r="H34" s="192">
        <v>12</v>
      </c>
      <c r="I34" s="192">
        <v>4</v>
      </c>
      <c r="J34" s="192">
        <v>8</v>
      </c>
      <c r="K34" s="192"/>
      <c r="L34" s="192">
        <v>12</v>
      </c>
      <c r="M34" s="192">
        <v>4</v>
      </c>
      <c r="N34" s="192">
        <v>8</v>
      </c>
      <c r="O34" s="192"/>
      <c r="P34" s="192">
        <v>8</v>
      </c>
      <c r="Q34" s="192">
        <v>4</v>
      </c>
      <c r="R34" s="192">
        <v>8</v>
      </c>
      <c r="S34" s="192"/>
      <c r="T34" s="192">
        <v>12</v>
      </c>
      <c r="U34" s="192">
        <v>4</v>
      </c>
      <c r="V34" s="192">
        <v>8</v>
      </c>
      <c r="W34" s="192"/>
      <c r="X34" s="192">
        <v>12</v>
      </c>
      <c r="Y34" s="192">
        <v>4</v>
      </c>
      <c r="Z34" s="192">
        <v>8</v>
      </c>
      <c r="AA34" s="192"/>
      <c r="AB34" s="192">
        <v>12</v>
      </c>
      <c r="AC34" s="192">
        <v>4</v>
      </c>
      <c r="AD34" s="192">
        <v>8</v>
      </c>
      <c r="AE34" s="192"/>
      <c r="AF34" s="192">
        <v>12</v>
      </c>
      <c r="AG34" s="192" t="s">
        <v>491</v>
      </c>
      <c r="AH34" s="192" t="s">
        <v>492</v>
      </c>
      <c r="AI34" s="192" t="s">
        <v>493</v>
      </c>
      <c r="AJ34" s="314"/>
      <c r="AK34" s="212"/>
      <c r="AL34" s="212"/>
      <c r="AM34" s="212"/>
      <c r="AN34" s="212"/>
      <c r="AO34" s="212"/>
      <c r="AP34" s="212"/>
      <c r="AQ34" s="311"/>
      <c r="AR34" s="311"/>
      <c r="AS34" s="311"/>
      <c r="AT34" s="311"/>
      <c r="AU34" s="311"/>
      <c r="AV34" s="311"/>
      <c r="AW34" s="203"/>
      <c r="AX34" s="311"/>
      <c r="AY34" s="311"/>
      <c r="AZ34" s="313"/>
    </row>
    <row r="35" spans="1:52" s="177" customFormat="1" ht="18.75" customHeight="1" x14ac:dyDescent="0.2">
      <c r="A35" s="305">
        <f t="shared" ref="A35" si="9">A33+1</f>
        <v>10</v>
      </c>
      <c r="B35" s="228" t="s">
        <v>405</v>
      </c>
      <c r="C35" s="279">
        <v>1329</v>
      </c>
      <c r="D35" s="279" t="s">
        <v>65</v>
      </c>
      <c r="E35" s="191" t="s">
        <v>52</v>
      </c>
      <c r="F35" s="191" t="s">
        <v>52</v>
      </c>
      <c r="G35" s="191" t="s">
        <v>52</v>
      </c>
      <c r="H35" s="191" t="s">
        <v>52</v>
      </c>
      <c r="I35" s="191" t="s">
        <v>52</v>
      </c>
      <c r="J35" s="191" t="s">
        <v>52</v>
      </c>
      <c r="K35" s="191" t="s">
        <v>52</v>
      </c>
      <c r="L35" s="191" t="s">
        <v>52</v>
      </c>
      <c r="M35" s="191" t="s">
        <v>142</v>
      </c>
      <c r="N35" s="191" t="s">
        <v>142</v>
      </c>
      <c r="O35" s="191" t="s">
        <v>142</v>
      </c>
      <c r="P35" s="191"/>
      <c r="Q35" s="191"/>
      <c r="R35" s="191"/>
      <c r="S35" s="191"/>
      <c r="T35" s="191"/>
      <c r="U35" s="191"/>
      <c r="V35" s="191"/>
      <c r="W35" s="191"/>
      <c r="X35" s="191"/>
      <c r="Y35" s="191"/>
      <c r="Z35" s="191"/>
      <c r="AA35" s="191"/>
      <c r="AB35" s="191"/>
      <c r="AC35" s="191"/>
      <c r="AD35" s="191"/>
      <c r="AE35" s="191"/>
      <c r="AF35" s="191"/>
      <c r="AG35" s="191"/>
      <c r="AH35" s="191"/>
      <c r="AI35" s="191"/>
      <c r="AJ35" s="294">
        <f>IFERROR(COUNTIF(E35:AI35,"=Р")+COUNTIF(E35:AI35,"=Р1")+COUNTIF(E35:AI35,"=ВЧ")+COUNTIF(E35:AI35,"=РН")+COUNTIF(E35:AI35,"=Р2")+COUNTIF(E35:AI35,"=Р1/РВ")+COUNTIF(E35:AI35,"=Р2/РВ")+COUNTIF(E35:AI35,"=ВЧ/РВ")+COUNTIF(E35:AI35,"=РН/РВ"),0)</f>
        <v>0</v>
      </c>
      <c r="AK35" s="211">
        <f>IFERROR(SUMIF(E35:AI35,"=Р2",E36:AI36)+SUMIF(E35:AI35,"=ВЧ/РВ",E36:AI36)+SUMIF(E35:AI35,"=РН/РВ",E36:AI36)+SUMIF(E35:AI35,"=Р1/РВ",E36:AI36)+SUMIF(E35:AI35,"=ВЧ2/РВ",E36:AI36)+SUMIF(E35:AI35,"=Р2/РВ",E36:AI36)+SUMIF(E35:AI35,"=Р",E36:AI36)+SUMIF(E35:AI35,"=Р1",E36:AI36)+SUMIF(E35:AI35,"=ВЧ1",E36:AI36)+SUMIF(E35:AI35,"=РН",E36:AI36)+SUMIF(E35:AI35,"=ВЧ",E36:AI36),0)+AL35</f>
        <v>0</v>
      </c>
      <c r="AL35" s="211">
        <f>IFERROR(SUMIF(E35:AI35,"=НУ",E36:AI36),0)</f>
        <v>0</v>
      </c>
      <c r="AM35" s="211">
        <f>IFERROR(SUMIF(E35:AI35,"=РН",E36:AI36)+SUMIF(E35:AI35,"=РН/РВ",E36:AI36)+SUMIFS(E36:AI36,E35:AI35,"=Р2",E36:AI36,"=8"),0)</f>
        <v>0</v>
      </c>
      <c r="AN35" s="211">
        <f>IFERROR(SUMIF(E35:AI35,"=ВЧ",E36:AI36)+SUMIF(E35:AI35,"=ВЧ/РВ",E36:AI36)+CEILING(COUNTIFS(E35:AI35,"=Р2",E36:AI36,"=7")*4,1)+CEILING(COUNTIFS(E35:AI35,"=Р2/РВ",E36:AI36,"=7")*4,1)+SUMIFS(E36:AI36,E35:AI35,"=Р1/РВ",E36:AI36,"=12")/6+SUMIFS(E36:AI36,E35:AI35,"=ВЧ2/РВ",E36:AI36,"=4")/2+SUMIFS(E36:AI36,E35:AI35,"=Р1",E36:AI36,"=12")/6+SUMIFS(E36:AI36,E35:AI35,"=Р1",E36:AI36,"=8")/4+SUMIF(E35:AI35,"=ВЧ1",E36:AI36)/2,0)</f>
        <v>0</v>
      </c>
      <c r="AO35" s="211">
        <f>IFERROR(SUMIF(E35:AI35,"=РВ",E36:AI36)+SUMIF(E35:AI35,"=ВЧ/РВ",E36:AI36)+SUMIF(E35:AI35,"=РН/РВ",E36:AI36)+SUMIF(E35:AI35,"=Р1/РВ",E36:AI36)+SUMIF(E35:AI35,"=ВЧ2/РВ",E36:AI36)+SUMIF(E35:AI35,"=Р2/РВ",E36:AI36),0)</f>
        <v>0</v>
      </c>
      <c r="AP35" s="211">
        <f>IFERROR(COUNTIF(E35:AI35,"=ВВ")+COUNTIF(E35:AI35,"=Р1/ВВ")+COUNTIF(E35:AI35,"=РН/ВВ")+COUNTIF(E35:AI35,"=ВЧ/ВВ"),0)</f>
        <v>3</v>
      </c>
      <c r="AQ35" s="211">
        <f>SUM(AR35:AZ35)</f>
        <v>48</v>
      </c>
      <c r="AR35" s="211">
        <f>IFERROR(SUMIF(E35:AI35,"=В",E36:AI36)+SUMIF(E35:AI35,"=Ч",E36:AI36)+SUMIF(E35:AI35,"=ВБ",E36:AI36),0)</f>
        <v>0</v>
      </c>
      <c r="AS35" s="211">
        <f>IFERROR(SUMIF(E35:AI35,"=Н",E36:AI36),0)</f>
        <v>0</v>
      </c>
      <c r="AT35" s="211">
        <f>IFERROR(SUMIF(E35:AI35,"=НА",E36:AI36),0)</f>
        <v>0</v>
      </c>
      <c r="AU35" s="211">
        <f>IFERROR(SUMIF(E35:AI35,"=ВП",E36:AI36),0)</f>
        <v>0</v>
      </c>
      <c r="AV35" s="211">
        <f>IFERROR(SUMIF(E35:AI35,"=ДД",E36:AI36),0)</f>
        <v>0</v>
      </c>
      <c r="AW35" s="202">
        <f>IFERROR(SUMIF(E35:AI35,"=ДО",E36:AI36),0)</f>
        <v>0</v>
      </c>
      <c r="AX35" s="211">
        <f>IFERROR(SUMIF(E35:AI35,"=ТН",E36:AI36),0)</f>
        <v>48</v>
      </c>
      <c r="AY35" s="211">
        <f>IFERROR(SUMIF(E35:AI35,"=ВД",E36:AI36),0)</f>
        <v>0</v>
      </c>
      <c r="AZ35" s="312">
        <f>IFERROR(SUMIF(E35:AI35,"=ІН",E36:AI36),0)+SUMIF(E35:AI35,"=НЗ",E36:AI36)</f>
        <v>0</v>
      </c>
    </row>
    <row r="36" spans="1:52" s="177" customFormat="1" ht="20.100000000000001" customHeight="1" thickBot="1" x14ac:dyDescent="0.25">
      <c r="A36" s="306"/>
      <c r="B36" s="229"/>
      <c r="C36" s="280"/>
      <c r="D36" s="280"/>
      <c r="E36" s="192">
        <v>12</v>
      </c>
      <c r="F36" s="192">
        <v>4</v>
      </c>
      <c r="G36" s="192">
        <v>8</v>
      </c>
      <c r="H36" s="192"/>
      <c r="I36" s="192">
        <v>12</v>
      </c>
      <c r="J36" s="192">
        <v>4</v>
      </c>
      <c r="K36" s="192">
        <v>8</v>
      </c>
      <c r="L36" s="192"/>
      <c r="M36" s="192"/>
      <c r="N36" s="192"/>
      <c r="O36" s="192"/>
      <c r="P36" s="192" t="s">
        <v>9</v>
      </c>
      <c r="Q36" s="192" t="s">
        <v>469</v>
      </c>
      <c r="R36" s="192" t="s">
        <v>481</v>
      </c>
      <c r="S36" s="192" t="s">
        <v>472</v>
      </c>
      <c r="T36" s="192" t="s">
        <v>482</v>
      </c>
      <c r="U36" s="192" t="s">
        <v>476</v>
      </c>
      <c r="V36" s="192" t="s">
        <v>475</v>
      </c>
      <c r="W36" s="192" t="s">
        <v>476</v>
      </c>
      <c r="X36" s="192" t="s">
        <v>470</v>
      </c>
      <c r="Y36" s="192" t="s">
        <v>483</v>
      </c>
      <c r="Z36" s="192"/>
      <c r="AA36" s="192"/>
      <c r="AB36" s="192"/>
      <c r="AC36" s="192"/>
      <c r="AD36" s="192"/>
      <c r="AE36" s="192"/>
      <c r="AF36" s="192"/>
      <c r="AG36" s="192"/>
      <c r="AH36" s="192"/>
      <c r="AI36" s="192"/>
      <c r="AJ36" s="314"/>
      <c r="AK36" s="212"/>
      <c r="AL36" s="212"/>
      <c r="AM36" s="212"/>
      <c r="AN36" s="212"/>
      <c r="AO36" s="212"/>
      <c r="AP36" s="212"/>
      <c r="AQ36" s="311"/>
      <c r="AR36" s="311"/>
      <c r="AS36" s="311"/>
      <c r="AT36" s="311"/>
      <c r="AU36" s="311"/>
      <c r="AV36" s="311"/>
      <c r="AW36" s="203"/>
      <c r="AX36" s="311"/>
      <c r="AY36" s="311"/>
      <c r="AZ36" s="313"/>
    </row>
    <row r="37" spans="1:52" s="177" customFormat="1" ht="18.75" customHeight="1" x14ac:dyDescent="0.2">
      <c r="A37" s="305">
        <f t="shared" ref="A37" si="10">A35+1</f>
        <v>11</v>
      </c>
      <c r="B37" s="228" t="s">
        <v>414</v>
      </c>
      <c r="C37" s="279">
        <v>1918</v>
      </c>
      <c r="D37" s="279" t="s">
        <v>72</v>
      </c>
      <c r="E37" s="191" t="s">
        <v>43</v>
      </c>
      <c r="F37" s="191" t="s">
        <v>142</v>
      </c>
      <c r="G37" s="191" t="s">
        <v>4</v>
      </c>
      <c r="H37" s="191" t="s">
        <v>41</v>
      </c>
      <c r="I37" s="191" t="s">
        <v>43</v>
      </c>
      <c r="J37" s="191" t="s">
        <v>142</v>
      </c>
      <c r="K37" s="191" t="s">
        <v>4</v>
      </c>
      <c r="L37" s="191" t="s">
        <v>41</v>
      </c>
      <c r="M37" s="191" t="s">
        <v>43</v>
      </c>
      <c r="N37" s="191" t="s">
        <v>142</v>
      </c>
      <c r="O37" s="191" t="s">
        <v>4</v>
      </c>
      <c r="P37" s="191" t="s">
        <v>41</v>
      </c>
      <c r="Q37" s="191" t="s">
        <v>43</v>
      </c>
      <c r="R37" s="191" t="s">
        <v>142</v>
      </c>
      <c r="S37" s="191" t="s">
        <v>4</v>
      </c>
      <c r="T37" s="191" t="s">
        <v>41</v>
      </c>
      <c r="U37" s="191" t="s">
        <v>43</v>
      </c>
      <c r="V37" s="191" t="s">
        <v>142</v>
      </c>
      <c r="W37" s="191" t="s">
        <v>4</v>
      </c>
      <c r="X37" s="191" t="s">
        <v>41</v>
      </c>
      <c r="Y37" s="191" t="s">
        <v>43</v>
      </c>
      <c r="Z37" s="191" t="s">
        <v>4</v>
      </c>
      <c r="AA37" s="191" t="s">
        <v>41</v>
      </c>
      <c r="AB37" s="191" t="s">
        <v>43</v>
      </c>
      <c r="AC37" s="191" t="s">
        <v>309</v>
      </c>
      <c r="AD37" s="191" t="s">
        <v>43</v>
      </c>
      <c r="AE37" s="191" t="s">
        <v>4</v>
      </c>
      <c r="AF37" s="191" t="s">
        <v>41</v>
      </c>
      <c r="AG37" s="191"/>
      <c r="AH37" s="191"/>
      <c r="AI37" s="191"/>
      <c r="AJ37" s="294">
        <f>IFERROR(COUNTIF(E37:AI37,"=Р")+COUNTIF(E37:AI37,"=Р1")+COUNTIF(E37:AI37,"=ВЧ")+COUNTIF(E37:AI37,"=РН")+COUNTIF(E37:AI37,"=Р2")+COUNTIF(E37:AI37,"=Р1/РВ")+COUNTIF(E37:AI37,"=Р2/РВ")+COUNTIF(E37:AI37,"=ВЧ/РВ")+COUNTIF(E37:AI37,"=РН/РВ"),0)</f>
        <v>22</v>
      </c>
      <c r="AK37" s="211">
        <f>IFERROR(SUMIF(E37:AI37,"=Р2",E38:AI38)+SUMIF(E37:AI37,"=ВЧ/РВ",E38:AI38)+SUMIF(E37:AI37,"=РН/РВ",E38:AI38)+SUMIF(E37:AI37,"=Р1/РВ",E38:AI38)+SUMIF(E37:AI37,"=ВЧ2/РВ",E38:AI38)+SUMIF(E37:AI37,"=Р2/РВ",E38:AI38)+SUMIF(E37:AI37,"=Р",E38:AI38)+SUMIF(E37:AI37,"=Р1",E38:AI38)+SUMIF(E37:AI37,"=ВЧ1",E38:AI38)+SUMIF(E37:AI37,"=РН",E38:AI38)+SUMIF(E37:AI37,"=ВЧ",E38:AI38),0)+AL37</f>
        <v>166</v>
      </c>
      <c r="AL37" s="211">
        <f>IFERROR(SUMIF(E37:AI37,"=НУ",E38:AI38),0)</f>
        <v>0</v>
      </c>
      <c r="AM37" s="211">
        <f>IFERROR(SUMIF(E37:AI37,"=РН",E38:AI38)+SUMIF(E37:AI37,"=РН/РВ",E38:AI38)+SUMIFS(E38:AI38,E37:AI37,"=Р2",E38:AI38,"=8"),0)</f>
        <v>64</v>
      </c>
      <c r="AN37" s="211">
        <f>IFERROR(SUMIF(E37:AI37,"=ВЧ",E38:AI38)+SUMIF(E37:AI37,"=ВЧ/РВ",E38:AI38)+CEILING(COUNTIFS(E37:AI37,"=Р2",E38:AI38,"=7")*4,1)+CEILING(COUNTIFS(E37:AI37,"=Р2/РВ",E38:AI38,"=7")*4,1)+SUMIFS(E38:AI38,E37:AI37,"=Р1/РВ",E38:AI38,"=12")/6+SUMIFS(E38:AI38,E37:AI37,"=ВЧ2/РВ",E38:AI38,"=4")/2+SUMIFS(E38:AI38,E37:AI37,"=Р1",E38:AI38,"=12")/6+SUMIFS(E38:AI38,E37:AI37,"=Р1",E38:AI38,"=8")/4+SUMIF(E37:AI37,"=ВЧ1",E38:AI38)/2,0)</f>
        <v>30</v>
      </c>
      <c r="AO37" s="211">
        <f>IFERROR(SUMIF(E37:AI37,"=РВ",E38:AI38)+SUMIF(E37:AI37,"=ВЧ/РВ",E38:AI38)+SUMIF(E37:AI37,"=РН/РВ",E38:AI38)+SUMIF(E37:AI37,"=Р1/РВ",E38:AI38)+SUMIF(E37:AI37,"=ВЧ2/РВ",E38:AI38)+SUMIF(E37:AI37,"=Р2/РВ",E38:AI38),0)</f>
        <v>0</v>
      </c>
      <c r="AP37" s="211">
        <f>IFERROR(COUNTIF(E37:AI37,"=ВВ")+COUNTIF(E37:AI37,"=Р1/ВВ")+COUNTIF(E37:AI37,"=РН/ВВ")+COUNTIF(E37:AI37,"=ВЧ/ВВ"),0)</f>
        <v>5</v>
      </c>
      <c r="AQ37" s="211">
        <f>SUM(AR37:AZ37)</f>
        <v>0</v>
      </c>
      <c r="AR37" s="211">
        <f>IFERROR(SUMIF(E37:AI37,"=В",E38:AI38)+SUMIF(E37:AI37,"=Ч",E38:AI38)+SUMIF(E37:AI37,"=ВБ",E38:AI38),0)</f>
        <v>0</v>
      </c>
      <c r="AS37" s="211">
        <f>IFERROR(SUMIF(E37:AI37,"=Н",E38:AI38),0)</f>
        <v>0</v>
      </c>
      <c r="AT37" s="211">
        <f>IFERROR(SUMIF(E37:AI37,"=НА",E38:AI38),0)</f>
        <v>0</v>
      </c>
      <c r="AU37" s="211">
        <f>IFERROR(SUMIF(E37:AI37,"=ВП",E38:AI38),0)</f>
        <v>0</v>
      </c>
      <c r="AV37" s="211">
        <f>IFERROR(SUMIF(E37:AI37,"=ДД",E38:AI38),0)</f>
        <v>0</v>
      </c>
      <c r="AW37" s="202">
        <f>IFERROR(SUMIF(E37:AI37,"=ДО",E38:AI38),0)</f>
        <v>0</v>
      </c>
      <c r="AX37" s="211">
        <f>IFERROR(SUMIF(E37:AI37,"=ТН",E38:AI38),0)</f>
        <v>0</v>
      </c>
      <c r="AY37" s="211">
        <f>IFERROR(SUMIF(E37:AI37,"=ВД",E38:AI38),0)</f>
        <v>0</v>
      </c>
      <c r="AZ37" s="312">
        <f>IFERROR(SUMIF(E37:AI37,"=ІН",E38:AI38),0)+SUMIF(E37:AI37,"=НЗ",E38:AI38)</f>
        <v>0</v>
      </c>
    </row>
    <row r="38" spans="1:52" s="177" customFormat="1" ht="20.100000000000001" customHeight="1" thickBot="1" x14ac:dyDescent="0.25">
      <c r="A38" s="306"/>
      <c r="B38" s="229"/>
      <c r="C38" s="280"/>
      <c r="D38" s="280"/>
      <c r="E38" s="192">
        <v>8</v>
      </c>
      <c r="F38" s="192"/>
      <c r="G38" s="192">
        <v>8</v>
      </c>
      <c r="H38" s="192">
        <v>4</v>
      </c>
      <c r="I38" s="192">
        <v>8</v>
      </c>
      <c r="J38" s="192"/>
      <c r="K38" s="192">
        <v>8</v>
      </c>
      <c r="L38" s="192">
        <v>4</v>
      </c>
      <c r="M38" s="192">
        <v>8</v>
      </c>
      <c r="N38" s="192"/>
      <c r="O38" s="192">
        <v>8</v>
      </c>
      <c r="P38" s="192">
        <v>4</v>
      </c>
      <c r="Q38" s="192">
        <v>8</v>
      </c>
      <c r="R38" s="192"/>
      <c r="S38" s="192">
        <v>10</v>
      </c>
      <c r="T38" s="192">
        <v>4</v>
      </c>
      <c r="U38" s="192">
        <v>8</v>
      </c>
      <c r="V38" s="192"/>
      <c r="W38" s="192">
        <v>12</v>
      </c>
      <c r="X38" s="192">
        <v>4</v>
      </c>
      <c r="Y38" s="192">
        <v>8</v>
      </c>
      <c r="Z38" s="192">
        <v>12</v>
      </c>
      <c r="AA38" s="192">
        <v>4</v>
      </c>
      <c r="AB38" s="192">
        <v>8</v>
      </c>
      <c r="AC38" s="192">
        <v>4</v>
      </c>
      <c r="AD38" s="192">
        <v>8</v>
      </c>
      <c r="AE38" s="192">
        <v>12</v>
      </c>
      <c r="AF38" s="192">
        <v>4</v>
      </c>
      <c r="AG38" s="192" t="s">
        <v>491</v>
      </c>
      <c r="AH38" s="192" t="s">
        <v>492</v>
      </c>
      <c r="AI38" s="192" t="s">
        <v>493</v>
      </c>
      <c r="AJ38" s="314"/>
      <c r="AK38" s="212"/>
      <c r="AL38" s="212"/>
      <c r="AM38" s="212"/>
      <c r="AN38" s="212"/>
      <c r="AO38" s="212"/>
      <c r="AP38" s="212"/>
      <c r="AQ38" s="311"/>
      <c r="AR38" s="311"/>
      <c r="AS38" s="311"/>
      <c r="AT38" s="311"/>
      <c r="AU38" s="311"/>
      <c r="AV38" s="311"/>
      <c r="AW38" s="203"/>
      <c r="AX38" s="311"/>
      <c r="AY38" s="311"/>
      <c r="AZ38" s="313"/>
    </row>
    <row r="39" spans="1:52" s="177" customFormat="1" ht="18.75" customHeight="1" x14ac:dyDescent="0.2">
      <c r="A39" s="305">
        <f t="shared" ref="A39" si="11">A37+1</f>
        <v>12</v>
      </c>
      <c r="B39" s="228" t="s">
        <v>420</v>
      </c>
      <c r="C39" s="279">
        <v>132</v>
      </c>
      <c r="D39" s="279" t="s">
        <v>72</v>
      </c>
      <c r="E39" s="191" t="s">
        <v>309</v>
      </c>
      <c r="F39" s="191" t="s">
        <v>43</v>
      </c>
      <c r="G39" s="191" t="s">
        <v>142</v>
      </c>
      <c r="H39" s="191" t="s">
        <v>4</v>
      </c>
      <c r="I39" s="191" t="s">
        <v>41</v>
      </c>
      <c r="J39" s="191" t="s">
        <v>43</v>
      </c>
      <c r="K39" s="191" t="s">
        <v>142</v>
      </c>
      <c r="L39" s="191" t="s">
        <v>4</v>
      </c>
      <c r="M39" s="191" t="s">
        <v>41</v>
      </c>
      <c r="N39" s="191" t="s">
        <v>43</v>
      </c>
      <c r="O39" s="191" t="s">
        <v>142</v>
      </c>
      <c r="P39" s="191" t="s">
        <v>4</v>
      </c>
      <c r="Q39" s="191" t="s">
        <v>41</v>
      </c>
      <c r="R39" s="191" t="s">
        <v>43</v>
      </c>
      <c r="S39" s="191" t="s">
        <v>142</v>
      </c>
      <c r="T39" s="191" t="s">
        <v>4</v>
      </c>
      <c r="U39" s="191" t="s">
        <v>41</v>
      </c>
      <c r="V39" s="191" t="s">
        <v>43</v>
      </c>
      <c r="W39" s="191" t="s">
        <v>142</v>
      </c>
      <c r="X39" s="191" t="s">
        <v>4</v>
      </c>
      <c r="Y39" s="191" t="s">
        <v>41</v>
      </c>
      <c r="Z39" s="191" t="s">
        <v>43</v>
      </c>
      <c r="AA39" s="191" t="s">
        <v>142</v>
      </c>
      <c r="AB39" s="191" t="s">
        <v>4</v>
      </c>
      <c r="AC39" s="191" t="s">
        <v>41</v>
      </c>
      <c r="AD39" s="191" t="s">
        <v>43</v>
      </c>
      <c r="AE39" s="191" t="s">
        <v>142</v>
      </c>
      <c r="AF39" s="191" t="s">
        <v>4</v>
      </c>
      <c r="AG39" s="191"/>
      <c r="AH39" s="191"/>
      <c r="AI39" s="191"/>
      <c r="AJ39" s="294">
        <f>IFERROR(COUNTIF(E39:AI39,"=Р")+COUNTIF(E39:AI39,"=Р1")+COUNTIF(E39:AI39,"=ВЧ")+COUNTIF(E39:AI39,"=РН")+COUNTIF(E39:AI39,"=Р2")+COUNTIF(E39:AI39,"=Р1/РВ")+COUNTIF(E39:AI39,"=Р2/РВ")+COUNTIF(E39:AI39,"=ВЧ/РВ")+COUNTIF(E39:AI39,"=РН/РВ"),0)</f>
        <v>20</v>
      </c>
      <c r="AK39" s="211">
        <f>IFERROR(SUMIF(E39:AI39,"=Р2",E40:AI40)+SUMIF(E39:AI39,"=ВЧ/РВ",E40:AI40)+SUMIF(E39:AI39,"=РН/РВ",E40:AI40)+SUMIF(E39:AI39,"=Р1/РВ",E40:AI40)+SUMIF(E39:AI39,"=ВЧ2/РВ",E40:AI40)+SUMIF(E39:AI39,"=Р2/РВ",E40:AI40)+SUMIF(E39:AI39,"=Р",E40:AI40)+SUMIF(E39:AI39,"=Р1",E40:AI40)+SUMIF(E39:AI39,"=ВЧ1",E40:AI40)+SUMIF(E39:AI39,"=РН",E40:AI40)+SUMIF(E39:AI39,"=ВЧ",E40:AI40),0)+AL39</f>
        <v>164</v>
      </c>
      <c r="AL39" s="211">
        <f>IFERROR(SUMIF(E39:AI39,"=НУ",E40:AI40),0)</f>
        <v>0</v>
      </c>
      <c r="AM39" s="211">
        <f>IFERROR(SUMIF(E39:AI39,"=РН",E40:AI40)+SUMIF(E39:AI39,"=РН/РВ",E40:AI40)+SUMIFS(E40:AI40,E39:AI39,"=Р2",E40:AI40,"=8"),0)</f>
        <v>56</v>
      </c>
      <c r="AN39" s="211">
        <f>IFERROR(SUMIF(E39:AI39,"=ВЧ",E40:AI40)+SUMIF(E39:AI39,"=ВЧ/РВ",E40:AI40)+CEILING(COUNTIFS(E39:AI39,"=Р2",E40:AI40,"=7")*4,1)+CEILING(COUNTIFS(E39:AI39,"=Р2/РВ",E40:AI40,"=7")*4,1)+SUMIFS(E40:AI40,E39:AI39,"=Р1/РВ",E40:AI40,"=12")/6+SUMIFS(E40:AI40,E39:AI39,"=ВЧ2/РВ",E40:AI40,"=4")/2+SUMIFS(E40:AI40,E39:AI39,"=Р1",E40:AI40,"=12")/6+SUMIFS(E40:AI40,E39:AI39,"=Р1",E40:AI40,"=8")/4+SUMIF(E39:AI39,"=ВЧ1",E40:AI40)/2,0)</f>
        <v>26</v>
      </c>
      <c r="AO39" s="211">
        <f>IFERROR(SUMIF(E39:AI39,"=РВ",E40:AI40)+SUMIF(E39:AI39,"=ВЧ/РВ",E40:AI40)+SUMIF(E39:AI39,"=РН/РВ",E40:AI40)+SUMIF(E39:AI39,"=Р1/РВ",E40:AI40)+SUMIF(E39:AI39,"=ВЧ2/РВ",E40:AI40)+SUMIF(E39:AI39,"=Р2/РВ",E40:AI40),0)</f>
        <v>0</v>
      </c>
      <c r="AP39" s="211">
        <f>IFERROR(COUNTIF(E39:AI39,"=ВВ")+COUNTIF(E39:AI39,"=Р1/ВВ")+COUNTIF(E39:AI39,"=РН/ВВ")+COUNTIF(E39:AI39,"=ВЧ/ВВ"),0)</f>
        <v>7</v>
      </c>
      <c r="AQ39" s="211">
        <f>SUM(AR39:AZ39)</f>
        <v>0</v>
      </c>
      <c r="AR39" s="211">
        <f>IFERROR(SUMIF(E39:AI39,"=В",E40:AI40)+SUMIF(E39:AI39,"=Ч",E40:AI40)+SUMIF(E39:AI39,"=ВБ",E40:AI40),0)</f>
        <v>0</v>
      </c>
      <c r="AS39" s="211">
        <f>IFERROR(SUMIF(E39:AI39,"=Н",E40:AI40),0)</f>
        <v>0</v>
      </c>
      <c r="AT39" s="211">
        <f>IFERROR(SUMIF(E39:AI39,"=НА",E40:AI40),0)</f>
        <v>0</v>
      </c>
      <c r="AU39" s="211">
        <f>IFERROR(SUMIF(E39:AI39,"=ВП",E40:AI40),0)</f>
        <v>0</v>
      </c>
      <c r="AV39" s="211">
        <f>IFERROR(SUMIF(E39:AI39,"=ДД",E40:AI40),0)</f>
        <v>0</v>
      </c>
      <c r="AW39" s="202">
        <f>IFERROR(SUMIF(E39:AI39,"=ДО",E40:AI40),0)</f>
        <v>0</v>
      </c>
      <c r="AX39" s="211">
        <f>IFERROR(SUMIF(E39:AI39,"=ТН",E40:AI40),0)</f>
        <v>0</v>
      </c>
      <c r="AY39" s="211">
        <f>IFERROR(SUMIF(E39:AI39,"=ВД",E40:AI40),0)</f>
        <v>0</v>
      </c>
      <c r="AZ39" s="312">
        <f>IFERROR(SUMIF(E39:AI39,"=ІН",E40:AI40),0)+SUMIF(E39:AI39,"=НЗ",E40:AI40)</f>
        <v>0</v>
      </c>
    </row>
    <row r="40" spans="1:52" s="177" customFormat="1" ht="20.100000000000001" customHeight="1" thickBot="1" x14ac:dyDescent="0.25">
      <c r="A40" s="306"/>
      <c r="B40" s="229"/>
      <c r="C40" s="280"/>
      <c r="D40" s="280"/>
      <c r="E40" s="192">
        <v>4</v>
      </c>
      <c r="F40" s="192">
        <v>8</v>
      </c>
      <c r="G40" s="192"/>
      <c r="H40" s="192">
        <v>12</v>
      </c>
      <c r="I40" s="192">
        <v>4</v>
      </c>
      <c r="J40" s="192">
        <v>8</v>
      </c>
      <c r="K40" s="192"/>
      <c r="L40" s="192">
        <v>12</v>
      </c>
      <c r="M40" s="192">
        <v>4</v>
      </c>
      <c r="N40" s="192">
        <v>8</v>
      </c>
      <c r="O40" s="192"/>
      <c r="P40" s="192">
        <v>8</v>
      </c>
      <c r="Q40" s="192">
        <v>4</v>
      </c>
      <c r="R40" s="192">
        <v>8</v>
      </c>
      <c r="S40" s="192"/>
      <c r="T40" s="192">
        <v>12</v>
      </c>
      <c r="U40" s="192">
        <v>4</v>
      </c>
      <c r="V40" s="192">
        <v>8</v>
      </c>
      <c r="W40" s="192"/>
      <c r="X40" s="192">
        <v>12</v>
      </c>
      <c r="Y40" s="192">
        <v>4</v>
      </c>
      <c r="Z40" s="192">
        <v>8</v>
      </c>
      <c r="AA40" s="192"/>
      <c r="AB40" s="192">
        <v>12</v>
      </c>
      <c r="AC40" s="192">
        <v>4</v>
      </c>
      <c r="AD40" s="192">
        <v>8</v>
      </c>
      <c r="AE40" s="192"/>
      <c r="AF40" s="192">
        <v>12</v>
      </c>
      <c r="AG40" s="192" t="s">
        <v>491</v>
      </c>
      <c r="AH40" s="192" t="s">
        <v>492</v>
      </c>
      <c r="AI40" s="192" t="s">
        <v>493</v>
      </c>
      <c r="AJ40" s="314"/>
      <c r="AK40" s="212"/>
      <c r="AL40" s="212"/>
      <c r="AM40" s="212"/>
      <c r="AN40" s="212"/>
      <c r="AO40" s="212"/>
      <c r="AP40" s="212"/>
      <c r="AQ40" s="311"/>
      <c r="AR40" s="311"/>
      <c r="AS40" s="311"/>
      <c r="AT40" s="311"/>
      <c r="AU40" s="311"/>
      <c r="AV40" s="311"/>
      <c r="AW40" s="203"/>
      <c r="AX40" s="311"/>
      <c r="AY40" s="311"/>
      <c r="AZ40" s="313"/>
    </row>
    <row r="41" spans="1:52" ht="20.100000000000001" customHeight="1" x14ac:dyDescent="0.2">
      <c r="A41" s="305">
        <f t="shared" ref="A41" si="12">A39+1</f>
        <v>13</v>
      </c>
      <c r="B41" s="228" t="s">
        <v>157</v>
      </c>
      <c r="C41" s="279">
        <v>1994</v>
      </c>
      <c r="D41" s="279" t="s">
        <v>65</v>
      </c>
      <c r="E41" s="191" t="s">
        <v>142</v>
      </c>
      <c r="F41" s="191" t="s">
        <v>142</v>
      </c>
      <c r="G41" s="191" t="s">
        <v>4</v>
      </c>
      <c r="H41" s="191" t="s">
        <v>4</v>
      </c>
      <c r="I41" s="191" t="s">
        <v>4</v>
      </c>
      <c r="J41" s="191" t="s">
        <v>4</v>
      </c>
      <c r="K41" s="191" t="s">
        <v>4</v>
      </c>
      <c r="L41" s="191" t="s">
        <v>142</v>
      </c>
      <c r="M41" s="191" t="s">
        <v>142</v>
      </c>
      <c r="N41" s="191" t="s">
        <v>4</v>
      </c>
      <c r="O41" s="191" t="s">
        <v>4</v>
      </c>
      <c r="P41" s="191" t="s">
        <v>4</v>
      </c>
      <c r="Q41" s="191" t="s">
        <v>4</v>
      </c>
      <c r="R41" s="191" t="s">
        <v>4</v>
      </c>
      <c r="S41" s="191" t="s">
        <v>142</v>
      </c>
      <c r="T41" s="191" t="s">
        <v>142</v>
      </c>
      <c r="U41" s="191" t="s">
        <v>4</v>
      </c>
      <c r="V41" s="191" t="s">
        <v>4</v>
      </c>
      <c r="W41" s="191" t="s">
        <v>4</v>
      </c>
      <c r="X41" s="191" t="s">
        <v>4</v>
      </c>
      <c r="Y41" s="191" t="s">
        <v>4</v>
      </c>
      <c r="Z41" s="191" t="s">
        <v>142</v>
      </c>
      <c r="AA41" s="191" t="s">
        <v>142</v>
      </c>
      <c r="AB41" s="191" t="s">
        <v>4</v>
      </c>
      <c r="AC41" s="191" t="s">
        <v>4</v>
      </c>
      <c r="AD41" s="191" t="s">
        <v>4</v>
      </c>
      <c r="AE41" s="191" t="s">
        <v>4</v>
      </c>
      <c r="AF41" s="191" t="s">
        <v>4</v>
      </c>
      <c r="AG41" s="191" t="s">
        <v>142</v>
      </c>
      <c r="AH41" s="191" t="s">
        <v>142</v>
      </c>
      <c r="AI41" s="191" t="s">
        <v>4</v>
      </c>
      <c r="AJ41" s="294">
        <f>IFERROR(COUNTIF(E41:AI41,"=Р")+COUNTIF(E41:AI41,"=Р1")+COUNTIF(E41:AI41,"=ВЧ")+COUNTIF(E41:AI41,"=РН")+COUNTIF(E41:AI41,"=Р2")+COUNTIF(E41:AI41,"=Р1/РВ")+COUNTIF(E41:AI41,"=Р2/РВ")+COUNTIF(E41:AI41,"=ВЧ/РВ")+COUNTIF(E41:AI41,"=РН/РВ"),0)</f>
        <v>21</v>
      </c>
      <c r="AK41" s="211">
        <f>IFERROR(SUMIF(E41:AI41,"=Р2",E42:AI42)+SUMIF(E41:AI41,"=ВЧ/РВ",E42:AI42)+SUMIF(E41:AI41,"=РН/РВ",E42:AI42)+SUMIF(E41:AI41,"=Р1/РВ",E42:AI42)+SUMIF(E41:AI41,"=ВЧ2/РВ",E42:AI42)+SUMIF(E41:AI41,"=Р2/РВ",E42:AI42)+SUMIF(E41:AI41,"=Р",E42:AI42)+SUMIF(E41:AI41,"=Р1",E42:AI42)+SUMIF(E41:AI41,"=ВЧ1",E42:AI42)+SUMIF(E41:AI41,"=РН",E42:AI42)+SUMIF(E41:AI41,"=ВЧ",E42:AI42),0)+AL41</f>
        <v>167.99999999999997</v>
      </c>
      <c r="AL41" s="211">
        <f>IFERROR(SUMIF(E41:AI41,"=НУ",E42:AI42),0)</f>
        <v>0</v>
      </c>
      <c r="AM41" s="211">
        <f>IFERROR(SUMIF(E41:AI41,"=РН",E42:AI42)+SUMIF(E41:AI41,"=РН/РВ",E42:AI42)+SUMIFS(E42:AI42,E41:AI41,"=Р2",E42:AI42,"=8"),0)</f>
        <v>0</v>
      </c>
      <c r="AN41" s="211">
        <f t="shared" si="2"/>
        <v>0</v>
      </c>
      <c r="AO41" s="211">
        <f>IFERROR(SUMIF(E41:AI41,"=РВ",E42:AI42)+SUMIF(E41:AI41,"=ВЧ/РВ",E42:AI42)+SUMIF(E41:AI41,"=РН/РВ",E42:AI42)+SUMIF(E41:AI41,"=Р1/РВ",E42:AI42)+SUMIF(E41:AI41,"=ВЧ2/РВ",E42:AI42)+SUMIF(E41:AI41,"=Р2/РВ",E42:AI42),0)</f>
        <v>0</v>
      </c>
      <c r="AP41" s="211">
        <f t="shared" si="3"/>
        <v>10</v>
      </c>
      <c r="AQ41" s="211">
        <f>SUM(AR41:AZ41)</f>
        <v>0</v>
      </c>
      <c r="AR41" s="211">
        <f>IFERROR(SUMIF(E41:AI41,"=В",E42:AI42)+SUMIF(E41:AI41,"=Ч",E42:AI42)+SUMIF(E41:AI41,"=ВБ",E42:AI42),0)</f>
        <v>0</v>
      </c>
      <c r="AS41" s="211">
        <f>IFERROR(SUMIF(E41:AI41,"=Н",E42:AI42),0)</f>
        <v>0</v>
      </c>
      <c r="AT41" s="211">
        <f>IFERROR(SUMIF(E41:AI41,"=НА",E42:AI42),0)</f>
        <v>0</v>
      </c>
      <c r="AU41" s="211">
        <f>IFERROR(SUMIF(E41:AI41,"=ВП",E42:AI42),0)</f>
        <v>0</v>
      </c>
      <c r="AV41" s="211">
        <f>IFERROR(SUMIF(E41:AI41,"=ДД",E42:AI42),0)</f>
        <v>0</v>
      </c>
      <c r="AW41" s="202">
        <f>IFERROR(SUMIF(E41:AI41,"=ДО",E42:AI42),0)</f>
        <v>0</v>
      </c>
      <c r="AX41" s="211">
        <f>IFERROR(SUMIF(E41:AI41,"=ТН",E42:AI42),0)</f>
        <v>0</v>
      </c>
      <c r="AY41" s="211">
        <f>IFERROR(SUMIF(E41:AI41,"=ВД",E42:AI42),0)</f>
        <v>0</v>
      </c>
      <c r="AZ41" s="312">
        <f>IFERROR(SUMIF(E41:AI41,"=ІН",E42:AI42),0)+SUMIF(E41:AI41,"=НЗ",E42:AI42)</f>
        <v>0</v>
      </c>
    </row>
    <row r="42" spans="1:52" ht="20.100000000000001" customHeight="1" thickBot="1" x14ac:dyDescent="0.25">
      <c r="A42" s="306"/>
      <c r="B42" s="229"/>
      <c r="C42" s="280"/>
      <c r="D42" s="280"/>
      <c r="E42" s="192"/>
      <c r="F42" s="192"/>
      <c r="G42" s="192">
        <v>8.1999999999999993</v>
      </c>
      <c r="H42" s="192">
        <v>8.1999999999999993</v>
      </c>
      <c r="I42" s="192">
        <v>8.1999999999999993</v>
      </c>
      <c r="J42" s="192">
        <v>8.1999999999999993</v>
      </c>
      <c r="K42" s="192">
        <v>7</v>
      </c>
      <c r="L42" s="192"/>
      <c r="M42" s="192"/>
      <c r="N42" s="192">
        <v>8.1999999999999993</v>
      </c>
      <c r="O42" s="192">
        <v>8.1999999999999993</v>
      </c>
      <c r="P42" s="192">
        <v>8.1999999999999993</v>
      </c>
      <c r="Q42" s="192">
        <v>8.1999999999999993</v>
      </c>
      <c r="R42" s="192">
        <v>7.2</v>
      </c>
      <c r="S42" s="192"/>
      <c r="T42" s="192"/>
      <c r="U42" s="192">
        <v>8.1999999999999993</v>
      </c>
      <c r="V42" s="192">
        <v>8.1999999999999993</v>
      </c>
      <c r="W42" s="192">
        <v>8.1999999999999993</v>
      </c>
      <c r="X42" s="192">
        <v>8.1999999999999993</v>
      </c>
      <c r="Y42" s="192">
        <v>7.2</v>
      </c>
      <c r="Z42" s="192"/>
      <c r="AA42" s="192"/>
      <c r="AB42" s="192">
        <v>8.1999999999999993</v>
      </c>
      <c r="AC42" s="192">
        <v>8.1999999999999993</v>
      </c>
      <c r="AD42" s="192">
        <v>8.1999999999999993</v>
      </c>
      <c r="AE42" s="192">
        <v>8.1999999999999993</v>
      </c>
      <c r="AF42" s="192">
        <v>7.2</v>
      </c>
      <c r="AG42" s="192"/>
      <c r="AH42" s="192"/>
      <c r="AI42" s="192">
        <v>8.1999999999999993</v>
      </c>
      <c r="AJ42" s="314"/>
      <c r="AK42" s="212"/>
      <c r="AL42" s="212"/>
      <c r="AM42" s="212"/>
      <c r="AN42" s="212"/>
      <c r="AO42" s="212"/>
      <c r="AP42" s="212"/>
      <c r="AQ42" s="311"/>
      <c r="AR42" s="311"/>
      <c r="AS42" s="311"/>
      <c r="AT42" s="311"/>
      <c r="AU42" s="311"/>
      <c r="AV42" s="311"/>
      <c r="AW42" s="203"/>
      <c r="AX42" s="311"/>
      <c r="AY42" s="311"/>
      <c r="AZ42" s="313"/>
    </row>
    <row r="43" spans="1:52" s="177" customFormat="1" ht="18.75" customHeight="1" x14ac:dyDescent="0.2">
      <c r="A43" s="305">
        <f t="shared" ref="A43" si="13">A41+1</f>
        <v>14</v>
      </c>
      <c r="B43" s="228" t="s">
        <v>418</v>
      </c>
      <c r="C43" s="279">
        <v>1586</v>
      </c>
      <c r="D43" s="279" t="s">
        <v>72</v>
      </c>
      <c r="E43" s="191" t="s">
        <v>4</v>
      </c>
      <c r="F43" s="191" t="s">
        <v>41</v>
      </c>
      <c r="G43" s="191" t="s">
        <v>43</v>
      </c>
      <c r="H43" s="191" t="s">
        <v>142</v>
      </c>
      <c r="I43" s="191" t="s">
        <v>4</v>
      </c>
      <c r="J43" s="191" t="s">
        <v>41</v>
      </c>
      <c r="K43" s="191" t="s">
        <v>43</v>
      </c>
      <c r="L43" s="191" t="s">
        <v>142</v>
      </c>
      <c r="M43" s="191" t="s">
        <v>4</v>
      </c>
      <c r="N43" s="191" t="s">
        <v>41</v>
      </c>
      <c r="O43" s="191" t="s">
        <v>43</v>
      </c>
      <c r="P43" s="191" t="s">
        <v>142</v>
      </c>
      <c r="Q43" s="191" t="s">
        <v>4</v>
      </c>
      <c r="R43" s="191" t="s">
        <v>41</v>
      </c>
      <c r="S43" s="191" t="s">
        <v>43</v>
      </c>
      <c r="T43" s="191" t="s">
        <v>142</v>
      </c>
      <c r="U43" s="191" t="s">
        <v>4</v>
      </c>
      <c r="V43" s="191" t="s">
        <v>41</v>
      </c>
      <c r="W43" s="191" t="s">
        <v>43</v>
      </c>
      <c r="X43" s="191" t="s">
        <v>52</v>
      </c>
      <c r="Y43" s="191" t="s">
        <v>52</v>
      </c>
      <c r="Z43" s="191" t="s">
        <v>52</v>
      </c>
      <c r="AA43" s="191" t="s">
        <v>52</v>
      </c>
      <c r="AB43" s="191" t="s">
        <v>52</v>
      </c>
      <c r="AC43" s="191" t="s">
        <v>52</v>
      </c>
      <c r="AD43" s="191" t="s">
        <v>52</v>
      </c>
      <c r="AE43" s="191" t="s">
        <v>263</v>
      </c>
      <c r="AF43" s="191" t="s">
        <v>4</v>
      </c>
      <c r="AG43" s="191"/>
      <c r="AH43" s="191"/>
      <c r="AI43" s="191"/>
      <c r="AJ43" s="294">
        <f>IFERROR(COUNTIF(E43:AI43,"=Р")+COUNTIF(E43:AI43,"=Р1")+COUNTIF(E43:AI43,"=ВЧ")+COUNTIF(E43:AI43,"=РН")+COUNTIF(E43:AI43,"=Р2")+COUNTIF(E43:AI43,"=Р1/РВ")+COUNTIF(E43:AI43,"=Р2/РВ")+COUNTIF(E43:AI43,"=ВЧ/РВ")+COUNTIF(E43:AI43,"=РН/РВ"),0)</f>
        <v>17</v>
      </c>
      <c r="AK43" s="211">
        <f>IFERROR(SUMIF(E43:AI43,"=Р2",E44:AI44)+SUMIF(E43:AI43,"=ВЧ/РВ",E44:AI44)+SUMIF(E43:AI43,"=РН/РВ",E44:AI44)+SUMIF(E43:AI43,"=Р1/РВ",E44:AI44)+SUMIF(E43:AI43,"=ВЧ2/РВ",E44:AI44)+SUMIF(E43:AI43,"=Р2/РВ",E44:AI44)+SUMIF(E43:AI43,"=Р",E44:AI44)+SUMIF(E43:AI43,"=Р1",E44:AI44)+SUMIF(E43:AI43,"=ВЧ1",E44:AI44)+SUMIF(E43:AI43,"=РН",E44:AI44)+SUMIF(E43:AI43,"=ВЧ",E44:AI44),0)+AL43</f>
        <v>144</v>
      </c>
      <c r="AL43" s="211">
        <f>IFERROR(SUMIF(E43:AI43,"=НУ",E44:AI44),0)</f>
        <v>0</v>
      </c>
      <c r="AM43" s="211">
        <f>IFERROR(SUMIF(E43:AI43,"=РН",E44:AI44)+SUMIF(E43:AI43,"=РН/РВ",E44:AI44)+SUMIFS(E44:AI44,E43:AI43,"=Р2",E44:AI44,"=8"),0)</f>
        <v>40</v>
      </c>
      <c r="AN43" s="211">
        <f>IFERROR(SUMIF(E43:AI43,"=ВЧ",E44:AI44)+SUMIF(E43:AI43,"=ВЧ/РВ",E44:AI44)+CEILING(COUNTIFS(E43:AI43,"=Р2",E44:AI44,"=7")*4,1)+CEILING(COUNTIFS(E43:AI43,"=Р2/РВ",E44:AI44,"=7")*4,1)+SUMIFS(E44:AI44,E43:AI43,"=Р1/РВ",E44:AI44,"=12")/6+SUMIFS(E44:AI44,E43:AI43,"=ВЧ2/РВ",E44:AI44,"=4")/2+SUMIFS(E44:AI44,E43:AI43,"=Р1",E44:AI44,"=12")/6+SUMIFS(E44:AI44,E43:AI43,"=Р1",E44:AI44,"=8")/4+SUMIF(E43:AI43,"=ВЧ1",E44:AI44)/2,0)</f>
        <v>22</v>
      </c>
      <c r="AO43" s="211">
        <f>IFERROR(SUMIF(E43:AI43,"=РВ",E44:AI44)+SUMIF(E43:AI43,"=ВЧ/РВ",E44:AI44)+SUMIF(E43:AI43,"=РН/РВ",E44:AI44)+SUMIF(E43:AI43,"=Р1/РВ",E44:AI44)+SUMIF(E43:AI43,"=ВЧ2/РВ",E44:AI44)+SUMIF(E43:AI43,"=Р2/РВ",E44:AI44),0)</f>
        <v>0</v>
      </c>
      <c r="AP43" s="211">
        <f>IFERROR(COUNTIF(E43:AI43,"=ВВ")+COUNTIF(E43:AI43,"=Р1/ВВ")+COUNTIF(E43:AI43,"=РН/ВВ")+COUNTIF(E43:AI43,"=ВЧ/ВВ"),0)</f>
        <v>4</v>
      </c>
      <c r="AQ43" s="211">
        <f>SUM(AR43:AZ43)</f>
        <v>20</v>
      </c>
      <c r="AR43" s="211">
        <f>IFERROR(SUMIF(E43:AI43,"=В",E44:AI44)+SUMIF(E43:AI43,"=Ч",E44:AI44)+SUMIF(E43:AI43,"=ВБ",E44:AI44),0)</f>
        <v>0</v>
      </c>
      <c r="AS43" s="211">
        <f>IFERROR(SUMIF(E43:AI43,"=Н",E44:AI44),0)</f>
        <v>0</v>
      </c>
      <c r="AT43" s="211">
        <f>IFERROR(SUMIF(E43:AI43,"=НА",E44:AI44),0)</f>
        <v>0</v>
      </c>
      <c r="AU43" s="211">
        <f>IFERROR(SUMIF(E43:AI43,"=ВП",E44:AI44),0)</f>
        <v>0</v>
      </c>
      <c r="AV43" s="211">
        <f>IFERROR(SUMIF(E43:AI43,"=ДД",E44:AI44),0)</f>
        <v>0</v>
      </c>
      <c r="AW43" s="202">
        <f>IFERROR(SUMIF(E43:AI43,"=ДО",E44:AI44),0)</f>
        <v>0</v>
      </c>
      <c r="AX43" s="211">
        <f>IFERROR(SUMIF(E43:AI43,"=ТН",E44:AI44),0)</f>
        <v>20</v>
      </c>
      <c r="AY43" s="211">
        <f>IFERROR(SUMIF(E43:AI43,"=ВД",E44:AI44),0)</f>
        <v>0</v>
      </c>
      <c r="AZ43" s="312">
        <f>IFERROR(SUMIF(E43:AI43,"=ІН",E44:AI44),0)+SUMIF(E43:AI43,"=НЗ",E44:AI44)</f>
        <v>0</v>
      </c>
    </row>
    <row r="44" spans="1:52" s="177" customFormat="1" ht="20.100000000000001" customHeight="1" thickBot="1" x14ac:dyDescent="0.25">
      <c r="A44" s="306"/>
      <c r="B44" s="229"/>
      <c r="C44" s="280"/>
      <c r="D44" s="280"/>
      <c r="E44" s="192">
        <v>12</v>
      </c>
      <c r="F44" s="192">
        <v>4</v>
      </c>
      <c r="G44" s="192">
        <v>8</v>
      </c>
      <c r="H44" s="192"/>
      <c r="I44" s="192">
        <v>12</v>
      </c>
      <c r="J44" s="192">
        <v>4</v>
      </c>
      <c r="K44" s="192">
        <v>8</v>
      </c>
      <c r="L44" s="192"/>
      <c r="M44" s="192">
        <v>12</v>
      </c>
      <c r="N44" s="192">
        <v>4</v>
      </c>
      <c r="O44" s="192">
        <v>8</v>
      </c>
      <c r="P44" s="192"/>
      <c r="Q44" s="192">
        <v>12</v>
      </c>
      <c r="R44" s="192">
        <v>4</v>
      </c>
      <c r="S44" s="192">
        <v>8</v>
      </c>
      <c r="T44" s="192"/>
      <c r="U44" s="192">
        <v>12</v>
      </c>
      <c r="V44" s="192">
        <v>4</v>
      </c>
      <c r="W44" s="192">
        <v>8</v>
      </c>
      <c r="X44" s="192"/>
      <c r="Y44" s="192">
        <v>4</v>
      </c>
      <c r="Z44" s="192">
        <v>4</v>
      </c>
      <c r="AA44" s="192">
        <v>8</v>
      </c>
      <c r="AB44" s="192"/>
      <c r="AC44" s="192"/>
      <c r="AD44" s="192">
        <v>4</v>
      </c>
      <c r="AE44" s="192">
        <v>12</v>
      </c>
      <c r="AF44" s="192">
        <v>12</v>
      </c>
      <c r="AG44" s="192" t="s">
        <v>491</v>
      </c>
      <c r="AH44" s="192" t="s">
        <v>492</v>
      </c>
      <c r="AI44" s="192" t="s">
        <v>493</v>
      </c>
      <c r="AJ44" s="314"/>
      <c r="AK44" s="212"/>
      <c r="AL44" s="212"/>
      <c r="AM44" s="212"/>
      <c r="AN44" s="212"/>
      <c r="AO44" s="212"/>
      <c r="AP44" s="212"/>
      <c r="AQ44" s="311"/>
      <c r="AR44" s="311"/>
      <c r="AS44" s="311"/>
      <c r="AT44" s="311"/>
      <c r="AU44" s="311"/>
      <c r="AV44" s="311"/>
      <c r="AW44" s="203"/>
      <c r="AX44" s="311"/>
      <c r="AY44" s="311"/>
      <c r="AZ44" s="313"/>
    </row>
    <row r="45" spans="1:52" s="177" customFormat="1" ht="18.75" customHeight="1" x14ac:dyDescent="0.2">
      <c r="A45" s="305">
        <f t="shared" ref="A45" si="14">A43+1</f>
        <v>15</v>
      </c>
      <c r="B45" s="228" t="s">
        <v>424</v>
      </c>
      <c r="C45" s="279">
        <v>1999</v>
      </c>
      <c r="D45" s="279" t="s">
        <v>72</v>
      </c>
      <c r="E45" s="191" t="s">
        <v>4</v>
      </c>
      <c r="F45" s="191" t="s">
        <v>41</v>
      </c>
      <c r="G45" s="191" t="s">
        <v>43</v>
      </c>
      <c r="H45" s="191" t="s">
        <v>142</v>
      </c>
      <c r="I45" s="191" t="s">
        <v>4</v>
      </c>
      <c r="J45" s="191" t="s">
        <v>41</v>
      </c>
      <c r="K45" s="191" t="s">
        <v>43</v>
      </c>
      <c r="L45" s="191" t="s">
        <v>142</v>
      </c>
      <c r="M45" s="191" t="s">
        <v>4</v>
      </c>
      <c r="N45" s="191" t="s">
        <v>41</v>
      </c>
      <c r="O45" s="191" t="s">
        <v>43</v>
      </c>
      <c r="P45" s="191" t="s">
        <v>142</v>
      </c>
      <c r="Q45" s="191" t="s">
        <v>4</v>
      </c>
      <c r="R45" s="191" t="s">
        <v>41</v>
      </c>
      <c r="S45" s="191" t="s">
        <v>43</v>
      </c>
      <c r="T45" s="191" t="s">
        <v>142</v>
      </c>
      <c r="U45" s="191" t="s">
        <v>4</v>
      </c>
      <c r="V45" s="191" t="s">
        <v>41</v>
      </c>
      <c r="W45" s="191" t="s">
        <v>43</v>
      </c>
      <c r="X45" s="191" t="s">
        <v>142</v>
      </c>
      <c r="Y45" s="191" t="s">
        <v>4</v>
      </c>
      <c r="Z45" s="191" t="s">
        <v>41</v>
      </c>
      <c r="AA45" s="191" t="s">
        <v>43</v>
      </c>
      <c r="AB45" s="191" t="s">
        <v>142</v>
      </c>
      <c r="AC45" s="191" t="s">
        <v>4</v>
      </c>
      <c r="AD45" s="191" t="s">
        <v>41</v>
      </c>
      <c r="AE45" s="191" t="s">
        <v>43</v>
      </c>
      <c r="AF45" s="191" t="s">
        <v>142</v>
      </c>
      <c r="AG45" s="191"/>
      <c r="AH45" s="191"/>
      <c r="AI45" s="191"/>
      <c r="AJ45" s="294">
        <f>IFERROR(COUNTIF(E45:AI45,"=Р")+COUNTIF(E45:AI45,"=Р1")+COUNTIF(E45:AI45,"=ВЧ")+COUNTIF(E45:AI45,"=РН")+COUNTIF(E45:AI45,"=Р2")+COUNTIF(E45:AI45,"=Р1/РВ")+COUNTIF(E45:AI45,"=Р2/РВ")+COUNTIF(E45:AI45,"=ВЧ/РВ")+COUNTIF(E45:AI45,"=РН/РВ"),0)</f>
        <v>21</v>
      </c>
      <c r="AK45" s="211">
        <f>IFERROR(SUMIF(E45:AI45,"=Р2",E46:AI46)+SUMIF(E45:AI45,"=ВЧ/РВ",E46:AI46)+SUMIF(E45:AI45,"=РН/РВ",E46:AI46)+SUMIF(E45:AI45,"=Р1/РВ",E46:AI46)+SUMIF(E45:AI45,"=ВЧ2/РВ",E46:AI46)+SUMIF(E45:AI45,"=Р2/РВ",E46:AI46)+SUMIF(E45:AI45,"=Р",E46:AI46)+SUMIF(E45:AI45,"=Р1",E46:AI46)+SUMIF(E45:AI45,"=ВЧ1",E46:AI46)+SUMIF(E45:AI45,"=РН",E46:AI46)+SUMIF(E45:AI45,"=ВЧ",E46:AI46),0)+AL45</f>
        <v>164</v>
      </c>
      <c r="AL45" s="211">
        <f>IFERROR(SUMIF(E45:AI45,"=НУ",E46:AI46),0)</f>
        <v>0</v>
      </c>
      <c r="AM45" s="211">
        <f>IFERROR(SUMIF(E45:AI45,"=РН",E46:AI46)+SUMIF(E45:AI45,"=РН/РВ",E46:AI46)+SUMIFS(E46:AI46,E45:AI45,"=Р2",E46:AI46,"=8"),0)</f>
        <v>56</v>
      </c>
      <c r="AN45" s="211">
        <f>IFERROR(SUMIF(E45:AI45,"=ВЧ",E46:AI46)+SUMIF(E45:AI45,"=ВЧ/РВ",E46:AI46)+CEILING(COUNTIFS(E45:AI45,"=Р2",E46:AI46,"=7")*4,1)+CEILING(COUNTIFS(E45:AI45,"=Р2/РВ",E46:AI46,"=7")*4,1)+SUMIFS(E46:AI46,E45:AI45,"=Р1/РВ",E46:AI46,"=12")/6+SUMIFS(E46:AI46,E45:AI45,"=ВЧ2/РВ",E46:AI46,"=4")/2+SUMIFS(E46:AI46,E45:AI45,"=Р1",E46:AI46,"=12")/6+SUMIFS(E46:AI46,E45:AI45,"=Р1",E46:AI46,"=8")/4+SUMIF(E45:AI45,"=ВЧ1",E46:AI46)/2,0)</f>
        <v>28</v>
      </c>
      <c r="AO45" s="211">
        <f>IFERROR(SUMIF(E45:AI45,"=РВ",E46:AI46)+SUMIF(E45:AI45,"=ВЧ/РВ",E46:AI46)+SUMIF(E45:AI45,"=РН/РВ",E46:AI46)+SUMIF(E45:AI45,"=Р1/РВ",E46:AI46)+SUMIF(E45:AI45,"=ВЧ2/РВ",E46:AI46)+SUMIF(E45:AI45,"=Р2/РВ",E46:AI46),0)</f>
        <v>0</v>
      </c>
      <c r="AP45" s="211">
        <f>IFERROR(COUNTIF(E45:AI45,"=ВВ")+COUNTIF(E45:AI45,"=Р1/ВВ")+COUNTIF(E45:AI45,"=РН/ВВ")+COUNTIF(E45:AI45,"=ВЧ/ВВ"),0)</f>
        <v>7</v>
      </c>
      <c r="AQ45" s="211">
        <f>SUM(AR45:AZ45)</f>
        <v>0</v>
      </c>
      <c r="AR45" s="211">
        <f>IFERROR(SUMIF(E45:AI45,"=В",E46:AI46)+SUMIF(E45:AI45,"=Ч",E46:AI46)+SUMIF(E45:AI45,"=ВБ",E46:AI46),0)</f>
        <v>0</v>
      </c>
      <c r="AS45" s="211">
        <f>IFERROR(SUMIF(E45:AI45,"=Н",E46:AI46),0)</f>
        <v>0</v>
      </c>
      <c r="AT45" s="211">
        <f>IFERROR(SUMIF(E45:AI45,"=НА",E46:AI46),0)</f>
        <v>0</v>
      </c>
      <c r="AU45" s="211">
        <f>IFERROR(SUMIF(E45:AI45,"=ВП",E46:AI46),0)</f>
        <v>0</v>
      </c>
      <c r="AV45" s="211">
        <f>IFERROR(SUMIF(E45:AI45,"=ДД",E46:AI46),0)</f>
        <v>0</v>
      </c>
      <c r="AW45" s="202">
        <f>IFERROR(SUMIF(E45:AI45,"=ДО",E46:AI46),0)</f>
        <v>0</v>
      </c>
      <c r="AX45" s="211">
        <f>IFERROR(SUMIF(E45:AI45,"=ТН",E46:AI46),0)</f>
        <v>0</v>
      </c>
      <c r="AY45" s="211">
        <f>IFERROR(SUMIF(E45:AI45,"=ВД",E46:AI46),0)</f>
        <v>0</v>
      </c>
      <c r="AZ45" s="312">
        <f>IFERROR(SUMIF(E45:AI45,"=ІН",E46:AI46),0)+SUMIF(E45:AI45,"=НЗ",E46:AI46)</f>
        <v>0</v>
      </c>
    </row>
    <row r="46" spans="1:52" s="177" customFormat="1" ht="20.100000000000001" customHeight="1" thickBot="1" x14ac:dyDescent="0.25">
      <c r="A46" s="306"/>
      <c r="B46" s="229"/>
      <c r="C46" s="280"/>
      <c r="D46" s="280"/>
      <c r="E46" s="192">
        <v>12</v>
      </c>
      <c r="F46" s="192">
        <v>4</v>
      </c>
      <c r="G46" s="192">
        <v>8</v>
      </c>
      <c r="H46" s="192"/>
      <c r="I46" s="192">
        <v>12</v>
      </c>
      <c r="J46" s="192">
        <v>4</v>
      </c>
      <c r="K46" s="192">
        <v>8</v>
      </c>
      <c r="L46" s="192"/>
      <c r="M46" s="192">
        <v>12</v>
      </c>
      <c r="N46" s="192">
        <v>4</v>
      </c>
      <c r="O46" s="192">
        <v>8</v>
      </c>
      <c r="P46" s="192"/>
      <c r="Q46" s="192">
        <v>12</v>
      </c>
      <c r="R46" s="192">
        <v>4</v>
      </c>
      <c r="S46" s="192">
        <v>8</v>
      </c>
      <c r="T46" s="192"/>
      <c r="U46" s="192">
        <v>8</v>
      </c>
      <c r="V46" s="192">
        <v>4</v>
      </c>
      <c r="W46" s="192">
        <v>8</v>
      </c>
      <c r="X46" s="192"/>
      <c r="Y46" s="192">
        <v>12</v>
      </c>
      <c r="Z46" s="192">
        <v>4</v>
      </c>
      <c r="AA46" s="192">
        <v>8</v>
      </c>
      <c r="AB46" s="192"/>
      <c r="AC46" s="192">
        <v>12</v>
      </c>
      <c r="AD46" s="192">
        <v>4</v>
      </c>
      <c r="AE46" s="192">
        <v>8</v>
      </c>
      <c r="AF46" s="192"/>
      <c r="AG46" s="192" t="s">
        <v>491</v>
      </c>
      <c r="AH46" s="192" t="s">
        <v>492</v>
      </c>
      <c r="AI46" s="192" t="s">
        <v>493</v>
      </c>
      <c r="AJ46" s="314"/>
      <c r="AK46" s="212"/>
      <c r="AL46" s="212"/>
      <c r="AM46" s="212"/>
      <c r="AN46" s="212"/>
      <c r="AO46" s="212"/>
      <c r="AP46" s="212"/>
      <c r="AQ46" s="311"/>
      <c r="AR46" s="311"/>
      <c r="AS46" s="311"/>
      <c r="AT46" s="311"/>
      <c r="AU46" s="311"/>
      <c r="AV46" s="311"/>
      <c r="AW46" s="203"/>
      <c r="AX46" s="311"/>
      <c r="AY46" s="311"/>
      <c r="AZ46" s="313"/>
    </row>
    <row r="47" spans="1:52" s="177" customFormat="1" ht="18.75" customHeight="1" x14ac:dyDescent="0.2">
      <c r="A47" s="305">
        <f t="shared" ref="A47" si="15">A45+1</f>
        <v>16</v>
      </c>
      <c r="B47" s="228" t="s">
        <v>433</v>
      </c>
      <c r="C47" s="279">
        <v>134</v>
      </c>
      <c r="D47" s="279" t="s">
        <v>72</v>
      </c>
      <c r="E47" s="191" t="s">
        <v>309</v>
      </c>
      <c r="F47" s="191" t="s">
        <v>43</v>
      </c>
      <c r="G47" s="191" t="s">
        <v>142</v>
      </c>
      <c r="H47" s="191" t="s">
        <v>4</v>
      </c>
      <c r="I47" s="191" t="s">
        <v>41</v>
      </c>
      <c r="J47" s="191" t="s">
        <v>43</v>
      </c>
      <c r="K47" s="191" t="s">
        <v>142</v>
      </c>
      <c r="L47" s="191" t="s">
        <v>4</v>
      </c>
      <c r="M47" s="191" t="s">
        <v>41</v>
      </c>
      <c r="N47" s="191" t="s">
        <v>43</v>
      </c>
      <c r="O47" s="191" t="s">
        <v>142</v>
      </c>
      <c r="P47" s="191" t="s">
        <v>4</v>
      </c>
      <c r="Q47" s="191" t="s">
        <v>41</v>
      </c>
      <c r="R47" s="191" t="s">
        <v>43</v>
      </c>
      <c r="S47" s="191" t="s">
        <v>142</v>
      </c>
      <c r="T47" s="191" t="s">
        <v>4</v>
      </c>
      <c r="U47" s="191" t="s">
        <v>41</v>
      </c>
      <c r="V47" s="191" t="s">
        <v>43</v>
      </c>
      <c r="W47" s="191" t="s">
        <v>142</v>
      </c>
      <c r="X47" s="191" t="s">
        <v>4</v>
      </c>
      <c r="Y47" s="191" t="s">
        <v>41</v>
      </c>
      <c r="Z47" s="191" t="s">
        <v>43</v>
      </c>
      <c r="AA47" s="191" t="s">
        <v>142</v>
      </c>
      <c r="AB47" s="191" t="s">
        <v>4</v>
      </c>
      <c r="AC47" s="191" t="s">
        <v>41</v>
      </c>
      <c r="AD47" s="191" t="s">
        <v>43</v>
      </c>
      <c r="AE47" s="191" t="s">
        <v>142</v>
      </c>
      <c r="AF47" s="191" t="s">
        <v>4</v>
      </c>
      <c r="AG47" s="191"/>
      <c r="AH47" s="191"/>
      <c r="AI47" s="191"/>
      <c r="AJ47" s="294">
        <f>IFERROR(COUNTIF(E47:AI47,"=Р")+COUNTIF(E47:AI47,"=Р1")+COUNTIF(E47:AI47,"=ВЧ")+COUNTIF(E47:AI47,"=РН")+COUNTIF(E47:AI47,"=Р2")+COUNTIF(E47:AI47,"=Р1/РВ")+COUNTIF(E47:AI47,"=Р2/РВ")+COUNTIF(E47:AI47,"=ВЧ/РВ")+COUNTIF(E47:AI47,"=РН/РВ"),0)</f>
        <v>20</v>
      </c>
      <c r="AK47" s="211">
        <f>IFERROR(SUMIF(E47:AI47,"=Р2",E48:AI48)+SUMIF(E47:AI47,"=ВЧ/РВ",E48:AI48)+SUMIF(E47:AI47,"=РН/РВ",E48:AI48)+SUMIF(E47:AI47,"=Р1/РВ",E48:AI48)+SUMIF(E47:AI47,"=ВЧ2/РВ",E48:AI48)+SUMIF(E47:AI47,"=Р2/РВ",E48:AI48)+SUMIF(E47:AI47,"=Р",E48:AI48)+SUMIF(E47:AI47,"=Р1",E48:AI48)+SUMIF(E47:AI47,"=ВЧ1",E48:AI48)+SUMIF(E47:AI47,"=РН",E48:AI48)+SUMIF(E47:AI47,"=ВЧ",E48:AI48),0)+AL47</f>
        <v>164</v>
      </c>
      <c r="AL47" s="211">
        <f>IFERROR(SUMIF(E47:AI47,"=НУ",E48:AI48),0)</f>
        <v>0</v>
      </c>
      <c r="AM47" s="211">
        <f>IFERROR(SUMIF(E47:AI47,"=РН",E48:AI48)+SUMIF(E47:AI47,"=РН/РВ",E48:AI48)+SUMIFS(E48:AI48,E47:AI47,"=Р2",E48:AI48,"=8"),0)</f>
        <v>56</v>
      </c>
      <c r="AN47" s="211">
        <f>IFERROR(SUMIF(E47:AI47,"=ВЧ",E48:AI48)+SUMIF(E47:AI47,"=ВЧ/РВ",E48:AI48)+CEILING(COUNTIFS(E47:AI47,"=Р2",E48:AI48,"=7")*4,1)+CEILING(COUNTIFS(E47:AI47,"=Р2/РВ",E48:AI48,"=7")*4,1)+SUMIFS(E48:AI48,E47:AI47,"=Р1/РВ",E48:AI48,"=12")/6+SUMIFS(E48:AI48,E47:AI47,"=ВЧ2/РВ",E48:AI48,"=4")/2+SUMIFS(E48:AI48,E47:AI47,"=Р1",E48:AI48,"=12")/6+SUMIFS(E48:AI48,E47:AI47,"=Р1",E48:AI48,"=8")/4+SUMIF(E47:AI47,"=ВЧ1",E48:AI48)/2,0)</f>
        <v>26</v>
      </c>
      <c r="AO47" s="211">
        <f>IFERROR(SUMIF(E47:AI47,"=РВ",E48:AI48)+SUMIF(E47:AI47,"=ВЧ/РВ",E48:AI48)+SUMIF(E47:AI47,"=РН/РВ",E48:AI48)+SUMIF(E47:AI47,"=Р1/РВ",E48:AI48)+SUMIF(E47:AI47,"=ВЧ2/РВ",E48:AI48)+SUMIF(E47:AI47,"=Р2/РВ",E48:AI48),0)</f>
        <v>0</v>
      </c>
      <c r="AP47" s="211">
        <f>IFERROR(COUNTIF(E47:AI47,"=ВВ")+COUNTIF(E47:AI47,"=Р1/ВВ")+COUNTIF(E47:AI47,"=РН/ВВ")+COUNTIF(E47:AI47,"=ВЧ/ВВ"),0)</f>
        <v>7</v>
      </c>
      <c r="AQ47" s="211">
        <f>SUM(AR47:AZ47)</f>
        <v>0</v>
      </c>
      <c r="AR47" s="211">
        <f>IFERROR(SUMIF(E47:AI47,"=В",E48:AI48)+SUMIF(E47:AI47,"=Ч",E48:AI48)+SUMIF(E47:AI47,"=ВБ",E48:AI48),0)</f>
        <v>0</v>
      </c>
      <c r="AS47" s="211">
        <f>IFERROR(SUMIF(E47:AI47,"=Н",E48:AI48),0)</f>
        <v>0</v>
      </c>
      <c r="AT47" s="211">
        <f>IFERROR(SUMIF(E47:AI47,"=НА",E48:AI48),0)</f>
        <v>0</v>
      </c>
      <c r="AU47" s="211">
        <f>IFERROR(SUMIF(E47:AI47,"=ВП",E48:AI48),0)</f>
        <v>0</v>
      </c>
      <c r="AV47" s="211">
        <f>IFERROR(SUMIF(E47:AI47,"=ДД",E48:AI48),0)</f>
        <v>0</v>
      </c>
      <c r="AW47" s="202">
        <f>IFERROR(SUMIF(E47:AI47,"=ДО",E48:AI48),0)</f>
        <v>0</v>
      </c>
      <c r="AX47" s="211">
        <f>IFERROR(SUMIF(E47:AI47,"=ТН",E48:AI48),0)</f>
        <v>0</v>
      </c>
      <c r="AY47" s="211">
        <f>IFERROR(SUMIF(E47:AI47,"=ВД",E48:AI48),0)</f>
        <v>0</v>
      </c>
      <c r="AZ47" s="312">
        <f>IFERROR(SUMIF(E47:AI47,"=ІН",E48:AI48),0)+SUMIF(E47:AI47,"=НЗ",E48:AI48)</f>
        <v>0</v>
      </c>
    </row>
    <row r="48" spans="1:52" s="177" customFormat="1" ht="20.100000000000001" customHeight="1" thickBot="1" x14ac:dyDescent="0.25">
      <c r="A48" s="306"/>
      <c r="B48" s="229"/>
      <c r="C48" s="280"/>
      <c r="D48" s="280"/>
      <c r="E48" s="192">
        <v>4</v>
      </c>
      <c r="F48" s="192">
        <v>8</v>
      </c>
      <c r="G48" s="192"/>
      <c r="H48" s="192">
        <v>12</v>
      </c>
      <c r="I48" s="192">
        <v>4</v>
      </c>
      <c r="J48" s="192">
        <v>8</v>
      </c>
      <c r="K48" s="192"/>
      <c r="L48" s="192">
        <v>12</v>
      </c>
      <c r="M48" s="192">
        <v>4</v>
      </c>
      <c r="N48" s="192">
        <v>8</v>
      </c>
      <c r="O48" s="192"/>
      <c r="P48" s="192">
        <v>8</v>
      </c>
      <c r="Q48" s="192">
        <v>4</v>
      </c>
      <c r="R48" s="192">
        <v>8</v>
      </c>
      <c r="S48" s="192"/>
      <c r="T48" s="192">
        <v>12</v>
      </c>
      <c r="U48" s="192">
        <v>4</v>
      </c>
      <c r="V48" s="192">
        <v>8</v>
      </c>
      <c r="W48" s="192"/>
      <c r="X48" s="192">
        <v>12</v>
      </c>
      <c r="Y48" s="192">
        <v>4</v>
      </c>
      <c r="Z48" s="192">
        <v>8</v>
      </c>
      <c r="AA48" s="192"/>
      <c r="AB48" s="192">
        <v>12</v>
      </c>
      <c r="AC48" s="192">
        <v>4</v>
      </c>
      <c r="AD48" s="192">
        <v>8</v>
      </c>
      <c r="AE48" s="192"/>
      <c r="AF48" s="192">
        <v>12</v>
      </c>
      <c r="AG48" s="192" t="s">
        <v>491</v>
      </c>
      <c r="AH48" s="192" t="s">
        <v>492</v>
      </c>
      <c r="AI48" s="192" t="s">
        <v>493</v>
      </c>
      <c r="AJ48" s="314"/>
      <c r="AK48" s="212"/>
      <c r="AL48" s="212"/>
      <c r="AM48" s="212"/>
      <c r="AN48" s="212"/>
      <c r="AO48" s="212"/>
      <c r="AP48" s="212"/>
      <c r="AQ48" s="311"/>
      <c r="AR48" s="311"/>
      <c r="AS48" s="311"/>
      <c r="AT48" s="311"/>
      <c r="AU48" s="311"/>
      <c r="AV48" s="311"/>
      <c r="AW48" s="203"/>
      <c r="AX48" s="311"/>
      <c r="AY48" s="311"/>
      <c r="AZ48" s="313"/>
    </row>
    <row r="49" spans="1:52" s="177" customFormat="1" ht="18.75" customHeight="1" x14ac:dyDescent="0.2">
      <c r="A49" s="305">
        <f t="shared" ref="A49" si="16">A47+1</f>
        <v>17</v>
      </c>
      <c r="B49" s="228" t="s">
        <v>456</v>
      </c>
      <c r="C49" s="279">
        <v>199</v>
      </c>
      <c r="D49" s="279" t="s">
        <v>72</v>
      </c>
      <c r="E49" s="191" t="s">
        <v>142</v>
      </c>
      <c r="F49" s="191" t="s">
        <v>142</v>
      </c>
      <c r="G49" s="191" t="s">
        <v>4</v>
      </c>
      <c r="H49" s="191" t="s">
        <v>4</v>
      </c>
      <c r="I49" s="191" t="s">
        <v>4</v>
      </c>
      <c r="J49" s="191" t="s">
        <v>4</v>
      </c>
      <c r="K49" s="191" t="s">
        <v>4</v>
      </c>
      <c r="L49" s="191" t="s">
        <v>142</v>
      </c>
      <c r="M49" s="191" t="s">
        <v>142</v>
      </c>
      <c r="N49" s="191" t="s">
        <v>4</v>
      </c>
      <c r="O49" s="191" t="s">
        <v>4</v>
      </c>
      <c r="P49" s="191" t="s">
        <v>4</v>
      </c>
      <c r="Q49" s="191" t="s">
        <v>4</v>
      </c>
      <c r="R49" s="191" t="s">
        <v>4</v>
      </c>
      <c r="S49" s="191" t="s">
        <v>142</v>
      </c>
      <c r="T49" s="191" t="s">
        <v>142</v>
      </c>
      <c r="U49" s="191" t="s">
        <v>4</v>
      </c>
      <c r="V49" s="191" t="s">
        <v>4</v>
      </c>
      <c r="W49" s="191" t="s">
        <v>4</v>
      </c>
      <c r="X49" s="191" t="s">
        <v>4</v>
      </c>
      <c r="Y49" s="191" t="s">
        <v>4</v>
      </c>
      <c r="Z49" s="191" t="s">
        <v>142</v>
      </c>
      <c r="AA49" s="191" t="s">
        <v>142</v>
      </c>
      <c r="AB49" s="191" t="s">
        <v>4</v>
      </c>
      <c r="AC49" s="191" t="s">
        <v>4</v>
      </c>
      <c r="AD49" s="191" t="s">
        <v>4</v>
      </c>
      <c r="AE49" s="191" t="s">
        <v>4</v>
      </c>
      <c r="AF49" s="191" t="s">
        <v>4</v>
      </c>
      <c r="AG49" s="191"/>
      <c r="AH49" s="191"/>
      <c r="AI49" s="191"/>
      <c r="AJ49" s="294">
        <f>IFERROR(COUNTIF(E49:AI49,"=Р")+COUNTIF(E49:AI49,"=Р1")+COUNTIF(E49:AI49,"=ВЧ")+COUNTIF(E49:AI49,"=РН")+COUNTIF(E49:AI49,"=Р2")+COUNTIF(E49:AI49,"=Р1/РВ")+COUNTIF(E49:AI49,"=Р2/РВ")+COUNTIF(E49:AI49,"=ВЧ/РВ")+COUNTIF(E49:AI49,"=РН/РВ"),0)</f>
        <v>20</v>
      </c>
      <c r="AK49" s="211">
        <f>IFERROR(SUMIF(E49:AI49,"=Р2",E50:AI50)+SUMIF(E49:AI49,"=ВЧ/РВ",E50:AI50)+SUMIF(E49:AI49,"=РН/РВ",E50:AI50)+SUMIF(E49:AI49,"=Р1/РВ",E50:AI50)+SUMIF(E49:AI49,"=ВЧ2/РВ",E50:AI50)+SUMIF(E49:AI49,"=Р2/РВ",E50:AI50)+SUMIF(E49:AI49,"=Р",E50:AI50)+SUMIF(E49:AI49,"=Р1",E50:AI50)+SUMIF(E49:AI49,"=ВЧ1",E50:AI50)+SUMIF(E49:AI49,"=РН",E50:AI50)+SUMIF(E49:AI49,"=ВЧ",E50:AI50),0)+AL49</f>
        <v>159.79999999999998</v>
      </c>
      <c r="AL49" s="211">
        <f>IFERROR(SUMIF(E49:AI49,"=НУ",E50:AI50),0)</f>
        <v>0</v>
      </c>
      <c r="AM49" s="211">
        <f>IFERROR(SUMIF(E49:AI49,"=РН",E50:AI50)+SUMIF(E49:AI49,"=РН/РВ",E50:AI50)+SUMIFS(E50:AI50,E49:AI49,"=Р2",E50:AI50,"=8"),0)</f>
        <v>0</v>
      </c>
      <c r="AN49" s="211">
        <f>IFERROR(SUMIF(E49:AI49,"=ВЧ",E50:AI50)+SUMIF(E49:AI49,"=ВЧ/РВ",E50:AI50)+CEILING(COUNTIFS(E49:AI49,"=Р2",E50:AI50,"=7")*4,1)+CEILING(COUNTIFS(E49:AI49,"=Р2/РВ",E50:AI50,"=7")*4,1)+SUMIFS(E50:AI50,E49:AI49,"=Р1/РВ",E50:AI50,"=12")/6+SUMIFS(E50:AI50,E49:AI49,"=ВЧ2/РВ",E50:AI50,"=4")/2+SUMIFS(E50:AI50,E49:AI49,"=Р1",E50:AI50,"=12")/6+SUMIFS(E50:AI50,E49:AI49,"=Р1",E50:AI50,"=8")/4+SUMIF(E49:AI49,"=ВЧ1",E50:AI50)/2,0)</f>
        <v>0</v>
      </c>
      <c r="AO49" s="211">
        <f>IFERROR(SUMIF(E49:AI49,"=РВ",E50:AI50)+SUMIF(E49:AI49,"=ВЧ/РВ",E50:AI50)+SUMIF(E49:AI49,"=РН/РВ",E50:AI50)+SUMIF(E49:AI49,"=Р1/РВ",E50:AI50)+SUMIF(E49:AI49,"=ВЧ2/РВ",E50:AI50)+SUMIF(E49:AI49,"=Р2/РВ",E50:AI50),0)</f>
        <v>0</v>
      </c>
      <c r="AP49" s="211">
        <f>IFERROR(COUNTIF(E49:AI49,"=ВВ")+COUNTIF(E49:AI49,"=Р1/ВВ")+COUNTIF(E49:AI49,"=РН/ВВ")+COUNTIF(E49:AI49,"=ВЧ/ВВ"),0)</f>
        <v>8</v>
      </c>
      <c r="AQ49" s="211">
        <f>SUM(AR49:AZ49)</f>
        <v>0</v>
      </c>
      <c r="AR49" s="211">
        <f>IFERROR(SUMIF(E49:AI49,"=В",E50:AI50)+SUMIF(E49:AI49,"=Ч",E50:AI50)+SUMIF(E49:AI49,"=ВБ",E50:AI50),0)</f>
        <v>0</v>
      </c>
      <c r="AS49" s="211">
        <f>IFERROR(SUMIF(E49:AI49,"=Н",E50:AI50),0)</f>
        <v>0</v>
      </c>
      <c r="AT49" s="211">
        <f>IFERROR(SUMIF(E49:AI49,"=НА",E50:AI50),0)</f>
        <v>0</v>
      </c>
      <c r="AU49" s="211">
        <f>IFERROR(SUMIF(E49:AI49,"=ВП",E50:AI50),0)</f>
        <v>0</v>
      </c>
      <c r="AV49" s="211">
        <f>IFERROR(SUMIF(E49:AI49,"=ДД",E50:AI50),0)</f>
        <v>0</v>
      </c>
      <c r="AW49" s="202">
        <f>IFERROR(SUMIF(E49:AI49,"=ДО",E50:AI50),0)</f>
        <v>0</v>
      </c>
      <c r="AX49" s="211">
        <f>IFERROR(SUMIF(E49:AI49,"=ТН",E50:AI50),0)</f>
        <v>0</v>
      </c>
      <c r="AY49" s="211">
        <f>IFERROR(SUMIF(E49:AI49,"=ВД",E50:AI50),0)</f>
        <v>0</v>
      </c>
      <c r="AZ49" s="312">
        <f>IFERROR(SUMIF(E49:AI49,"=ІН",E50:AI50),0)+SUMIF(E49:AI49,"=НЗ",E50:AI50)</f>
        <v>0</v>
      </c>
    </row>
    <row r="50" spans="1:52" s="177" customFormat="1" ht="20.100000000000001" customHeight="1" thickBot="1" x14ac:dyDescent="0.25">
      <c r="A50" s="306"/>
      <c r="B50" s="229"/>
      <c r="C50" s="280"/>
      <c r="D50" s="280"/>
      <c r="E50" s="192"/>
      <c r="F50" s="192"/>
      <c r="G50" s="192">
        <v>8.1999999999999993</v>
      </c>
      <c r="H50" s="192">
        <v>8.1999999999999993</v>
      </c>
      <c r="I50" s="192">
        <v>8.1999999999999993</v>
      </c>
      <c r="J50" s="192">
        <v>8.1999999999999993</v>
      </c>
      <c r="K50" s="192">
        <v>7</v>
      </c>
      <c r="L50" s="192"/>
      <c r="M50" s="192"/>
      <c r="N50" s="192">
        <v>8.1999999999999993</v>
      </c>
      <c r="O50" s="192">
        <v>8.1999999999999993</v>
      </c>
      <c r="P50" s="192">
        <v>8.1999999999999993</v>
      </c>
      <c r="Q50" s="192">
        <v>8.1999999999999993</v>
      </c>
      <c r="R50" s="192">
        <v>7.2</v>
      </c>
      <c r="S50" s="192"/>
      <c r="T50" s="192"/>
      <c r="U50" s="192">
        <v>8.1999999999999993</v>
      </c>
      <c r="V50" s="192">
        <v>8.1999999999999993</v>
      </c>
      <c r="W50" s="192">
        <v>8.1999999999999993</v>
      </c>
      <c r="X50" s="192">
        <v>8.1999999999999993</v>
      </c>
      <c r="Y50" s="192">
        <v>7.2</v>
      </c>
      <c r="Z50" s="192"/>
      <c r="AA50" s="192"/>
      <c r="AB50" s="192">
        <v>8.1999999999999993</v>
      </c>
      <c r="AC50" s="192">
        <v>8.1999999999999993</v>
      </c>
      <c r="AD50" s="192">
        <v>8.1999999999999993</v>
      </c>
      <c r="AE50" s="192">
        <v>8.1999999999999993</v>
      </c>
      <c r="AF50" s="192">
        <v>7.2</v>
      </c>
      <c r="AG50" s="192" t="s">
        <v>491</v>
      </c>
      <c r="AH50" s="192" t="s">
        <v>492</v>
      </c>
      <c r="AI50" s="192" t="s">
        <v>493</v>
      </c>
      <c r="AJ50" s="314"/>
      <c r="AK50" s="212"/>
      <c r="AL50" s="212"/>
      <c r="AM50" s="212"/>
      <c r="AN50" s="212"/>
      <c r="AO50" s="212"/>
      <c r="AP50" s="212"/>
      <c r="AQ50" s="311"/>
      <c r="AR50" s="311"/>
      <c r="AS50" s="311"/>
      <c r="AT50" s="311"/>
      <c r="AU50" s="311"/>
      <c r="AV50" s="311"/>
      <c r="AW50" s="203"/>
      <c r="AX50" s="311"/>
      <c r="AY50" s="311"/>
      <c r="AZ50" s="313"/>
    </row>
    <row r="51" spans="1:52" s="177" customFormat="1" ht="18.75" customHeight="1" x14ac:dyDescent="0.2">
      <c r="A51" s="305">
        <f t="shared" ref="A51" si="17">A49+1</f>
        <v>18</v>
      </c>
      <c r="B51" s="228" t="s">
        <v>425</v>
      </c>
      <c r="C51" s="279">
        <v>438</v>
      </c>
      <c r="D51" s="279" t="s">
        <v>72</v>
      </c>
      <c r="E51" s="191" t="s">
        <v>43</v>
      </c>
      <c r="F51" s="191" t="s">
        <v>142</v>
      </c>
      <c r="G51" s="191" t="s">
        <v>4</v>
      </c>
      <c r="H51" s="191" t="s">
        <v>41</v>
      </c>
      <c r="I51" s="191" t="s">
        <v>43</v>
      </c>
      <c r="J51" s="191" t="s">
        <v>142</v>
      </c>
      <c r="K51" s="191" t="s">
        <v>4</v>
      </c>
      <c r="L51" s="191" t="s">
        <v>41</v>
      </c>
      <c r="M51" s="191" t="s">
        <v>43</v>
      </c>
      <c r="N51" s="191" t="s">
        <v>142</v>
      </c>
      <c r="O51" s="191" t="s">
        <v>4</v>
      </c>
      <c r="P51" s="191" t="s">
        <v>41</v>
      </c>
      <c r="Q51" s="191" t="s">
        <v>43</v>
      </c>
      <c r="R51" s="191" t="s">
        <v>142</v>
      </c>
      <c r="S51" s="191" t="s">
        <v>4</v>
      </c>
      <c r="T51" s="191" t="s">
        <v>41</v>
      </c>
      <c r="U51" s="191" t="s">
        <v>43</v>
      </c>
      <c r="V51" s="191" t="s">
        <v>142</v>
      </c>
      <c r="W51" s="191" t="s">
        <v>4</v>
      </c>
      <c r="X51" s="191" t="s">
        <v>41</v>
      </c>
      <c r="Y51" s="191" t="s">
        <v>43</v>
      </c>
      <c r="Z51" s="191" t="s">
        <v>142</v>
      </c>
      <c r="AA51" s="191" t="s">
        <v>4</v>
      </c>
      <c r="AB51" s="191" t="s">
        <v>41</v>
      </c>
      <c r="AC51" s="191" t="s">
        <v>43</v>
      </c>
      <c r="AD51" s="191" t="s">
        <v>142</v>
      </c>
      <c r="AE51" s="191" t="s">
        <v>4</v>
      </c>
      <c r="AF51" s="191" t="s">
        <v>41</v>
      </c>
      <c r="AG51" s="191"/>
      <c r="AH51" s="191"/>
      <c r="AI51" s="191"/>
      <c r="AJ51" s="294">
        <f>IFERROR(COUNTIF(E51:AI51,"=Р")+COUNTIF(E51:AI51,"=Р1")+COUNTIF(E51:AI51,"=ВЧ")+COUNTIF(E51:AI51,"=РН")+COUNTIF(E51:AI51,"=Р2")+COUNTIF(E51:AI51,"=Р1/РВ")+COUNTIF(E51:AI51,"=Р2/РВ")+COUNTIF(E51:AI51,"=ВЧ/РВ")+COUNTIF(E51:AI51,"=РН/РВ"),0)</f>
        <v>21</v>
      </c>
      <c r="AK51" s="211">
        <f>IFERROR(SUMIF(E51:AI51,"=Р2",E52:AI52)+SUMIF(E51:AI51,"=ВЧ/РВ",E52:AI52)+SUMIF(E51:AI51,"=РН/РВ",E52:AI52)+SUMIF(E51:AI51,"=Р1/РВ",E52:AI52)+SUMIF(E51:AI51,"=ВЧ2/РВ",E52:AI52)+SUMIF(E51:AI51,"=Р2/РВ",E52:AI52)+SUMIF(E51:AI51,"=Р",E52:AI52)+SUMIF(E51:AI51,"=Р1",E52:AI52)+SUMIF(E51:AI51,"=ВЧ1",E52:AI52)+SUMIF(E51:AI51,"=РН",E52:AI52)+SUMIF(E51:AI51,"=ВЧ",E52:AI52),0)+AL51</f>
        <v>164</v>
      </c>
      <c r="AL51" s="211">
        <f>IFERROR(SUMIF(E51:AI51,"=НУ",E52:AI52),0)</f>
        <v>0</v>
      </c>
      <c r="AM51" s="211">
        <f>IFERROR(SUMIF(E51:AI51,"=РН",E52:AI52)+SUMIF(E51:AI51,"=РН/РВ",E52:AI52)+SUMIFS(E52:AI52,E51:AI51,"=Р2",E52:AI52,"=8"),0)</f>
        <v>56</v>
      </c>
      <c r="AN51" s="211">
        <f>IFERROR(SUMIF(E51:AI51,"=ВЧ",E52:AI52)+SUMIF(E51:AI51,"=ВЧ/РВ",E52:AI52)+CEILING(COUNTIFS(E51:AI51,"=Р2",E52:AI52,"=7")*4,1)+CEILING(COUNTIFS(E51:AI51,"=Р2/РВ",E52:AI52,"=7")*4,1)+SUMIFS(E52:AI52,E51:AI51,"=Р1/РВ",E52:AI52,"=12")/6+SUMIFS(E52:AI52,E51:AI51,"=ВЧ2/РВ",E52:AI52,"=4")/2+SUMIFS(E52:AI52,E51:AI51,"=Р1",E52:AI52,"=12")/6+SUMIFS(E52:AI52,E51:AI51,"=Р1",E52:AI52,"=8")/4+SUMIF(E51:AI51,"=ВЧ1",E52:AI52)/2,0)</f>
        <v>28</v>
      </c>
      <c r="AO51" s="211">
        <f>IFERROR(SUMIF(E51:AI51,"=РВ",E52:AI52)+SUMIF(E51:AI51,"=ВЧ/РВ",E52:AI52)+SUMIF(E51:AI51,"=РН/РВ",E52:AI52)+SUMIF(E51:AI51,"=Р1/РВ",E52:AI52)+SUMIF(E51:AI51,"=ВЧ2/РВ",E52:AI52)+SUMIF(E51:AI51,"=Р2/РВ",E52:AI52),0)</f>
        <v>0</v>
      </c>
      <c r="AP51" s="211">
        <f>IFERROR(COUNTIF(E51:AI51,"=ВВ")+COUNTIF(E51:AI51,"=Р1/ВВ")+COUNTIF(E51:AI51,"=РН/ВВ")+COUNTIF(E51:AI51,"=ВЧ/ВВ"),0)</f>
        <v>7</v>
      </c>
      <c r="AQ51" s="211">
        <f>SUM(AR51:AZ51)</f>
        <v>0</v>
      </c>
      <c r="AR51" s="211">
        <f>IFERROR(SUMIF(E51:AI51,"=В",E52:AI52)+SUMIF(E51:AI51,"=Ч",E52:AI52)+SUMIF(E51:AI51,"=ВБ",E52:AI52),0)</f>
        <v>0</v>
      </c>
      <c r="AS51" s="211">
        <f>IFERROR(SUMIF(E51:AI51,"=Н",E52:AI52),0)</f>
        <v>0</v>
      </c>
      <c r="AT51" s="211">
        <f>IFERROR(SUMIF(E51:AI51,"=НА",E52:AI52),0)</f>
        <v>0</v>
      </c>
      <c r="AU51" s="211">
        <f>IFERROR(SUMIF(E51:AI51,"=ВП",E52:AI52),0)</f>
        <v>0</v>
      </c>
      <c r="AV51" s="211">
        <f>IFERROR(SUMIF(E51:AI51,"=ДД",E52:AI52),0)</f>
        <v>0</v>
      </c>
      <c r="AW51" s="202">
        <f>IFERROR(SUMIF(E51:AI51,"=ДО",E52:AI52),0)</f>
        <v>0</v>
      </c>
      <c r="AX51" s="211">
        <f>IFERROR(SUMIF(E51:AI51,"=ТН",E52:AI52),0)</f>
        <v>0</v>
      </c>
      <c r="AY51" s="211">
        <f>IFERROR(SUMIF(E51:AI51,"=ВД",E52:AI52),0)</f>
        <v>0</v>
      </c>
      <c r="AZ51" s="312">
        <f>IFERROR(SUMIF(E51:AI51,"=ІН",E52:AI52),0)+SUMIF(E51:AI51,"=НЗ",E52:AI52)</f>
        <v>0</v>
      </c>
    </row>
    <row r="52" spans="1:52" s="177" customFormat="1" ht="20.100000000000001" customHeight="1" thickBot="1" x14ac:dyDescent="0.25">
      <c r="A52" s="306"/>
      <c r="B52" s="229"/>
      <c r="C52" s="280"/>
      <c r="D52" s="280"/>
      <c r="E52" s="192">
        <v>8</v>
      </c>
      <c r="F52" s="192"/>
      <c r="G52" s="192">
        <v>12</v>
      </c>
      <c r="H52" s="192">
        <v>4</v>
      </c>
      <c r="I52" s="192">
        <v>8</v>
      </c>
      <c r="J52" s="192"/>
      <c r="K52" s="192">
        <v>12</v>
      </c>
      <c r="L52" s="192">
        <v>4</v>
      </c>
      <c r="M52" s="192">
        <v>8</v>
      </c>
      <c r="N52" s="192"/>
      <c r="O52" s="192">
        <v>8</v>
      </c>
      <c r="P52" s="192">
        <v>4</v>
      </c>
      <c r="Q52" s="192">
        <v>8</v>
      </c>
      <c r="R52" s="192"/>
      <c r="S52" s="192">
        <v>12</v>
      </c>
      <c r="T52" s="192">
        <v>4</v>
      </c>
      <c r="U52" s="192">
        <v>8</v>
      </c>
      <c r="V52" s="192"/>
      <c r="W52" s="192">
        <v>12</v>
      </c>
      <c r="X52" s="192">
        <v>4</v>
      </c>
      <c r="Y52" s="192">
        <v>8</v>
      </c>
      <c r="Z52" s="192"/>
      <c r="AA52" s="192">
        <v>12</v>
      </c>
      <c r="AB52" s="192">
        <v>4</v>
      </c>
      <c r="AC52" s="192">
        <v>8</v>
      </c>
      <c r="AD52" s="192"/>
      <c r="AE52" s="192">
        <v>12</v>
      </c>
      <c r="AF52" s="192">
        <v>4</v>
      </c>
      <c r="AG52" s="192" t="s">
        <v>491</v>
      </c>
      <c r="AH52" s="192" t="s">
        <v>492</v>
      </c>
      <c r="AI52" s="192" t="s">
        <v>493</v>
      </c>
      <c r="AJ52" s="314"/>
      <c r="AK52" s="212"/>
      <c r="AL52" s="212"/>
      <c r="AM52" s="212"/>
      <c r="AN52" s="212"/>
      <c r="AO52" s="212"/>
      <c r="AP52" s="212"/>
      <c r="AQ52" s="311"/>
      <c r="AR52" s="311"/>
      <c r="AS52" s="311"/>
      <c r="AT52" s="311"/>
      <c r="AU52" s="311"/>
      <c r="AV52" s="311"/>
      <c r="AW52" s="203"/>
      <c r="AX52" s="311"/>
      <c r="AY52" s="311"/>
      <c r="AZ52" s="313"/>
    </row>
    <row r="53" spans="1:52" ht="20.100000000000001" customHeight="1" x14ac:dyDescent="0.2">
      <c r="A53" s="305">
        <f t="shared" ref="A53" si="18">A51+1</f>
        <v>19</v>
      </c>
      <c r="B53" s="228" t="s">
        <v>213</v>
      </c>
      <c r="C53" s="228">
        <v>1831</v>
      </c>
      <c r="D53" s="228" t="s">
        <v>65</v>
      </c>
      <c r="E53" s="191" t="s">
        <v>4</v>
      </c>
      <c r="F53" s="191" t="s">
        <v>41</v>
      </c>
      <c r="G53" s="191" t="s">
        <v>43</v>
      </c>
      <c r="H53" s="191" t="s">
        <v>142</v>
      </c>
      <c r="I53" s="191" t="s">
        <v>4</v>
      </c>
      <c r="J53" s="191" t="s">
        <v>41</v>
      </c>
      <c r="K53" s="191" t="s">
        <v>43</v>
      </c>
      <c r="L53" s="191" t="s">
        <v>142</v>
      </c>
      <c r="M53" s="191" t="s">
        <v>4</v>
      </c>
      <c r="N53" s="191" t="s">
        <v>41</v>
      </c>
      <c r="O53" s="191" t="s">
        <v>43</v>
      </c>
      <c r="P53" s="191" t="s">
        <v>142</v>
      </c>
      <c r="Q53" s="191" t="s">
        <v>142</v>
      </c>
      <c r="R53" s="191" t="s">
        <v>309</v>
      </c>
      <c r="S53" s="191" t="s">
        <v>43</v>
      </c>
      <c r="T53" s="191" t="s">
        <v>142</v>
      </c>
      <c r="U53" s="191" t="s">
        <v>4</v>
      </c>
      <c r="V53" s="191" t="s">
        <v>41</v>
      </c>
      <c r="W53" s="191" t="s">
        <v>43</v>
      </c>
      <c r="X53" s="191" t="s">
        <v>142</v>
      </c>
      <c r="Y53" s="191" t="s">
        <v>4</v>
      </c>
      <c r="Z53" s="191" t="s">
        <v>41</v>
      </c>
      <c r="AA53" s="191" t="s">
        <v>43</v>
      </c>
      <c r="AB53" s="191" t="s">
        <v>142</v>
      </c>
      <c r="AC53" s="191" t="s">
        <v>142</v>
      </c>
      <c r="AD53" s="191" t="s">
        <v>309</v>
      </c>
      <c r="AE53" s="191" t="s">
        <v>43</v>
      </c>
      <c r="AF53" s="191" t="s">
        <v>142</v>
      </c>
      <c r="AG53" s="191" t="s">
        <v>4</v>
      </c>
      <c r="AH53" s="191" t="s">
        <v>41</v>
      </c>
      <c r="AI53" s="191" t="s">
        <v>43</v>
      </c>
      <c r="AJ53" s="294">
        <f>IFERROR(COUNTIF(E53:AI53,"=Р")+COUNTIF(E53:AI53,"=Р1")+COUNTIF(E53:AI53,"=ВЧ")+COUNTIF(E53:AI53,"=РН")+COUNTIF(E53:AI53,"=Р2")+COUNTIF(E53:AI53,"=Р1/РВ")+COUNTIF(E53:AI53,"=Р2/РВ")+COUNTIF(E53:AI53,"=ВЧ/РВ")+COUNTIF(E53:AI53,"=РН/РВ"),0)</f>
        <v>20</v>
      </c>
      <c r="AK53" s="211">
        <f>IFERROR(SUMIF(E53:AI53,"=Р2",E54:AI54)+SUMIF(E53:AI53,"=ВЧ/РВ",E54:AI54)+SUMIF(E53:AI53,"=РН/РВ",E54:AI54)+SUMIF(E53:AI53,"=Р1/РВ",E54:AI54)+SUMIF(E53:AI53,"=ВЧ2/РВ",E54:AI54)+SUMIF(E53:AI53,"=Р2/РВ",E54:AI54)+SUMIF(E53:AI53,"=Р",E54:AI54)+SUMIF(E53:AI53,"=Р1",E54:AI54)+SUMIF(E53:AI53,"=ВЧ1",E54:AI54)+SUMIF(E53:AI53,"=РН",E54:AI54)+SUMIF(E53:AI53,"=ВЧ",E54:AI54),0)+AL53</f>
        <v>168</v>
      </c>
      <c r="AL53" s="211">
        <f>IFERROR(SUMIF(E53:AI53,"=НУ",E54:AI54),0)</f>
        <v>0</v>
      </c>
      <c r="AM53" s="211">
        <f>IFERROR(SUMIF(E53:AI53,"=РН",E54:AI54)+SUMIF(E53:AI53,"=РН/РВ",E54:AI54)+SUMIFS(E54:AI54,E53:AI53,"=Р2",E54:AI54,"=8"),0)</f>
        <v>64</v>
      </c>
      <c r="AN53" s="211">
        <f t="shared" si="2"/>
        <v>28</v>
      </c>
      <c r="AO53" s="211">
        <f>IFERROR(SUMIF(E53:AI53,"=РВ",E54:AI54)+SUMIF(E53:AI53,"=ВЧ/РВ",E54:AI54)+SUMIF(E53:AI53,"=РН/РВ",E54:AI54)+SUMIF(E53:AI53,"=Р1/РВ",E54:AI54)+SUMIF(E53:AI53,"=ВЧ2/РВ",E54:AI54)+SUMIF(E53:AI53,"=Р2/РВ",E54:AI54),0)</f>
        <v>0</v>
      </c>
      <c r="AP53" s="211">
        <f t="shared" si="3"/>
        <v>9</v>
      </c>
      <c r="AQ53" s="211">
        <f>SUM(AR53:AZ53)</f>
        <v>0</v>
      </c>
      <c r="AR53" s="211">
        <f>IFERROR(SUMIF(E53:AI53,"=В",E54:AI54)+SUMIF(E53:AI53,"=Ч",E54:AI54)+SUMIF(E53:AI53,"=ВБ",E54:AI54),0)</f>
        <v>0</v>
      </c>
      <c r="AS53" s="211">
        <f>IFERROR(SUMIF(E53:AI53,"=Н",E54:AI54),0)</f>
        <v>0</v>
      </c>
      <c r="AT53" s="211">
        <f>IFERROR(SUMIF(E53:AI53,"=НА",E54:AI54),0)</f>
        <v>0</v>
      </c>
      <c r="AU53" s="211">
        <f>IFERROR(SUMIF(E53:AI53,"=ВП",E54:AI54),0)</f>
        <v>0</v>
      </c>
      <c r="AV53" s="211">
        <f>IFERROR(SUMIF(E53:AI53,"=ДД",E54:AI54),0)</f>
        <v>0</v>
      </c>
      <c r="AW53" s="202">
        <f>IFERROR(SUMIF(E53:AI53,"=ДО",E54:AI54),0)</f>
        <v>0</v>
      </c>
      <c r="AX53" s="211">
        <f>IFERROR(SUMIF(E53:AI53,"=ТН",E54:AI54),0)</f>
        <v>0</v>
      </c>
      <c r="AY53" s="211">
        <f>IFERROR(SUMIF(E53:AI53,"=ВД",E54:AI54),0)</f>
        <v>0</v>
      </c>
      <c r="AZ53" s="312">
        <f>IFERROR(SUMIF(E53:AI53,"=ІН",E54:AI54),0)+SUMIF(E53:AI53,"=НЗ",E54:AI54)</f>
        <v>0</v>
      </c>
    </row>
    <row r="54" spans="1:52" ht="20.100000000000001" customHeight="1" thickBot="1" x14ac:dyDescent="0.25">
      <c r="A54" s="306"/>
      <c r="B54" s="229"/>
      <c r="C54" s="229"/>
      <c r="D54" s="229"/>
      <c r="E54" s="192">
        <v>12</v>
      </c>
      <c r="F54" s="192">
        <v>4</v>
      </c>
      <c r="G54" s="192">
        <v>8</v>
      </c>
      <c r="H54" s="192"/>
      <c r="I54" s="192">
        <v>12</v>
      </c>
      <c r="J54" s="192">
        <v>4</v>
      </c>
      <c r="K54" s="192">
        <v>8</v>
      </c>
      <c r="L54" s="192"/>
      <c r="M54" s="192">
        <v>12</v>
      </c>
      <c r="N54" s="192">
        <v>4</v>
      </c>
      <c r="O54" s="192">
        <v>8</v>
      </c>
      <c r="P54" s="192"/>
      <c r="Q54" s="192"/>
      <c r="R54" s="192">
        <v>4</v>
      </c>
      <c r="S54" s="192">
        <v>8</v>
      </c>
      <c r="T54" s="192"/>
      <c r="U54" s="192">
        <v>12</v>
      </c>
      <c r="V54" s="192">
        <v>4</v>
      </c>
      <c r="W54" s="192">
        <v>8</v>
      </c>
      <c r="X54" s="192"/>
      <c r="Y54" s="192">
        <v>12</v>
      </c>
      <c r="Z54" s="192">
        <v>4</v>
      </c>
      <c r="AA54" s="192">
        <v>8</v>
      </c>
      <c r="AB54" s="192"/>
      <c r="AC54" s="192"/>
      <c r="AD54" s="192">
        <v>4</v>
      </c>
      <c r="AE54" s="192">
        <v>8</v>
      </c>
      <c r="AF54" s="192"/>
      <c r="AG54" s="192">
        <v>12</v>
      </c>
      <c r="AH54" s="192">
        <v>4</v>
      </c>
      <c r="AI54" s="192">
        <v>8</v>
      </c>
      <c r="AJ54" s="314"/>
      <c r="AK54" s="212"/>
      <c r="AL54" s="212"/>
      <c r="AM54" s="212"/>
      <c r="AN54" s="212"/>
      <c r="AO54" s="212"/>
      <c r="AP54" s="212"/>
      <c r="AQ54" s="311"/>
      <c r="AR54" s="311"/>
      <c r="AS54" s="311"/>
      <c r="AT54" s="311"/>
      <c r="AU54" s="311"/>
      <c r="AV54" s="311"/>
      <c r="AW54" s="203"/>
      <c r="AX54" s="311"/>
      <c r="AY54" s="311"/>
      <c r="AZ54" s="313"/>
    </row>
    <row r="55" spans="1:52" ht="20.100000000000001" customHeight="1" x14ac:dyDescent="0.2">
      <c r="A55" s="305">
        <f t="shared" ref="A55" si="19">A53+1</f>
        <v>20</v>
      </c>
      <c r="B55" s="228" t="s">
        <v>219</v>
      </c>
      <c r="C55" s="279">
        <v>2056</v>
      </c>
      <c r="D55" s="279" t="s">
        <v>65</v>
      </c>
      <c r="E55" s="191" t="s">
        <v>43</v>
      </c>
      <c r="F55" s="191" t="s">
        <v>142</v>
      </c>
      <c r="G55" s="191" t="s">
        <v>4</v>
      </c>
      <c r="H55" s="191" t="s">
        <v>41</v>
      </c>
      <c r="I55" s="191" t="s">
        <v>43</v>
      </c>
      <c r="J55" s="191" t="s">
        <v>142</v>
      </c>
      <c r="K55" s="191" t="s">
        <v>4</v>
      </c>
      <c r="L55" s="191" t="s">
        <v>41</v>
      </c>
      <c r="M55" s="191" t="s">
        <v>43</v>
      </c>
      <c r="N55" s="191" t="s">
        <v>142</v>
      </c>
      <c r="O55" s="191" t="s">
        <v>4</v>
      </c>
      <c r="P55" s="191" t="s">
        <v>41</v>
      </c>
      <c r="Q55" s="191" t="s">
        <v>43</v>
      </c>
      <c r="R55" s="191" t="s">
        <v>142</v>
      </c>
      <c r="S55" s="191" t="s">
        <v>4</v>
      </c>
      <c r="T55" s="191" t="s">
        <v>41</v>
      </c>
      <c r="U55" s="191" t="s">
        <v>43</v>
      </c>
      <c r="V55" s="191" t="s">
        <v>142</v>
      </c>
      <c r="W55" s="191" t="s">
        <v>142</v>
      </c>
      <c r="X55" s="191" t="s">
        <v>309</v>
      </c>
      <c r="Y55" s="191" t="s">
        <v>43</v>
      </c>
      <c r="Z55" s="191" t="s">
        <v>142</v>
      </c>
      <c r="AA55" s="191" t="s">
        <v>4</v>
      </c>
      <c r="AB55" s="191" t="s">
        <v>41</v>
      </c>
      <c r="AC55" s="191" t="s">
        <v>43</v>
      </c>
      <c r="AD55" s="191" t="s">
        <v>142</v>
      </c>
      <c r="AE55" s="191" t="s">
        <v>4</v>
      </c>
      <c r="AF55" s="191" t="s">
        <v>41</v>
      </c>
      <c r="AG55" s="191" t="s">
        <v>43</v>
      </c>
      <c r="AH55" s="191" t="s">
        <v>142</v>
      </c>
      <c r="AI55" s="191" t="s">
        <v>263</v>
      </c>
      <c r="AJ55" s="294">
        <f>IFERROR(COUNTIF(E55:AI55,"=Р")+COUNTIF(E55:AI55,"=Р1")+COUNTIF(E55:AI55,"=ВЧ")+COUNTIF(E55:AI55,"=РН")+COUNTIF(E55:AI55,"=Р2")+COUNTIF(E55:AI55,"=Р1/РВ")+COUNTIF(E55:AI55,"=Р2/РВ")+COUNTIF(E55:AI55,"=ВЧ/РВ")+COUNTIF(E55:AI55,"=РН/РВ"),0)</f>
        <v>21</v>
      </c>
      <c r="AK55" s="211">
        <f>IFERROR(SUMIF(E55:AI55,"=Р2",E56:AI56)+SUMIF(E55:AI55,"=ВЧ/РВ",E56:AI56)+SUMIF(E55:AI55,"=РН/РВ",E56:AI56)+SUMIF(E55:AI55,"=Р1/РВ",E56:AI56)+SUMIF(E55:AI55,"=ВЧ2/РВ",E56:AI56)+SUMIF(E55:AI55,"=Р2/РВ",E56:AI56)+SUMIF(E55:AI55,"=Р",E56:AI56)+SUMIF(E55:AI55,"=Р1",E56:AI56)+SUMIF(E55:AI55,"=ВЧ1",E56:AI56)+SUMIF(E55:AI55,"=РН",E56:AI56)+SUMIF(E55:AI55,"=ВЧ",E56:AI56),0)+AL55</f>
        <v>168</v>
      </c>
      <c r="AL55" s="211">
        <f>IFERROR(SUMIF(E55:AI55,"=НУ",E56:AI56),0)</f>
        <v>0</v>
      </c>
      <c r="AM55" s="211">
        <f>IFERROR(SUMIF(E55:AI55,"=РН",E56:AI56)+SUMIF(E55:AI55,"=РН/РВ",E56:AI56)+SUMIFS(E56:AI56,E55:AI55,"=Р2",E56:AI56,"=8"),0)</f>
        <v>64</v>
      </c>
      <c r="AN55" s="211">
        <f t="shared" si="2"/>
        <v>28</v>
      </c>
      <c r="AO55" s="211">
        <f>IFERROR(SUMIF(E55:AI55,"=РВ",E56:AI56)+SUMIF(E55:AI55,"=ВЧ/РВ",E56:AI56)+SUMIF(E55:AI55,"=РН/РВ",E56:AI56)+SUMIF(E55:AI55,"=Р1/РВ",E56:AI56)+SUMIF(E55:AI55,"=ВЧ2/РВ",E56:AI56)+SUMIF(E55:AI55,"=Р2/РВ",E56:AI56),0)</f>
        <v>0</v>
      </c>
      <c r="AP55" s="211">
        <f t="shared" si="3"/>
        <v>9</v>
      </c>
      <c r="AQ55" s="211">
        <f>SUM(AR55:AZ55)</f>
        <v>0</v>
      </c>
      <c r="AR55" s="211">
        <f>IFERROR(SUMIF(E55:AI55,"=В",E56:AI56)+SUMIF(E55:AI55,"=Ч",E56:AI56)+SUMIF(E55:AI55,"=ВБ",E56:AI56),0)</f>
        <v>0</v>
      </c>
      <c r="AS55" s="211">
        <f>IFERROR(SUMIF(E55:AI55,"=Н",E56:AI56),0)</f>
        <v>0</v>
      </c>
      <c r="AT55" s="211">
        <f>IFERROR(SUMIF(E55:AI55,"=НА",E56:AI56),0)</f>
        <v>0</v>
      </c>
      <c r="AU55" s="211">
        <f>IFERROR(SUMIF(E55:AI55,"=ВП",E56:AI56),0)</f>
        <v>0</v>
      </c>
      <c r="AV55" s="211">
        <f>IFERROR(SUMIF(E55:AI55,"=ДД",E56:AI56),0)</f>
        <v>0</v>
      </c>
      <c r="AW55" s="202">
        <f>IFERROR(SUMIF(E55:AI55,"=ДО",E56:AI56),0)</f>
        <v>0</v>
      </c>
      <c r="AX55" s="211">
        <f>IFERROR(SUMIF(E55:AI55,"=ТН",E56:AI56),0)</f>
        <v>0</v>
      </c>
      <c r="AY55" s="211">
        <f>IFERROR(SUMIF(E55:AI55,"=ВД",E56:AI56),0)</f>
        <v>0</v>
      </c>
      <c r="AZ55" s="312">
        <f>IFERROR(SUMIF(E55:AI55,"=ІН",E56:AI56),0)+SUMIF(E55:AI55,"=НЗ",E56:AI56)</f>
        <v>0</v>
      </c>
    </row>
    <row r="56" spans="1:52" ht="20.100000000000001" customHeight="1" thickBot="1" x14ac:dyDescent="0.25">
      <c r="A56" s="306"/>
      <c r="B56" s="229"/>
      <c r="C56" s="280"/>
      <c r="D56" s="280"/>
      <c r="E56" s="192">
        <v>8</v>
      </c>
      <c r="F56" s="192"/>
      <c r="G56" s="192">
        <v>12</v>
      </c>
      <c r="H56" s="192">
        <v>4</v>
      </c>
      <c r="I56" s="192">
        <v>8</v>
      </c>
      <c r="J56" s="192"/>
      <c r="K56" s="192">
        <v>4</v>
      </c>
      <c r="L56" s="192">
        <v>4</v>
      </c>
      <c r="M56" s="192">
        <v>8</v>
      </c>
      <c r="N56" s="192"/>
      <c r="O56" s="192">
        <v>12</v>
      </c>
      <c r="P56" s="192">
        <v>4</v>
      </c>
      <c r="Q56" s="192">
        <v>8</v>
      </c>
      <c r="R56" s="192"/>
      <c r="S56" s="192">
        <v>12</v>
      </c>
      <c r="T56" s="192">
        <v>4</v>
      </c>
      <c r="U56" s="192">
        <v>8</v>
      </c>
      <c r="V56" s="192"/>
      <c r="W56" s="192"/>
      <c r="X56" s="192">
        <v>4</v>
      </c>
      <c r="Y56" s="192">
        <v>8</v>
      </c>
      <c r="Z56" s="192"/>
      <c r="AA56" s="192">
        <v>12</v>
      </c>
      <c r="AB56" s="192">
        <v>4</v>
      </c>
      <c r="AC56" s="192">
        <v>8</v>
      </c>
      <c r="AD56" s="192"/>
      <c r="AE56" s="192">
        <v>12</v>
      </c>
      <c r="AF56" s="192">
        <v>4</v>
      </c>
      <c r="AG56" s="192">
        <v>8</v>
      </c>
      <c r="AH56" s="192"/>
      <c r="AI56" s="192">
        <v>12</v>
      </c>
      <c r="AJ56" s="314"/>
      <c r="AK56" s="212"/>
      <c r="AL56" s="212"/>
      <c r="AM56" s="212"/>
      <c r="AN56" s="212"/>
      <c r="AO56" s="212"/>
      <c r="AP56" s="212"/>
      <c r="AQ56" s="311"/>
      <c r="AR56" s="311"/>
      <c r="AS56" s="311"/>
      <c r="AT56" s="311"/>
      <c r="AU56" s="311"/>
      <c r="AV56" s="311"/>
      <c r="AW56" s="203"/>
      <c r="AX56" s="311"/>
      <c r="AY56" s="311"/>
      <c r="AZ56" s="313"/>
    </row>
    <row r="57" spans="1:52" s="126" customFormat="1" ht="20.100000000000001" customHeight="1" x14ac:dyDescent="0.2">
      <c r="A57" s="305">
        <f t="shared" ref="A57:A69" si="20">A55+1</f>
        <v>21</v>
      </c>
      <c r="B57" s="228" t="s">
        <v>220</v>
      </c>
      <c r="C57" s="279">
        <v>1916</v>
      </c>
      <c r="D57" s="279" t="s">
        <v>65</v>
      </c>
      <c r="E57" s="191" t="s">
        <v>68</v>
      </c>
      <c r="F57" s="191" t="s">
        <v>68</v>
      </c>
      <c r="G57" s="191" t="s">
        <v>68</v>
      </c>
      <c r="H57" s="191" t="s">
        <v>68</v>
      </c>
      <c r="I57" s="191" t="s">
        <v>68</v>
      </c>
      <c r="J57" s="191" t="s">
        <v>68</v>
      </c>
      <c r="K57" s="191" t="s">
        <v>68</v>
      </c>
      <c r="L57" s="191" t="s">
        <v>68</v>
      </c>
      <c r="M57" s="191" t="s">
        <v>68</v>
      </c>
      <c r="N57" s="191" t="s">
        <v>68</v>
      </c>
      <c r="O57" s="191" t="s">
        <v>68</v>
      </c>
      <c r="P57" s="191" t="s">
        <v>68</v>
      </c>
      <c r="Q57" s="191" t="s">
        <v>68</v>
      </c>
      <c r="R57" s="191" t="s">
        <v>68</v>
      </c>
      <c r="S57" s="191" t="s">
        <v>68</v>
      </c>
      <c r="T57" s="191" t="s">
        <v>68</v>
      </c>
      <c r="U57" s="191" t="s">
        <v>68</v>
      </c>
      <c r="V57" s="191" t="s">
        <v>68</v>
      </c>
      <c r="W57" s="191" t="s">
        <v>68</v>
      </c>
      <c r="X57" s="191" t="s">
        <v>68</v>
      </c>
      <c r="Y57" s="191" t="s">
        <v>68</v>
      </c>
      <c r="Z57" s="191" t="s">
        <v>68</v>
      </c>
      <c r="AA57" s="191" t="s">
        <v>68</v>
      </c>
      <c r="AB57" s="191" t="s">
        <v>68</v>
      </c>
      <c r="AC57" s="191" t="s">
        <v>68</v>
      </c>
      <c r="AD57" s="191" t="s">
        <v>68</v>
      </c>
      <c r="AE57" s="191" t="s">
        <v>68</v>
      </c>
      <c r="AF57" s="191" t="s">
        <v>68</v>
      </c>
      <c r="AG57" s="191" t="s">
        <v>68</v>
      </c>
      <c r="AH57" s="191" t="s">
        <v>68</v>
      </c>
      <c r="AI57" s="191" t="s">
        <v>68</v>
      </c>
      <c r="AJ57" s="294">
        <f>IFERROR(COUNTIF(E57:AI57,"=Р")+COUNTIF(E57:AI57,"=Р1")+COUNTIF(E57:AI57,"=ВЧ")+COUNTIF(E57:AI57,"=РН")+COUNTIF(E57:AI57,"=Р2")+COUNTIF(E57:AI57,"=Р1/РВ")+COUNTIF(E57:AI57,"=Р2/РВ")+COUNTIF(E57:AI57,"=ВЧ/РВ")+COUNTIF(E57:AI57,"=РН/РВ"),0)</f>
        <v>0</v>
      </c>
      <c r="AK57" s="211">
        <f>IFERROR(SUMIF(E57:AI57,"=Р2",E58:AI58)+SUMIF(E57:AI57,"=ВЧ/РВ",E58:AI58)+SUMIF(E57:AI57,"=РН/РВ",E58:AI58)+SUMIF(E57:AI57,"=Р1/РВ",E58:AI58)+SUMIF(E57:AI57,"=ВЧ2/РВ",E58:AI58)+SUMIF(E57:AI57,"=Р2/РВ",E58:AI58)+SUMIF(E57:AI57,"=Р",E58:AI58)+SUMIF(E57:AI57,"=Р1",E58:AI58)+SUMIF(E57:AI57,"=ВЧ1",E58:AI58)+SUMIF(E57:AI57,"=РН",E58:AI58)+SUMIF(E57:AI57,"=ВЧ",E58:AI58),0)+AL57</f>
        <v>0</v>
      </c>
      <c r="AL57" s="211">
        <f>IFERROR(SUMIF(E57:AI57,"=НУ",E58:AI58),0)</f>
        <v>0</v>
      </c>
      <c r="AM57" s="211">
        <f>IFERROR(SUMIF(E57:AI57,"=РН",E58:AI58)+SUMIF(E57:AI57,"=РН/РВ",E58:AI58)+SUMIFS(E58:AI58,E57:AI57,"=Р2",E58:AI58,"=8"),0)</f>
        <v>0</v>
      </c>
      <c r="AN57" s="211">
        <f>IFERROR(SUMIF(E57:AI57,"=ВЧ",E58:AI58)+SUMIF(E57:AI57,"=ВЧ/РВ",E58:AI58)+CEILING(COUNTIFS(E57:AI57,"=Р2",E58:AI58,"=7")*4,1)+CEILING(COUNTIFS(E57:AI57,"=Р2/РВ",E58:AI58,"=7")*4,1)+SUMIFS(E58:AI58,E57:AI57,"=Р1/РВ",E58:AI58,"=12")/6+SUMIFS(E58:AI58,E57:AI57,"=ВЧ2/РВ",E58:AI58,"=4")/2+SUMIFS(E58:AI58,E57:AI57,"=Р1",E58:AI58,"=12")/6+SUMIFS(E58:AI58,E57:AI57,"=Р1",E58:AI58,"=8")/4+SUMIF(E57:AI57,"=ВЧ1",E58:AI58)/2,0)</f>
        <v>0</v>
      </c>
      <c r="AO57" s="211">
        <f>IFERROR(SUMIF(E57:AI57,"=РВ",E58:AI58)+SUMIF(E57:AI57,"=ВЧ/РВ",E58:AI58)+SUMIF(E57:AI57,"=РН/РВ",E58:AI58)+SUMIF(E57:AI57,"=Р1/РВ",E58:AI58)+SUMIF(E57:AI57,"=ВЧ2/РВ",E58:AI58)+SUMIF(E57:AI57,"=Р2/РВ",E58:AI58),0)</f>
        <v>0</v>
      </c>
      <c r="AP57" s="211">
        <f>IFERROR(COUNTIF(E57:AI57,"=ВВ")+COUNTIF(E57:AI57,"=Р1/ВВ")+COUNTIF(E57:AI57,"=РН/ВВ")+COUNTIF(E57:AI57,"=ВЧ/ВВ"),0)</f>
        <v>0</v>
      </c>
      <c r="AQ57" s="211">
        <f>SUM(AR57:AZ57)</f>
        <v>167.99999999999997</v>
      </c>
      <c r="AR57" s="211">
        <f>IFERROR(SUMIF(E57:AI57,"=В",E58:AI58)+SUMIF(E57:AI57,"=Ч",E58:AI58)+SUMIF(E57:AI57,"=ВБ",E58:AI58),0)</f>
        <v>0</v>
      </c>
      <c r="AS57" s="211">
        <f>IFERROR(SUMIF(E57:AI57,"=Н",E58:AI58),0)</f>
        <v>0</v>
      </c>
      <c r="AT57" s="211">
        <f>IFERROR(SUMIF(E57:AI57,"=НА",E58:AI58),0)</f>
        <v>0</v>
      </c>
      <c r="AU57" s="211">
        <f>IFERROR(SUMIF(E57:AI57,"=ВП",E58:AI58),0)</f>
        <v>0</v>
      </c>
      <c r="AV57" s="211">
        <f>IFERROR(SUMIF(E57:AI57,"=ДД",E58:AI58),0)</f>
        <v>0</v>
      </c>
      <c r="AW57" s="202">
        <f>IFERROR(SUMIF(E57:AI57,"=ДО",E58:AI58),0)</f>
        <v>0</v>
      </c>
      <c r="AX57" s="211">
        <f>IFERROR(SUMIF(E57:AI57,"=ТН",E58:AI58),0)</f>
        <v>0</v>
      </c>
      <c r="AY57" s="211">
        <f>IFERROR(SUMIF(E57:AI57,"=ВД",E58:AI58),0)</f>
        <v>0</v>
      </c>
      <c r="AZ57" s="312">
        <f>IFERROR(SUMIF(E57:AI57,"=ІН",E58:AI58),0)+SUMIF(E57:AI57,"=НЗ",E58:AI58)</f>
        <v>167.99999999999997</v>
      </c>
    </row>
    <row r="58" spans="1:52" s="126" customFormat="1" ht="20.100000000000001" customHeight="1" thickBot="1" x14ac:dyDescent="0.25">
      <c r="A58" s="306"/>
      <c r="B58" s="229"/>
      <c r="C58" s="280"/>
      <c r="D58" s="280"/>
      <c r="E58" s="192"/>
      <c r="F58" s="192"/>
      <c r="G58" s="192">
        <v>8.1999999999999993</v>
      </c>
      <c r="H58" s="192">
        <v>8.1999999999999993</v>
      </c>
      <c r="I58" s="192">
        <v>8.1999999999999993</v>
      </c>
      <c r="J58" s="192">
        <v>8.1999999999999993</v>
      </c>
      <c r="K58" s="192">
        <v>7</v>
      </c>
      <c r="L58" s="192"/>
      <c r="M58" s="192"/>
      <c r="N58" s="192">
        <v>8.1999999999999993</v>
      </c>
      <c r="O58" s="192">
        <v>8.1999999999999993</v>
      </c>
      <c r="P58" s="192">
        <v>8.1999999999999993</v>
      </c>
      <c r="Q58" s="192">
        <v>8.1999999999999993</v>
      </c>
      <c r="R58" s="192">
        <v>7.2</v>
      </c>
      <c r="S58" s="192"/>
      <c r="T58" s="192"/>
      <c r="U58" s="192">
        <v>8.1999999999999993</v>
      </c>
      <c r="V58" s="192">
        <v>8.1999999999999993</v>
      </c>
      <c r="W58" s="192">
        <v>8.1999999999999993</v>
      </c>
      <c r="X58" s="192">
        <v>8.1999999999999993</v>
      </c>
      <c r="Y58" s="192">
        <v>7.2</v>
      </c>
      <c r="Z58" s="192"/>
      <c r="AA58" s="192"/>
      <c r="AB58" s="192">
        <v>8.1999999999999993</v>
      </c>
      <c r="AC58" s="192">
        <v>8.1999999999999993</v>
      </c>
      <c r="AD58" s="192">
        <v>8.1999999999999993</v>
      </c>
      <c r="AE58" s="192">
        <v>8.1999999999999993</v>
      </c>
      <c r="AF58" s="192">
        <v>7.2</v>
      </c>
      <c r="AG58" s="192"/>
      <c r="AH58" s="192"/>
      <c r="AI58" s="192">
        <v>8.1999999999999993</v>
      </c>
      <c r="AJ58" s="314"/>
      <c r="AK58" s="212"/>
      <c r="AL58" s="212"/>
      <c r="AM58" s="212"/>
      <c r="AN58" s="212"/>
      <c r="AO58" s="212"/>
      <c r="AP58" s="212"/>
      <c r="AQ58" s="311"/>
      <c r="AR58" s="311"/>
      <c r="AS58" s="311"/>
      <c r="AT58" s="311"/>
      <c r="AU58" s="311"/>
      <c r="AV58" s="311"/>
      <c r="AW58" s="203"/>
      <c r="AX58" s="311"/>
      <c r="AY58" s="311"/>
      <c r="AZ58" s="313"/>
    </row>
    <row r="59" spans="1:52" s="177" customFormat="1" ht="18.75" customHeight="1" x14ac:dyDescent="0.2">
      <c r="A59" s="305">
        <f t="shared" si="20"/>
        <v>22</v>
      </c>
      <c r="B59" s="228" t="s">
        <v>434</v>
      </c>
      <c r="C59" s="279">
        <v>1880</v>
      </c>
      <c r="D59" s="279" t="s">
        <v>72</v>
      </c>
      <c r="E59" s="191" t="s">
        <v>142</v>
      </c>
      <c r="F59" s="191" t="s">
        <v>4</v>
      </c>
      <c r="G59" s="191" t="s">
        <v>41</v>
      </c>
      <c r="H59" s="191" t="s">
        <v>43</v>
      </c>
      <c r="I59" s="191" t="s">
        <v>142</v>
      </c>
      <c r="J59" s="191" t="s">
        <v>4</v>
      </c>
      <c r="K59" s="191" t="s">
        <v>41</v>
      </c>
      <c r="L59" s="191" t="s">
        <v>43</v>
      </c>
      <c r="M59" s="191" t="s">
        <v>142</v>
      </c>
      <c r="N59" s="191" t="s">
        <v>4</v>
      </c>
      <c r="O59" s="191" t="s">
        <v>41</v>
      </c>
      <c r="P59" s="191" t="s">
        <v>43</v>
      </c>
      <c r="Q59" s="191" t="s">
        <v>142</v>
      </c>
      <c r="R59" s="191" t="s">
        <v>4</v>
      </c>
      <c r="S59" s="191" t="s">
        <v>41</v>
      </c>
      <c r="T59" s="191" t="s">
        <v>43</v>
      </c>
      <c r="U59" s="191" t="s">
        <v>142</v>
      </c>
      <c r="V59" s="191" t="s">
        <v>4</v>
      </c>
      <c r="W59" s="191" t="s">
        <v>41</v>
      </c>
      <c r="X59" s="191" t="s">
        <v>43</v>
      </c>
      <c r="Y59" s="191" t="s">
        <v>142</v>
      </c>
      <c r="Z59" s="191" t="s">
        <v>4</v>
      </c>
      <c r="AA59" s="191" t="s">
        <v>41</v>
      </c>
      <c r="AB59" s="191" t="s">
        <v>43</v>
      </c>
      <c r="AC59" s="191" t="s">
        <v>142</v>
      </c>
      <c r="AD59" s="191" t="s">
        <v>4</v>
      </c>
      <c r="AE59" s="191" t="s">
        <v>41</v>
      </c>
      <c r="AF59" s="191" t="s">
        <v>43</v>
      </c>
      <c r="AG59" s="191"/>
      <c r="AH59" s="191"/>
      <c r="AI59" s="191"/>
      <c r="AJ59" s="294">
        <f>IFERROR(COUNTIF(E59:AI59,"=Р")+COUNTIF(E59:AI59,"=Р1")+COUNTIF(E59:AI59,"=ВЧ")+COUNTIF(E59:AI59,"=РН")+COUNTIF(E59:AI59,"=Р2")+COUNTIF(E59:AI59,"=Р1/РВ")+COUNTIF(E59:AI59,"=Р2/РВ")+COUNTIF(E59:AI59,"=ВЧ/РВ")+COUNTIF(E59:AI59,"=РН/РВ"),0)</f>
        <v>21</v>
      </c>
      <c r="AK59" s="211">
        <f>IFERROR(SUMIF(E59:AI59,"=Р2",E60:AI60)+SUMIF(E59:AI59,"=ВЧ/РВ",E60:AI60)+SUMIF(E59:AI59,"=РН/РВ",E60:AI60)+SUMIF(E59:AI59,"=Р1/РВ",E60:AI60)+SUMIF(E59:AI59,"=ВЧ2/РВ",E60:AI60)+SUMIF(E59:AI59,"=Р2/РВ",E60:AI60)+SUMIF(E59:AI59,"=Р",E60:AI60)+SUMIF(E59:AI59,"=Р1",E60:AI60)+SUMIF(E59:AI59,"=ВЧ1",E60:AI60)+SUMIF(E59:AI59,"=РН",E60:AI60)+SUMIF(E59:AI59,"=ВЧ",E60:AI60),0)+AL59</f>
        <v>164</v>
      </c>
      <c r="AL59" s="211">
        <f>IFERROR(SUMIF(E59:AI59,"=НУ",E60:AI60),0)</f>
        <v>0</v>
      </c>
      <c r="AM59" s="211">
        <f>IFERROR(SUMIF(E59:AI59,"=РН",E60:AI60)+SUMIF(E59:AI59,"=РН/РВ",E60:AI60)+SUMIFS(E60:AI60,E59:AI59,"=Р2",E60:AI60,"=8"),0)</f>
        <v>56</v>
      </c>
      <c r="AN59" s="211">
        <f>IFERROR(SUMIF(E59:AI59,"=ВЧ",E60:AI60)+SUMIF(E59:AI59,"=ВЧ/РВ",E60:AI60)+CEILING(COUNTIFS(E59:AI59,"=Р2",E60:AI60,"=7")*4,1)+CEILING(COUNTIFS(E59:AI59,"=Р2/РВ",E60:AI60,"=7")*4,1)+SUMIFS(E60:AI60,E59:AI59,"=Р1/РВ",E60:AI60,"=12")/6+SUMIFS(E60:AI60,E59:AI59,"=ВЧ2/РВ",E60:AI60,"=4")/2+SUMIFS(E60:AI60,E59:AI59,"=Р1",E60:AI60,"=12")/6+SUMIFS(E60:AI60,E59:AI59,"=Р1",E60:AI60,"=8")/4+SUMIF(E59:AI59,"=ВЧ1",E60:AI60)/2,0)</f>
        <v>28</v>
      </c>
      <c r="AO59" s="211">
        <f>IFERROR(SUMIF(E59:AI59,"=РВ",E60:AI60)+SUMIF(E59:AI59,"=ВЧ/РВ",E60:AI60)+SUMIF(E59:AI59,"=РН/РВ",E60:AI60)+SUMIF(E59:AI59,"=Р1/РВ",E60:AI60)+SUMIF(E59:AI59,"=ВЧ2/РВ",E60:AI60)+SUMIF(E59:AI59,"=Р2/РВ",E60:AI60),0)</f>
        <v>0</v>
      </c>
      <c r="AP59" s="211">
        <f>IFERROR(COUNTIF(E59:AI59,"=ВВ")+COUNTIF(E59:AI59,"=Р1/ВВ")+COUNTIF(E59:AI59,"=РН/ВВ")+COUNTIF(E59:AI59,"=ВЧ/ВВ"),0)</f>
        <v>7</v>
      </c>
      <c r="AQ59" s="211">
        <f>SUM(AR59:AZ59)</f>
        <v>0</v>
      </c>
      <c r="AR59" s="211">
        <f>IFERROR(SUMIF(E59:AI59,"=В",E60:AI60)+SUMIF(E59:AI59,"=Ч",E60:AI60)+SUMIF(E59:AI59,"=ВБ",E60:AI60),0)</f>
        <v>0</v>
      </c>
      <c r="AS59" s="211">
        <f>IFERROR(SUMIF(E59:AI59,"=Н",E60:AI60),0)</f>
        <v>0</v>
      </c>
      <c r="AT59" s="211">
        <f>IFERROR(SUMIF(E59:AI59,"=НА",E60:AI60),0)</f>
        <v>0</v>
      </c>
      <c r="AU59" s="211">
        <f>IFERROR(SUMIF(E59:AI59,"=ВП",E60:AI60),0)</f>
        <v>0</v>
      </c>
      <c r="AV59" s="211">
        <f>IFERROR(SUMIF(E59:AI59,"=ДД",E60:AI60),0)</f>
        <v>0</v>
      </c>
      <c r="AW59" s="202">
        <f>IFERROR(SUMIF(E59:AI59,"=ДО",E60:AI60),0)</f>
        <v>0</v>
      </c>
      <c r="AX59" s="211">
        <f>IFERROR(SUMIF(E59:AI59,"=ТН",E60:AI60),0)</f>
        <v>0</v>
      </c>
      <c r="AY59" s="211">
        <f>IFERROR(SUMIF(E59:AI59,"=ВД",E60:AI60),0)</f>
        <v>0</v>
      </c>
      <c r="AZ59" s="312">
        <f>IFERROR(SUMIF(E59:AI59,"=ІН",E60:AI60),0)+SUMIF(E59:AI59,"=НЗ",E60:AI60)</f>
        <v>0</v>
      </c>
    </row>
    <row r="60" spans="1:52" s="177" customFormat="1" ht="20.100000000000001" customHeight="1" thickBot="1" x14ac:dyDescent="0.25">
      <c r="A60" s="306"/>
      <c r="B60" s="229"/>
      <c r="C60" s="280"/>
      <c r="D60" s="280"/>
      <c r="E60" s="192"/>
      <c r="F60" s="192">
        <v>12</v>
      </c>
      <c r="G60" s="192">
        <v>4</v>
      </c>
      <c r="H60" s="192">
        <v>8</v>
      </c>
      <c r="I60" s="192"/>
      <c r="J60" s="192">
        <v>12</v>
      </c>
      <c r="K60" s="192">
        <v>4</v>
      </c>
      <c r="L60" s="192">
        <v>8</v>
      </c>
      <c r="M60" s="192"/>
      <c r="N60" s="192">
        <v>8</v>
      </c>
      <c r="O60" s="192">
        <v>4</v>
      </c>
      <c r="P60" s="192">
        <v>8</v>
      </c>
      <c r="Q60" s="192"/>
      <c r="R60" s="192">
        <v>12</v>
      </c>
      <c r="S60" s="192">
        <v>4</v>
      </c>
      <c r="T60" s="192">
        <v>8</v>
      </c>
      <c r="U60" s="192"/>
      <c r="V60" s="192">
        <v>12</v>
      </c>
      <c r="W60" s="192">
        <v>4</v>
      </c>
      <c r="X60" s="192">
        <v>8</v>
      </c>
      <c r="Y60" s="192"/>
      <c r="Z60" s="192">
        <v>12</v>
      </c>
      <c r="AA60" s="192">
        <v>4</v>
      </c>
      <c r="AB60" s="192">
        <v>8</v>
      </c>
      <c r="AC60" s="192"/>
      <c r="AD60" s="192">
        <v>12</v>
      </c>
      <c r="AE60" s="192">
        <v>4</v>
      </c>
      <c r="AF60" s="192">
        <v>8</v>
      </c>
      <c r="AG60" s="192" t="s">
        <v>491</v>
      </c>
      <c r="AH60" s="192" t="s">
        <v>492</v>
      </c>
      <c r="AI60" s="192" t="s">
        <v>493</v>
      </c>
      <c r="AJ60" s="314"/>
      <c r="AK60" s="212"/>
      <c r="AL60" s="212"/>
      <c r="AM60" s="212"/>
      <c r="AN60" s="212"/>
      <c r="AO60" s="212"/>
      <c r="AP60" s="212"/>
      <c r="AQ60" s="311"/>
      <c r="AR60" s="311"/>
      <c r="AS60" s="311"/>
      <c r="AT60" s="311"/>
      <c r="AU60" s="311"/>
      <c r="AV60" s="311"/>
      <c r="AW60" s="203"/>
      <c r="AX60" s="311"/>
      <c r="AY60" s="311"/>
      <c r="AZ60" s="313"/>
    </row>
    <row r="61" spans="1:52" s="177" customFormat="1" ht="18.75" customHeight="1" x14ac:dyDescent="0.2">
      <c r="A61" s="305">
        <f t="shared" si="20"/>
        <v>23</v>
      </c>
      <c r="B61" s="228" t="s">
        <v>438</v>
      </c>
      <c r="C61" s="279">
        <v>2207</v>
      </c>
      <c r="D61" s="279" t="s">
        <v>72</v>
      </c>
      <c r="E61" s="191" t="s">
        <v>43</v>
      </c>
      <c r="F61" s="191" t="s">
        <v>142</v>
      </c>
      <c r="G61" s="191" t="s">
        <v>4</v>
      </c>
      <c r="H61" s="191" t="s">
        <v>41</v>
      </c>
      <c r="I61" s="191" t="s">
        <v>43</v>
      </c>
      <c r="J61" s="191" t="s">
        <v>142</v>
      </c>
      <c r="K61" s="191" t="s">
        <v>4</v>
      </c>
      <c r="L61" s="191" t="s">
        <v>41</v>
      </c>
      <c r="M61" s="191" t="s">
        <v>43</v>
      </c>
      <c r="N61" s="191" t="s">
        <v>142</v>
      </c>
      <c r="O61" s="191" t="s">
        <v>4</v>
      </c>
      <c r="P61" s="191" t="s">
        <v>41</v>
      </c>
      <c r="Q61" s="191" t="s">
        <v>43</v>
      </c>
      <c r="R61" s="191" t="s">
        <v>142</v>
      </c>
      <c r="S61" s="191" t="s">
        <v>4</v>
      </c>
      <c r="T61" s="191" t="s">
        <v>41</v>
      </c>
      <c r="U61" s="191" t="s">
        <v>43</v>
      </c>
      <c r="V61" s="191" t="s">
        <v>142</v>
      </c>
      <c r="W61" s="191" t="s">
        <v>4</v>
      </c>
      <c r="X61" s="191" t="s">
        <v>41</v>
      </c>
      <c r="Y61" s="191" t="s">
        <v>43</v>
      </c>
      <c r="Z61" s="191" t="s">
        <v>142</v>
      </c>
      <c r="AA61" s="191" t="s">
        <v>4</v>
      </c>
      <c r="AB61" s="191" t="s">
        <v>41</v>
      </c>
      <c r="AC61" s="191" t="s">
        <v>43</v>
      </c>
      <c r="AD61" s="191" t="s">
        <v>142</v>
      </c>
      <c r="AE61" s="191" t="s">
        <v>4</v>
      </c>
      <c r="AF61" s="191" t="s">
        <v>41</v>
      </c>
      <c r="AG61" s="191"/>
      <c r="AH61" s="191"/>
      <c r="AI61" s="191"/>
      <c r="AJ61" s="294">
        <f>IFERROR(COUNTIF(E61:AI61,"=Р")+COUNTIF(E61:AI61,"=Р1")+COUNTIF(E61:AI61,"=ВЧ")+COUNTIF(E61:AI61,"=РН")+COUNTIF(E61:AI61,"=Р2")+COUNTIF(E61:AI61,"=Р1/РВ")+COUNTIF(E61:AI61,"=Р2/РВ")+COUNTIF(E61:AI61,"=ВЧ/РВ")+COUNTIF(E61:AI61,"=РН/РВ"),0)</f>
        <v>21</v>
      </c>
      <c r="AK61" s="211">
        <f>IFERROR(SUMIF(E61:AI61,"=Р2",E62:AI62)+SUMIF(E61:AI61,"=ВЧ/РВ",E62:AI62)+SUMIF(E61:AI61,"=РН/РВ",E62:AI62)+SUMIF(E61:AI61,"=Р1/РВ",E62:AI62)+SUMIF(E61:AI61,"=ВЧ2/РВ",E62:AI62)+SUMIF(E61:AI61,"=Р2/РВ",E62:AI62)+SUMIF(E61:AI61,"=Р",E62:AI62)+SUMIF(E61:AI61,"=Р1",E62:AI62)+SUMIF(E61:AI61,"=ВЧ1",E62:AI62)+SUMIF(E61:AI61,"=РН",E62:AI62)+SUMIF(E61:AI61,"=ВЧ",E62:AI62),0)+AL61</f>
        <v>164</v>
      </c>
      <c r="AL61" s="211">
        <f>IFERROR(SUMIF(E61:AI61,"=НУ",E62:AI62),0)</f>
        <v>0</v>
      </c>
      <c r="AM61" s="211">
        <f>IFERROR(SUMIF(E61:AI61,"=РН",E62:AI62)+SUMIF(E61:AI61,"=РН/РВ",E62:AI62)+SUMIFS(E62:AI62,E61:AI61,"=Р2",E62:AI62,"=8"),0)</f>
        <v>56</v>
      </c>
      <c r="AN61" s="211">
        <f>IFERROR(SUMIF(E61:AI61,"=ВЧ",E62:AI62)+SUMIF(E61:AI61,"=ВЧ/РВ",E62:AI62)+CEILING(COUNTIFS(E61:AI61,"=Р2",E62:AI62,"=7")*4,1)+CEILING(COUNTIFS(E61:AI61,"=Р2/РВ",E62:AI62,"=7")*4,1)+SUMIFS(E62:AI62,E61:AI61,"=Р1/РВ",E62:AI62,"=12")/6+SUMIFS(E62:AI62,E61:AI61,"=ВЧ2/РВ",E62:AI62,"=4")/2+SUMIFS(E62:AI62,E61:AI61,"=Р1",E62:AI62,"=12")/6+SUMIFS(E62:AI62,E61:AI61,"=Р1",E62:AI62,"=8")/4+SUMIF(E61:AI61,"=ВЧ1",E62:AI62)/2,0)</f>
        <v>28</v>
      </c>
      <c r="AO61" s="211">
        <f>IFERROR(SUMIF(E61:AI61,"=РВ",E62:AI62)+SUMIF(E61:AI61,"=ВЧ/РВ",E62:AI62)+SUMIF(E61:AI61,"=РН/РВ",E62:AI62)+SUMIF(E61:AI61,"=Р1/РВ",E62:AI62)+SUMIF(E61:AI61,"=ВЧ2/РВ",E62:AI62)+SUMIF(E61:AI61,"=Р2/РВ",E62:AI62),0)</f>
        <v>0</v>
      </c>
      <c r="AP61" s="211">
        <f>IFERROR(COUNTIF(E61:AI61,"=ВВ")+COUNTIF(E61:AI61,"=Р1/ВВ")+COUNTIF(E61:AI61,"=РН/ВВ")+COUNTIF(E61:AI61,"=ВЧ/ВВ"),0)</f>
        <v>7</v>
      </c>
      <c r="AQ61" s="211">
        <f>SUM(AR61:AZ61)</f>
        <v>0</v>
      </c>
      <c r="AR61" s="211">
        <f>IFERROR(SUMIF(E61:AI61,"=В",E62:AI62)+SUMIF(E61:AI61,"=Ч",E62:AI62)+SUMIF(E61:AI61,"=ВБ",E62:AI62),0)</f>
        <v>0</v>
      </c>
      <c r="AS61" s="211">
        <f>IFERROR(SUMIF(E61:AI61,"=Н",E62:AI62),0)</f>
        <v>0</v>
      </c>
      <c r="AT61" s="211">
        <f>IFERROR(SUMIF(E61:AI61,"=НА",E62:AI62),0)</f>
        <v>0</v>
      </c>
      <c r="AU61" s="211">
        <f>IFERROR(SUMIF(E61:AI61,"=ВП",E62:AI62),0)</f>
        <v>0</v>
      </c>
      <c r="AV61" s="211">
        <f>IFERROR(SUMIF(E61:AI61,"=ДД",E62:AI62),0)</f>
        <v>0</v>
      </c>
      <c r="AW61" s="202">
        <f>IFERROR(SUMIF(E61:AI61,"=ДО",E62:AI62),0)</f>
        <v>0</v>
      </c>
      <c r="AX61" s="211">
        <f>IFERROR(SUMIF(E61:AI61,"=ТН",E62:AI62),0)</f>
        <v>0</v>
      </c>
      <c r="AY61" s="211">
        <f>IFERROR(SUMIF(E61:AI61,"=ВД",E62:AI62),0)</f>
        <v>0</v>
      </c>
      <c r="AZ61" s="312">
        <f>IFERROR(SUMIF(E61:AI61,"=ІН",E62:AI62),0)+SUMIF(E61:AI61,"=НЗ",E62:AI62)</f>
        <v>0</v>
      </c>
    </row>
    <row r="62" spans="1:52" s="177" customFormat="1" ht="20.100000000000001" customHeight="1" thickBot="1" x14ac:dyDescent="0.25">
      <c r="A62" s="306"/>
      <c r="B62" s="229"/>
      <c r="C62" s="280"/>
      <c r="D62" s="280"/>
      <c r="E62" s="192">
        <v>8</v>
      </c>
      <c r="F62" s="192"/>
      <c r="G62" s="192">
        <v>12</v>
      </c>
      <c r="H62" s="192">
        <v>4</v>
      </c>
      <c r="I62" s="192">
        <v>8</v>
      </c>
      <c r="J62" s="192"/>
      <c r="K62" s="192">
        <v>12</v>
      </c>
      <c r="L62" s="192">
        <v>4</v>
      </c>
      <c r="M62" s="192">
        <v>8</v>
      </c>
      <c r="N62" s="192"/>
      <c r="O62" s="192">
        <v>8</v>
      </c>
      <c r="P62" s="192">
        <v>4</v>
      </c>
      <c r="Q62" s="192">
        <v>8</v>
      </c>
      <c r="R62" s="192"/>
      <c r="S62" s="192">
        <v>12</v>
      </c>
      <c r="T62" s="192">
        <v>4</v>
      </c>
      <c r="U62" s="192">
        <v>8</v>
      </c>
      <c r="V62" s="192"/>
      <c r="W62" s="192">
        <v>12</v>
      </c>
      <c r="X62" s="192">
        <v>4</v>
      </c>
      <c r="Y62" s="192">
        <v>8</v>
      </c>
      <c r="Z62" s="192"/>
      <c r="AA62" s="192">
        <v>12</v>
      </c>
      <c r="AB62" s="192">
        <v>4</v>
      </c>
      <c r="AC62" s="192">
        <v>8</v>
      </c>
      <c r="AD62" s="192"/>
      <c r="AE62" s="192">
        <v>12</v>
      </c>
      <c r="AF62" s="192">
        <v>4</v>
      </c>
      <c r="AG62" s="192" t="s">
        <v>491</v>
      </c>
      <c r="AH62" s="192" t="s">
        <v>492</v>
      </c>
      <c r="AI62" s="192" t="s">
        <v>493</v>
      </c>
      <c r="AJ62" s="314"/>
      <c r="AK62" s="212"/>
      <c r="AL62" s="212"/>
      <c r="AM62" s="212"/>
      <c r="AN62" s="212"/>
      <c r="AO62" s="212"/>
      <c r="AP62" s="212"/>
      <c r="AQ62" s="311"/>
      <c r="AR62" s="311"/>
      <c r="AS62" s="311"/>
      <c r="AT62" s="311"/>
      <c r="AU62" s="311"/>
      <c r="AV62" s="311"/>
      <c r="AW62" s="203"/>
      <c r="AX62" s="311"/>
      <c r="AY62" s="311"/>
      <c r="AZ62" s="313"/>
    </row>
    <row r="63" spans="1:52" s="177" customFormat="1" ht="18.75" customHeight="1" x14ac:dyDescent="0.2">
      <c r="A63" s="305">
        <f t="shared" si="20"/>
        <v>24</v>
      </c>
      <c r="B63" s="228" t="s">
        <v>437</v>
      </c>
      <c r="C63" s="279">
        <v>2188</v>
      </c>
      <c r="D63" s="279" t="s">
        <v>65</v>
      </c>
      <c r="E63" s="191" t="s">
        <v>43</v>
      </c>
      <c r="F63" s="191" t="s">
        <v>142</v>
      </c>
      <c r="G63" s="191" t="s">
        <v>4</v>
      </c>
      <c r="H63" s="191" t="s">
        <v>41</v>
      </c>
      <c r="I63" s="191" t="s">
        <v>43</v>
      </c>
      <c r="J63" s="191" t="s">
        <v>142</v>
      </c>
      <c r="K63" s="191" t="s">
        <v>4</v>
      </c>
      <c r="L63" s="191" t="s">
        <v>41</v>
      </c>
      <c r="M63" s="191" t="s">
        <v>43</v>
      </c>
      <c r="N63" s="191" t="s">
        <v>142</v>
      </c>
      <c r="O63" s="191" t="s">
        <v>4</v>
      </c>
      <c r="P63" s="191" t="s">
        <v>41</v>
      </c>
      <c r="Q63" s="191" t="s">
        <v>43</v>
      </c>
      <c r="R63" s="191" t="s">
        <v>142</v>
      </c>
      <c r="S63" s="191" t="s">
        <v>4</v>
      </c>
      <c r="T63" s="191" t="s">
        <v>41</v>
      </c>
      <c r="U63" s="191" t="s">
        <v>43</v>
      </c>
      <c r="V63" s="191" t="s">
        <v>142</v>
      </c>
      <c r="W63" s="191" t="s">
        <v>4</v>
      </c>
      <c r="X63" s="191" t="s">
        <v>41</v>
      </c>
      <c r="Y63" s="191" t="s">
        <v>43</v>
      </c>
      <c r="Z63" s="191" t="s">
        <v>142</v>
      </c>
      <c r="AA63" s="191" t="s">
        <v>4</v>
      </c>
      <c r="AB63" s="191" t="s">
        <v>41</v>
      </c>
      <c r="AC63" s="191" t="s">
        <v>43</v>
      </c>
      <c r="AD63" s="191" t="s">
        <v>142</v>
      </c>
      <c r="AE63" s="191" t="s">
        <v>4</v>
      </c>
      <c r="AF63" s="191" t="s">
        <v>41</v>
      </c>
      <c r="AG63" s="191"/>
      <c r="AH63" s="191"/>
      <c r="AI63" s="191"/>
      <c r="AJ63" s="294">
        <f>IFERROR(COUNTIF(E63:AI63,"=Р")+COUNTIF(E63:AI63,"=Р1")+COUNTIF(E63:AI63,"=ВЧ")+COUNTIF(E63:AI63,"=РН")+COUNTIF(E63:AI63,"=Р2")+COUNTIF(E63:AI63,"=Р1/РВ")+COUNTIF(E63:AI63,"=Р2/РВ")+COUNTIF(E63:AI63,"=ВЧ/РВ")+COUNTIF(E63:AI63,"=РН/РВ"),0)</f>
        <v>21</v>
      </c>
      <c r="AK63" s="211">
        <f>IFERROR(SUMIF(E63:AI63,"=Р2",E64:AI64)+SUMIF(E63:AI63,"=ВЧ/РВ",E64:AI64)+SUMIF(E63:AI63,"=РН/РВ",E64:AI64)+SUMIF(E63:AI63,"=Р1/РВ",E64:AI64)+SUMIF(E63:AI63,"=ВЧ2/РВ",E64:AI64)+SUMIF(E63:AI63,"=Р2/РВ",E64:AI64)+SUMIF(E63:AI63,"=Р",E64:AI64)+SUMIF(E63:AI63,"=Р1",E64:AI64)+SUMIF(E63:AI63,"=ВЧ1",E64:AI64)+SUMIF(E63:AI63,"=РН",E64:AI64)+SUMIF(E63:AI63,"=ВЧ",E64:AI64),0)+AL63</f>
        <v>164</v>
      </c>
      <c r="AL63" s="211">
        <f>IFERROR(SUMIF(E63:AI63,"=НУ",E64:AI64),0)</f>
        <v>0</v>
      </c>
      <c r="AM63" s="211">
        <f>IFERROR(SUMIF(E63:AI63,"=РН",E64:AI64)+SUMIF(E63:AI63,"=РН/РВ",E64:AI64)+SUMIFS(E64:AI64,E63:AI63,"=Р2",E64:AI64,"=8"),0)</f>
        <v>56</v>
      </c>
      <c r="AN63" s="211">
        <f>IFERROR(SUMIF(E63:AI63,"=ВЧ",E64:AI64)+SUMIF(E63:AI63,"=ВЧ/РВ",E64:AI64)+CEILING(COUNTIFS(E63:AI63,"=Р2",E64:AI64,"=7")*4,1)+CEILING(COUNTIFS(E63:AI63,"=Р2/РВ",E64:AI64,"=7")*4,1)+SUMIFS(E64:AI64,E63:AI63,"=Р1/РВ",E64:AI64,"=12")/6+SUMIFS(E64:AI64,E63:AI63,"=ВЧ2/РВ",E64:AI64,"=4")/2+SUMIFS(E64:AI64,E63:AI63,"=Р1",E64:AI64,"=12")/6+SUMIFS(E64:AI64,E63:AI63,"=Р1",E64:AI64,"=8")/4+SUMIF(E63:AI63,"=ВЧ1",E64:AI64)/2,0)</f>
        <v>28</v>
      </c>
      <c r="AO63" s="211">
        <f>IFERROR(SUMIF(E63:AI63,"=РВ",E64:AI64)+SUMIF(E63:AI63,"=ВЧ/РВ",E64:AI64)+SUMIF(E63:AI63,"=РН/РВ",E64:AI64)+SUMIF(E63:AI63,"=Р1/РВ",E64:AI64)+SUMIF(E63:AI63,"=ВЧ2/РВ",E64:AI64)+SUMIF(E63:AI63,"=Р2/РВ",E64:AI64),0)</f>
        <v>0</v>
      </c>
      <c r="AP63" s="211">
        <f>IFERROR(COUNTIF(E63:AI63,"=ВВ")+COUNTIF(E63:AI63,"=Р1/ВВ")+COUNTIF(E63:AI63,"=РН/ВВ")+COUNTIF(E63:AI63,"=ВЧ/ВВ"),0)</f>
        <v>7</v>
      </c>
      <c r="AQ63" s="211">
        <f>SUM(AR63:AZ63)</f>
        <v>0</v>
      </c>
      <c r="AR63" s="211">
        <f>IFERROR(SUMIF(E63:AI63,"=В",E64:AI64)+SUMIF(E63:AI63,"=Ч",E64:AI64)+SUMIF(E63:AI63,"=ВБ",E64:AI64),0)</f>
        <v>0</v>
      </c>
      <c r="AS63" s="211">
        <f>IFERROR(SUMIF(E63:AI63,"=Н",E64:AI64),0)</f>
        <v>0</v>
      </c>
      <c r="AT63" s="211">
        <f>IFERROR(SUMIF(E63:AI63,"=НА",E64:AI64),0)</f>
        <v>0</v>
      </c>
      <c r="AU63" s="211">
        <f>IFERROR(SUMIF(E63:AI63,"=ВП",E64:AI64),0)</f>
        <v>0</v>
      </c>
      <c r="AV63" s="211">
        <f>IFERROR(SUMIF(E63:AI63,"=ДД",E64:AI64),0)</f>
        <v>0</v>
      </c>
      <c r="AW63" s="202">
        <f>IFERROR(SUMIF(E63:AI63,"=ДО",E64:AI64),0)</f>
        <v>0</v>
      </c>
      <c r="AX63" s="211">
        <f>IFERROR(SUMIF(E63:AI63,"=ТН",E64:AI64),0)</f>
        <v>0</v>
      </c>
      <c r="AY63" s="211">
        <f>IFERROR(SUMIF(E63:AI63,"=ВД",E64:AI64),0)</f>
        <v>0</v>
      </c>
      <c r="AZ63" s="312">
        <f>IFERROR(SUMIF(E63:AI63,"=ІН",E64:AI64),0)+SUMIF(E63:AI63,"=НЗ",E64:AI64)</f>
        <v>0</v>
      </c>
    </row>
    <row r="64" spans="1:52" s="177" customFormat="1" ht="20.100000000000001" customHeight="1" thickBot="1" x14ac:dyDescent="0.25">
      <c r="A64" s="306"/>
      <c r="B64" s="229"/>
      <c r="C64" s="280"/>
      <c r="D64" s="280"/>
      <c r="E64" s="192">
        <v>8</v>
      </c>
      <c r="F64" s="192"/>
      <c r="G64" s="192">
        <v>12</v>
      </c>
      <c r="H64" s="192">
        <v>4</v>
      </c>
      <c r="I64" s="192">
        <v>8</v>
      </c>
      <c r="J64" s="192"/>
      <c r="K64" s="192">
        <v>12</v>
      </c>
      <c r="L64" s="192">
        <v>4</v>
      </c>
      <c r="M64" s="192">
        <v>8</v>
      </c>
      <c r="N64" s="192"/>
      <c r="O64" s="192">
        <v>8</v>
      </c>
      <c r="P64" s="192">
        <v>4</v>
      </c>
      <c r="Q64" s="192">
        <v>8</v>
      </c>
      <c r="R64" s="192"/>
      <c r="S64" s="192">
        <v>12</v>
      </c>
      <c r="T64" s="192">
        <v>4</v>
      </c>
      <c r="U64" s="192">
        <v>8</v>
      </c>
      <c r="V64" s="192"/>
      <c r="W64" s="192">
        <v>12</v>
      </c>
      <c r="X64" s="192">
        <v>4</v>
      </c>
      <c r="Y64" s="192">
        <v>8</v>
      </c>
      <c r="Z64" s="192"/>
      <c r="AA64" s="192">
        <v>12</v>
      </c>
      <c r="AB64" s="192">
        <v>4</v>
      </c>
      <c r="AC64" s="192">
        <v>8</v>
      </c>
      <c r="AD64" s="192"/>
      <c r="AE64" s="192">
        <v>12</v>
      </c>
      <c r="AF64" s="192">
        <v>4</v>
      </c>
      <c r="AG64" s="192" t="s">
        <v>491</v>
      </c>
      <c r="AH64" s="192" t="s">
        <v>492</v>
      </c>
      <c r="AI64" s="192" t="s">
        <v>493</v>
      </c>
      <c r="AJ64" s="314"/>
      <c r="AK64" s="212"/>
      <c r="AL64" s="212"/>
      <c r="AM64" s="212"/>
      <c r="AN64" s="212"/>
      <c r="AO64" s="212"/>
      <c r="AP64" s="212"/>
      <c r="AQ64" s="311"/>
      <c r="AR64" s="311"/>
      <c r="AS64" s="311"/>
      <c r="AT64" s="311"/>
      <c r="AU64" s="311"/>
      <c r="AV64" s="311"/>
      <c r="AW64" s="203"/>
      <c r="AX64" s="311"/>
      <c r="AY64" s="311"/>
      <c r="AZ64" s="313"/>
    </row>
    <row r="65" spans="1:52" s="177" customFormat="1" ht="18.75" customHeight="1" x14ac:dyDescent="0.2">
      <c r="A65" s="305">
        <f t="shared" si="20"/>
        <v>25</v>
      </c>
      <c r="B65" s="228" t="s">
        <v>445</v>
      </c>
      <c r="C65" s="279">
        <v>1336</v>
      </c>
      <c r="D65" s="279" t="s">
        <v>72</v>
      </c>
      <c r="E65" s="191" t="s">
        <v>4</v>
      </c>
      <c r="F65" s="191" t="s">
        <v>41</v>
      </c>
      <c r="G65" s="191" t="s">
        <v>43</v>
      </c>
      <c r="H65" s="191" t="s">
        <v>142</v>
      </c>
      <c r="I65" s="191" t="s">
        <v>4</v>
      </c>
      <c r="J65" s="191" t="s">
        <v>41</v>
      </c>
      <c r="K65" s="191" t="s">
        <v>43</v>
      </c>
      <c r="L65" s="191" t="s">
        <v>142</v>
      </c>
      <c r="M65" s="191" t="s">
        <v>4</v>
      </c>
      <c r="N65" s="191" t="s">
        <v>41</v>
      </c>
      <c r="O65" s="191" t="s">
        <v>43</v>
      </c>
      <c r="P65" s="191" t="s">
        <v>142</v>
      </c>
      <c r="Q65" s="191" t="s">
        <v>4</v>
      </c>
      <c r="R65" s="191" t="s">
        <v>41</v>
      </c>
      <c r="S65" s="191" t="s">
        <v>43</v>
      </c>
      <c r="T65" s="191" t="s">
        <v>142</v>
      </c>
      <c r="U65" s="191" t="s">
        <v>4</v>
      </c>
      <c r="V65" s="191" t="s">
        <v>41</v>
      </c>
      <c r="W65" s="191" t="s">
        <v>43</v>
      </c>
      <c r="X65" s="191" t="s">
        <v>142</v>
      </c>
      <c r="Y65" s="191" t="s">
        <v>4</v>
      </c>
      <c r="Z65" s="191" t="s">
        <v>41</v>
      </c>
      <c r="AA65" s="191" t="s">
        <v>43</v>
      </c>
      <c r="AB65" s="191" t="s">
        <v>142</v>
      </c>
      <c r="AC65" s="191" t="s">
        <v>4</v>
      </c>
      <c r="AD65" s="191" t="s">
        <v>41</v>
      </c>
      <c r="AE65" s="191" t="s">
        <v>43</v>
      </c>
      <c r="AF65" s="191" t="s">
        <v>142</v>
      </c>
      <c r="AG65" s="191"/>
      <c r="AH65" s="191"/>
      <c r="AI65" s="191"/>
      <c r="AJ65" s="294">
        <f>IFERROR(COUNTIF(E65:AI65,"=Р")+COUNTIF(E65:AI65,"=Р1")+COUNTIF(E65:AI65,"=ВЧ")+COUNTIF(E65:AI65,"=РН")+COUNTIF(E65:AI65,"=Р2")+COUNTIF(E65:AI65,"=Р1/РВ")+COUNTIF(E65:AI65,"=Р2/РВ")+COUNTIF(E65:AI65,"=ВЧ/РВ")+COUNTIF(E65:AI65,"=РН/РВ"),0)</f>
        <v>21</v>
      </c>
      <c r="AK65" s="211">
        <f>IFERROR(SUMIF(E65:AI65,"=Р2",E66:AI66)+SUMIF(E65:AI65,"=ВЧ/РВ",E66:AI66)+SUMIF(E65:AI65,"=РН/РВ",E66:AI66)+SUMIF(E65:AI65,"=Р1/РВ",E66:AI66)+SUMIF(E65:AI65,"=ВЧ2/РВ",E66:AI66)+SUMIF(E65:AI65,"=Р2/РВ",E66:AI66)+SUMIF(E65:AI65,"=Р",E66:AI66)+SUMIF(E65:AI65,"=Р1",E66:AI66)+SUMIF(E65:AI65,"=ВЧ1",E66:AI66)+SUMIF(E65:AI65,"=РН",E66:AI66)+SUMIF(E65:AI65,"=ВЧ",E66:AI66),0)+AL65</f>
        <v>164</v>
      </c>
      <c r="AL65" s="211">
        <f>IFERROR(SUMIF(E65:AI65,"=НУ",E66:AI66),0)</f>
        <v>0</v>
      </c>
      <c r="AM65" s="211">
        <f>IFERROR(SUMIF(E65:AI65,"=РН",E66:AI66)+SUMIF(E65:AI65,"=РН/РВ",E66:AI66)+SUMIFS(E66:AI66,E65:AI65,"=Р2",E66:AI66,"=8"),0)</f>
        <v>56</v>
      </c>
      <c r="AN65" s="211">
        <f>IFERROR(SUMIF(E65:AI65,"=ВЧ",E66:AI66)+SUMIF(E65:AI65,"=ВЧ/РВ",E66:AI66)+CEILING(COUNTIFS(E65:AI65,"=Р2",E66:AI66,"=7")*4,1)+CEILING(COUNTIFS(E65:AI65,"=Р2/РВ",E66:AI66,"=7")*4,1)+SUMIFS(E66:AI66,E65:AI65,"=Р1/РВ",E66:AI66,"=12")/6+SUMIFS(E66:AI66,E65:AI65,"=ВЧ2/РВ",E66:AI66,"=4")/2+SUMIFS(E66:AI66,E65:AI65,"=Р1",E66:AI66,"=12")/6+SUMIFS(E66:AI66,E65:AI65,"=Р1",E66:AI66,"=8")/4+SUMIF(E65:AI65,"=ВЧ1",E66:AI66)/2,0)</f>
        <v>28</v>
      </c>
      <c r="AO65" s="211">
        <f>IFERROR(SUMIF(E65:AI65,"=РВ",E66:AI66)+SUMIF(E65:AI65,"=ВЧ/РВ",E66:AI66)+SUMIF(E65:AI65,"=РН/РВ",E66:AI66)+SUMIF(E65:AI65,"=Р1/РВ",E66:AI66)+SUMIF(E65:AI65,"=ВЧ2/РВ",E66:AI66)+SUMIF(E65:AI65,"=Р2/РВ",E66:AI66),0)</f>
        <v>0</v>
      </c>
      <c r="AP65" s="211">
        <f>IFERROR(COUNTIF(E65:AI65,"=ВВ")+COUNTIF(E65:AI65,"=Р1/ВВ")+COUNTIF(E65:AI65,"=РН/ВВ")+COUNTIF(E65:AI65,"=ВЧ/ВВ"),0)</f>
        <v>7</v>
      </c>
      <c r="AQ65" s="211">
        <f>SUM(AR65:AZ65)</f>
        <v>0</v>
      </c>
      <c r="AR65" s="211">
        <f>IFERROR(SUMIF(E65:AI65,"=В",E66:AI66)+SUMIF(E65:AI65,"=Ч",E66:AI66)+SUMIF(E65:AI65,"=ВБ",E66:AI66),0)</f>
        <v>0</v>
      </c>
      <c r="AS65" s="211">
        <f>IFERROR(SUMIF(E65:AI65,"=Н",E66:AI66),0)</f>
        <v>0</v>
      </c>
      <c r="AT65" s="211">
        <f>IFERROR(SUMIF(E65:AI65,"=НА",E66:AI66),0)</f>
        <v>0</v>
      </c>
      <c r="AU65" s="211">
        <f>IFERROR(SUMIF(E65:AI65,"=ВП",E66:AI66),0)</f>
        <v>0</v>
      </c>
      <c r="AV65" s="211">
        <f>IFERROR(SUMIF(E65:AI65,"=ДД",E66:AI66),0)</f>
        <v>0</v>
      </c>
      <c r="AW65" s="202">
        <f>IFERROR(SUMIF(E65:AI65,"=ДО",E66:AI66),0)</f>
        <v>0</v>
      </c>
      <c r="AX65" s="211">
        <f>IFERROR(SUMIF(E65:AI65,"=ТН",E66:AI66),0)</f>
        <v>0</v>
      </c>
      <c r="AY65" s="211">
        <f>IFERROR(SUMIF(E65:AI65,"=ВД",E66:AI66),0)</f>
        <v>0</v>
      </c>
      <c r="AZ65" s="312">
        <f>IFERROR(SUMIF(E65:AI65,"=ІН",E66:AI66),0)+SUMIF(E65:AI65,"=НЗ",E66:AI66)</f>
        <v>0</v>
      </c>
    </row>
    <row r="66" spans="1:52" s="177" customFormat="1" ht="20.100000000000001" customHeight="1" thickBot="1" x14ac:dyDescent="0.25">
      <c r="A66" s="306"/>
      <c r="B66" s="229"/>
      <c r="C66" s="280"/>
      <c r="D66" s="280"/>
      <c r="E66" s="192">
        <v>12</v>
      </c>
      <c r="F66" s="192">
        <v>4</v>
      </c>
      <c r="G66" s="192">
        <v>8</v>
      </c>
      <c r="H66" s="192"/>
      <c r="I66" s="192">
        <v>12</v>
      </c>
      <c r="J66" s="192">
        <v>4</v>
      </c>
      <c r="K66" s="192">
        <v>8</v>
      </c>
      <c r="L66" s="192"/>
      <c r="M66" s="192">
        <v>12</v>
      </c>
      <c r="N66" s="192">
        <v>4</v>
      </c>
      <c r="O66" s="192">
        <v>8</v>
      </c>
      <c r="P66" s="192"/>
      <c r="Q66" s="192">
        <v>12</v>
      </c>
      <c r="R66" s="192">
        <v>4</v>
      </c>
      <c r="S66" s="192">
        <v>8</v>
      </c>
      <c r="T66" s="192"/>
      <c r="U66" s="192">
        <v>8</v>
      </c>
      <c r="V66" s="192">
        <v>4</v>
      </c>
      <c r="W66" s="192">
        <v>8</v>
      </c>
      <c r="X66" s="192"/>
      <c r="Y66" s="192">
        <v>12</v>
      </c>
      <c r="Z66" s="192">
        <v>4</v>
      </c>
      <c r="AA66" s="192">
        <v>8</v>
      </c>
      <c r="AB66" s="192"/>
      <c r="AC66" s="192">
        <v>12</v>
      </c>
      <c r="AD66" s="192">
        <v>4</v>
      </c>
      <c r="AE66" s="192">
        <v>8</v>
      </c>
      <c r="AF66" s="192"/>
      <c r="AG66" s="192" t="s">
        <v>491</v>
      </c>
      <c r="AH66" s="192" t="s">
        <v>492</v>
      </c>
      <c r="AI66" s="192" t="s">
        <v>493</v>
      </c>
      <c r="AJ66" s="314"/>
      <c r="AK66" s="212"/>
      <c r="AL66" s="212"/>
      <c r="AM66" s="212"/>
      <c r="AN66" s="212"/>
      <c r="AO66" s="212"/>
      <c r="AP66" s="212"/>
      <c r="AQ66" s="311"/>
      <c r="AR66" s="311"/>
      <c r="AS66" s="311"/>
      <c r="AT66" s="311"/>
      <c r="AU66" s="311"/>
      <c r="AV66" s="311"/>
      <c r="AW66" s="203"/>
      <c r="AX66" s="311"/>
      <c r="AY66" s="311"/>
      <c r="AZ66" s="313"/>
    </row>
    <row r="67" spans="1:52" s="177" customFormat="1" ht="18.75" customHeight="1" x14ac:dyDescent="0.2">
      <c r="A67" s="305">
        <f t="shared" si="20"/>
        <v>26</v>
      </c>
      <c r="B67" s="228" t="s">
        <v>447</v>
      </c>
      <c r="C67" s="279">
        <v>2101</v>
      </c>
      <c r="D67" s="279" t="s">
        <v>72</v>
      </c>
      <c r="E67" s="191" t="s">
        <v>142</v>
      </c>
      <c r="F67" s="191" t="s">
        <v>4</v>
      </c>
      <c r="G67" s="191" t="s">
        <v>41</v>
      </c>
      <c r="H67" s="191" t="s">
        <v>43</v>
      </c>
      <c r="I67" s="191" t="s">
        <v>142</v>
      </c>
      <c r="J67" s="191" t="s">
        <v>4</v>
      </c>
      <c r="K67" s="191" t="s">
        <v>41</v>
      </c>
      <c r="L67" s="191" t="s">
        <v>43</v>
      </c>
      <c r="M67" s="191" t="s">
        <v>142</v>
      </c>
      <c r="N67" s="191" t="s">
        <v>4</v>
      </c>
      <c r="O67" s="191" t="s">
        <v>41</v>
      </c>
      <c r="P67" s="191" t="s">
        <v>43</v>
      </c>
      <c r="Q67" s="191" t="s">
        <v>142</v>
      </c>
      <c r="R67" s="191" t="s">
        <v>4</v>
      </c>
      <c r="S67" s="191" t="s">
        <v>41</v>
      </c>
      <c r="T67" s="191" t="s">
        <v>43</v>
      </c>
      <c r="U67" s="191" t="s">
        <v>142</v>
      </c>
      <c r="V67" s="191" t="s">
        <v>4</v>
      </c>
      <c r="W67" s="191" t="s">
        <v>41</v>
      </c>
      <c r="X67" s="191" t="s">
        <v>43</v>
      </c>
      <c r="Y67" s="191" t="s">
        <v>142</v>
      </c>
      <c r="Z67" s="191" t="s">
        <v>4</v>
      </c>
      <c r="AA67" s="191" t="s">
        <v>41</v>
      </c>
      <c r="AB67" s="191" t="s">
        <v>43</v>
      </c>
      <c r="AC67" s="191" t="s">
        <v>142</v>
      </c>
      <c r="AD67" s="191" t="s">
        <v>4</v>
      </c>
      <c r="AE67" s="191" t="s">
        <v>41</v>
      </c>
      <c r="AF67" s="191" t="s">
        <v>43</v>
      </c>
      <c r="AG67" s="191"/>
      <c r="AH67" s="191"/>
      <c r="AI67" s="191"/>
      <c r="AJ67" s="294">
        <f>IFERROR(COUNTIF(E67:AI67,"=Р")+COUNTIF(E67:AI67,"=Р1")+COUNTIF(E67:AI67,"=ВЧ")+COUNTIF(E67:AI67,"=РН")+COUNTIF(E67:AI67,"=Р2")+COUNTIF(E67:AI67,"=Р1/РВ")+COUNTIF(E67:AI67,"=Р2/РВ")+COUNTIF(E67:AI67,"=ВЧ/РВ")+COUNTIF(E67:AI67,"=РН/РВ"),0)</f>
        <v>21</v>
      </c>
      <c r="AK67" s="211">
        <f>IFERROR(SUMIF(E67:AI67,"=Р2",E68:AI68)+SUMIF(E67:AI67,"=ВЧ/РВ",E68:AI68)+SUMIF(E67:AI67,"=РН/РВ",E68:AI68)+SUMIF(E67:AI67,"=Р1/РВ",E68:AI68)+SUMIF(E67:AI67,"=ВЧ2/РВ",E68:AI68)+SUMIF(E67:AI67,"=Р2/РВ",E68:AI68)+SUMIF(E67:AI67,"=Р",E68:AI68)+SUMIF(E67:AI67,"=Р1",E68:AI68)+SUMIF(E67:AI67,"=ВЧ1",E68:AI68)+SUMIF(E67:AI67,"=РН",E68:AI68)+SUMIF(E67:AI67,"=ВЧ",E68:AI68),0)+AL67</f>
        <v>164</v>
      </c>
      <c r="AL67" s="211">
        <f>IFERROR(SUMIF(E67:AI67,"=НУ",E68:AI68),0)</f>
        <v>0</v>
      </c>
      <c r="AM67" s="211">
        <f>IFERROR(SUMIF(E67:AI67,"=РН",E68:AI68)+SUMIF(E67:AI67,"=РН/РВ",E68:AI68)+SUMIFS(E68:AI68,E67:AI67,"=Р2",E68:AI68,"=8"),0)</f>
        <v>56</v>
      </c>
      <c r="AN67" s="211">
        <f>IFERROR(SUMIF(E67:AI67,"=ВЧ",E68:AI68)+SUMIF(E67:AI67,"=ВЧ/РВ",E68:AI68)+CEILING(COUNTIFS(E67:AI67,"=Р2",E68:AI68,"=7")*4,1)+CEILING(COUNTIFS(E67:AI67,"=Р2/РВ",E68:AI68,"=7")*4,1)+SUMIFS(E68:AI68,E67:AI67,"=Р1/РВ",E68:AI68,"=12")/6+SUMIFS(E68:AI68,E67:AI67,"=ВЧ2/РВ",E68:AI68,"=4")/2+SUMIFS(E68:AI68,E67:AI67,"=Р1",E68:AI68,"=12")/6+SUMIFS(E68:AI68,E67:AI67,"=Р1",E68:AI68,"=8")/4+SUMIF(E67:AI67,"=ВЧ1",E68:AI68)/2,0)</f>
        <v>28</v>
      </c>
      <c r="AO67" s="211">
        <f>IFERROR(SUMIF(E67:AI67,"=РВ",E68:AI68)+SUMIF(E67:AI67,"=ВЧ/РВ",E68:AI68)+SUMIF(E67:AI67,"=РН/РВ",E68:AI68)+SUMIF(E67:AI67,"=Р1/РВ",E68:AI68)+SUMIF(E67:AI67,"=ВЧ2/РВ",E68:AI68)+SUMIF(E67:AI67,"=Р2/РВ",E68:AI68),0)</f>
        <v>0</v>
      </c>
      <c r="AP67" s="211">
        <f>IFERROR(COUNTIF(E67:AI67,"=ВВ")+COUNTIF(E67:AI67,"=Р1/ВВ")+COUNTIF(E67:AI67,"=РН/ВВ")+COUNTIF(E67:AI67,"=ВЧ/ВВ"),0)</f>
        <v>7</v>
      </c>
      <c r="AQ67" s="211">
        <f>SUM(AR67:AZ67)</f>
        <v>0</v>
      </c>
      <c r="AR67" s="211">
        <f>IFERROR(SUMIF(E67:AI67,"=В",E68:AI68)+SUMIF(E67:AI67,"=Ч",E68:AI68)+SUMIF(E67:AI67,"=ВБ",E68:AI68),0)</f>
        <v>0</v>
      </c>
      <c r="AS67" s="211">
        <f>IFERROR(SUMIF(E67:AI67,"=Н",E68:AI68),0)</f>
        <v>0</v>
      </c>
      <c r="AT67" s="211">
        <f>IFERROR(SUMIF(E67:AI67,"=НА",E68:AI68),0)</f>
        <v>0</v>
      </c>
      <c r="AU67" s="211">
        <f>IFERROR(SUMIF(E67:AI67,"=ВП",E68:AI68),0)</f>
        <v>0</v>
      </c>
      <c r="AV67" s="211">
        <f>IFERROR(SUMIF(E67:AI67,"=ДД",E68:AI68),0)</f>
        <v>0</v>
      </c>
      <c r="AW67" s="202">
        <f>IFERROR(SUMIF(E67:AI67,"=ДО",E68:AI68),0)</f>
        <v>0</v>
      </c>
      <c r="AX67" s="211">
        <f>IFERROR(SUMIF(E67:AI67,"=ТН",E68:AI68),0)</f>
        <v>0</v>
      </c>
      <c r="AY67" s="211">
        <f>IFERROR(SUMIF(E67:AI67,"=ВД",E68:AI68),0)</f>
        <v>0</v>
      </c>
      <c r="AZ67" s="312">
        <f>IFERROR(SUMIF(E67:AI67,"=ІН",E68:AI68),0)+SUMIF(E67:AI67,"=НЗ",E68:AI68)</f>
        <v>0</v>
      </c>
    </row>
    <row r="68" spans="1:52" s="177" customFormat="1" ht="20.100000000000001" customHeight="1" thickBot="1" x14ac:dyDescent="0.25">
      <c r="A68" s="306"/>
      <c r="B68" s="229"/>
      <c r="C68" s="280"/>
      <c r="D68" s="280"/>
      <c r="E68" s="192"/>
      <c r="F68" s="192">
        <v>12</v>
      </c>
      <c r="G68" s="192">
        <v>4</v>
      </c>
      <c r="H68" s="192">
        <v>8</v>
      </c>
      <c r="I68" s="192"/>
      <c r="J68" s="192">
        <v>12</v>
      </c>
      <c r="K68" s="192">
        <v>4</v>
      </c>
      <c r="L68" s="192">
        <v>8</v>
      </c>
      <c r="M68" s="192"/>
      <c r="N68" s="192">
        <v>8</v>
      </c>
      <c r="O68" s="192">
        <v>4</v>
      </c>
      <c r="P68" s="192">
        <v>8</v>
      </c>
      <c r="Q68" s="192"/>
      <c r="R68" s="192">
        <v>12</v>
      </c>
      <c r="S68" s="192">
        <v>4</v>
      </c>
      <c r="T68" s="192">
        <v>8</v>
      </c>
      <c r="U68" s="192"/>
      <c r="V68" s="192">
        <v>12</v>
      </c>
      <c r="W68" s="192">
        <v>4</v>
      </c>
      <c r="X68" s="192">
        <v>8</v>
      </c>
      <c r="Y68" s="192"/>
      <c r="Z68" s="192">
        <v>12</v>
      </c>
      <c r="AA68" s="192">
        <v>4</v>
      </c>
      <c r="AB68" s="192">
        <v>8</v>
      </c>
      <c r="AC68" s="192"/>
      <c r="AD68" s="192">
        <v>12</v>
      </c>
      <c r="AE68" s="192">
        <v>4</v>
      </c>
      <c r="AF68" s="192">
        <v>8</v>
      </c>
      <c r="AG68" s="192" t="s">
        <v>491</v>
      </c>
      <c r="AH68" s="192" t="s">
        <v>492</v>
      </c>
      <c r="AI68" s="192" t="s">
        <v>493</v>
      </c>
      <c r="AJ68" s="314"/>
      <c r="AK68" s="212"/>
      <c r="AL68" s="212"/>
      <c r="AM68" s="212"/>
      <c r="AN68" s="212"/>
      <c r="AO68" s="212"/>
      <c r="AP68" s="212"/>
      <c r="AQ68" s="311"/>
      <c r="AR68" s="311"/>
      <c r="AS68" s="311"/>
      <c r="AT68" s="311"/>
      <c r="AU68" s="311"/>
      <c r="AV68" s="311"/>
      <c r="AW68" s="203"/>
      <c r="AX68" s="311"/>
      <c r="AY68" s="311"/>
      <c r="AZ68" s="313"/>
    </row>
    <row r="69" spans="1:52" s="162" customFormat="1" ht="20.100000000000001" customHeight="1" x14ac:dyDescent="0.2">
      <c r="A69" s="305">
        <f t="shared" si="20"/>
        <v>27</v>
      </c>
      <c r="B69" s="228" t="s">
        <v>159</v>
      </c>
      <c r="C69" s="279">
        <v>1769</v>
      </c>
      <c r="D69" s="279" t="s">
        <v>65</v>
      </c>
      <c r="E69" s="191" t="s">
        <v>142</v>
      </c>
      <c r="F69" s="191" t="s">
        <v>142</v>
      </c>
      <c r="G69" s="191" t="s">
        <v>4</v>
      </c>
      <c r="H69" s="191" t="s">
        <v>4</v>
      </c>
      <c r="I69" s="191" t="s">
        <v>4</v>
      </c>
      <c r="J69" s="191" t="s">
        <v>4</v>
      </c>
      <c r="K69" s="191" t="s">
        <v>4</v>
      </c>
      <c r="L69" s="191" t="s">
        <v>142</v>
      </c>
      <c r="M69" s="191" t="s">
        <v>142</v>
      </c>
      <c r="N69" s="191" t="s">
        <v>4</v>
      </c>
      <c r="O69" s="191" t="s">
        <v>4</v>
      </c>
      <c r="P69" s="191" t="s">
        <v>4</v>
      </c>
      <c r="Q69" s="191" t="s">
        <v>4</v>
      </c>
      <c r="R69" s="191" t="s">
        <v>4</v>
      </c>
      <c r="S69" s="191" t="s">
        <v>142</v>
      </c>
      <c r="T69" s="191" t="s">
        <v>142</v>
      </c>
      <c r="U69" s="191" t="s">
        <v>4</v>
      </c>
      <c r="V69" s="191" t="s">
        <v>52</v>
      </c>
      <c r="W69" s="191" t="s">
        <v>52</v>
      </c>
      <c r="X69" s="191" t="s">
        <v>52</v>
      </c>
      <c r="Y69" s="191" t="s">
        <v>52</v>
      </c>
      <c r="Z69" s="191" t="s">
        <v>142</v>
      </c>
      <c r="AA69" s="191" t="s">
        <v>142</v>
      </c>
      <c r="AB69" s="191" t="s">
        <v>4</v>
      </c>
      <c r="AC69" s="191" t="s">
        <v>4</v>
      </c>
      <c r="AD69" s="191" t="s">
        <v>4</v>
      </c>
      <c r="AE69" s="191" t="s">
        <v>4</v>
      </c>
      <c r="AF69" s="191" t="s">
        <v>4</v>
      </c>
      <c r="AG69" s="191" t="s">
        <v>142</v>
      </c>
      <c r="AH69" s="191" t="s">
        <v>142</v>
      </c>
      <c r="AI69" s="191" t="s">
        <v>4</v>
      </c>
      <c r="AJ69" s="294">
        <f>IFERROR(COUNTIF(E69:AI69,"=Р")+COUNTIF(E69:AI69,"=Р1")+COUNTIF(E69:AI69,"=ВЧ")+COUNTIF(E69:AI69,"=РН")+COUNTIF(E69:AI69,"=Р2")+COUNTIF(E69:AI69,"=Р1/РВ")+COUNTIF(E69:AI69,"=Р2/РВ")+COUNTIF(E69:AI69,"=ВЧ/РВ")+COUNTIF(E69:AI69,"=РН/РВ"),0)</f>
        <v>17</v>
      </c>
      <c r="AK69" s="211">
        <f>IFERROR(SUMIF(E69:AI69,"=Р2",E70:AI70)+SUMIF(E69:AI69,"=ВЧ/РВ",E70:AI70)+SUMIF(E69:AI69,"=РН/РВ",E70:AI70)+SUMIF(E69:AI69,"=Р1/РВ",E70:AI70)+SUMIF(E69:AI69,"=ВЧ2/РВ",E70:AI70)+SUMIF(E69:AI69,"=Р2/РВ",E70:AI70)+SUMIF(E69:AI69,"=Р",E70:AI70)+SUMIF(E69:AI69,"=Р1",E70:AI70)+SUMIF(E69:AI69,"=ВЧ1",E70:AI70)+SUMIF(E69:AI69,"=РН",E70:AI70)+SUMIF(E69:AI69,"=ВЧ",E70:AI70),0)+AL69</f>
        <v>136.20000000000002</v>
      </c>
      <c r="AL69" s="211">
        <f>IFERROR(SUMIF(E69:AI69,"=НУ",E70:AI70),0)</f>
        <v>0</v>
      </c>
      <c r="AM69" s="211">
        <f>IFERROR(SUMIF(E69:AI69,"=РН",E70:AI70)+SUMIF(E69:AI69,"=РН/РВ",E70:AI70)+SUMIFS(E70:AI70,E69:AI69,"=Р2",E70:AI70,"=8"),0)</f>
        <v>0</v>
      </c>
      <c r="AN69" s="211">
        <f>IFERROR(SUMIF(E69:AI69,"=ВЧ",E70:AI70)+SUMIF(E69:AI69,"=ВЧ/РВ",E70:AI70)+CEILING(COUNTIFS(E69:AI69,"=Р2",E70:AI70,"=7")*4,1)+CEILING(COUNTIFS(E69:AI69,"=Р2/РВ",E70:AI70,"=7")*4,1)+SUMIFS(E70:AI70,E69:AI69,"=Р1/РВ",E70:AI70,"=12")/6+SUMIFS(E70:AI70,E69:AI69,"=ВЧ2/РВ",E70:AI70,"=4")/2+SUMIFS(E70:AI70,E69:AI69,"=Р1",E70:AI70,"=12")/6+SUMIFS(E70:AI70,E69:AI69,"=Р1",E70:AI70,"=8")/4+SUMIF(E69:AI69,"=ВЧ1",E70:AI70)/2,0)</f>
        <v>0</v>
      </c>
      <c r="AO69" s="211">
        <f>IFERROR(SUMIF(E69:AI69,"=РВ",E70:AI70)+SUMIF(E69:AI69,"=ВЧ/РВ",E70:AI70)+SUMIF(E69:AI69,"=РН/РВ",E70:AI70)+SUMIF(E69:AI69,"=Р1/РВ",E70:AI70)+SUMIF(E69:AI69,"=ВЧ2/РВ",E70:AI70)+SUMIF(E69:AI69,"=Р2/РВ",E70:AI70),0)</f>
        <v>0</v>
      </c>
      <c r="AP69" s="211">
        <f>IFERROR(COUNTIF(E69:AI69,"=ВВ")+COUNTIF(E69:AI69,"=Р1/ВВ")+COUNTIF(E69:AI69,"=РН/ВВ")+COUNTIF(E69:AI69,"=ВЧ/ВВ"),0)</f>
        <v>10</v>
      </c>
      <c r="AQ69" s="211">
        <f>SUM(AR69:AZ69)</f>
        <v>31.799999999999997</v>
      </c>
      <c r="AR69" s="211">
        <f>IFERROR(SUMIF(E69:AI69,"=В",E70:AI70)+SUMIF(E69:AI69,"=Ч",E70:AI70)+SUMIF(E69:AI69,"=ВБ",E70:AI70),0)</f>
        <v>0</v>
      </c>
      <c r="AS69" s="211">
        <f>IFERROR(SUMIF(E69:AI69,"=Н",E70:AI70),0)</f>
        <v>0</v>
      </c>
      <c r="AT69" s="211">
        <f>IFERROR(SUMIF(E69:AI69,"=НА",E70:AI70),0)</f>
        <v>0</v>
      </c>
      <c r="AU69" s="211">
        <f>IFERROR(SUMIF(E69:AI69,"=ВП",E70:AI70),0)</f>
        <v>0</v>
      </c>
      <c r="AV69" s="211">
        <f>IFERROR(SUMIF(E69:AI69,"=ДД",E70:AI70),0)</f>
        <v>0</v>
      </c>
      <c r="AW69" s="202">
        <f>IFERROR(SUMIF(E69:AI69,"=ДО",E70:AI70),0)</f>
        <v>0</v>
      </c>
      <c r="AX69" s="211">
        <f>IFERROR(SUMIF(E69:AI69,"=ТН",E70:AI70),0)</f>
        <v>31.799999999999997</v>
      </c>
      <c r="AY69" s="211">
        <f>IFERROR(SUMIF(E69:AI69,"=ВД",E70:AI70),0)</f>
        <v>0</v>
      </c>
      <c r="AZ69" s="312">
        <f>IFERROR(SUMIF(E69:AI69,"=ІН",E70:AI70),0)+SUMIF(E69:AI69,"=НЗ",E70:AI70)</f>
        <v>0</v>
      </c>
    </row>
    <row r="70" spans="1:52" s="162" customFormat="1" ht="20.100000000000001" customHeight="1" thickBot="1" x14ac:dyDescent="0.25">
      <c r="A70" s="306"/>
      <c r="B70" s="229"/>
      <c r="C70" s="280"/>
      <c r="D70" s="280"/>
      <c r="E70" s="192"/>
      <c r="F70" s="192"/>
      <c r="G70" s="192">
        <v>8.1999999999999993</v>
      </c>
      <c r="H70" s="192">
        <v>8.1999999999999993</v>
      </c>
      <c r="I70" s="192">
        <v>8.1999999999999993</v>
      </c>
      <c r="J70" s="192">
        <v>8.1999999999999993</v>
      </c>
      <c r="K70" s="192">
        <v>7</v>
      </c>
      <c r="L70" s="192"/>
      <c r="M70" s="192"/>
      <c r="N70" s="192">
        <v>8.1999999999999993</v>
      </c>
      <c r="O70" s="192">
        <v>8.1999999999999993</v>
      </c>
      <c r="P70" s="192">
        <v>8.1999999999999993</v>
      </c>
      <c r="Q70" s="192">
        <v>8.1999999999999993</v>
      </c>
      <c r="R70" s="192">
        <v>7.2</v>
      </c>
      <c r="S70" s="192"/>
      <c r="T70" s="192"/>
      <c r="U70" s="192">
        <v>8.1999999999999993</v>
      </c>
      <c r="V70" s="192">
        <v>8.1999999999999993</v>
      </c>
      <c r="W70" s="192">
        <v>8.1999999999999993</v>
      </c>
      <c r="X70" s="192">
        <v>8.1999999999999993</v>
      </c>
      <c r="Y70" s="192">
        <v>7.2</v>
      </c>
      <c r="Z70" s="192"/>
      <c r="AA70" s="192"/>
      <c r="AB70" s="192">
        <v>8.1999999999999993</v>
      </c>
      <c r="AC70" s="192">
        <v>8.1999999999999993</v>
      </c>
      <c r="AD70" s="192">
        <v>8.1999999999999993</v>
      </c>
      <c r="AE70" s="192">
        <v>8.1999999999999993</v>
      </c>
      <c r="AF70" s="192">
        <v>7.2</v>
      </c>
      <c r="AG70" s="192"/>
      <c r="AH70" s="192"/>
      <c r="AI70" s="192">
        <v>8.1999999999999993</v>
      </c>
      <c r="AJ70" s="314"/>
      <c r="AK70" s="212"/>
      <c r="AL70" s="212"/>
      <c r="AM70" s="212"/>
      <c r="AN70" s="212"/>
      <c r="AO70" s="212"/>
      <c r="AP70" s="212"/>
      <c r="AQ70" s="311"/>
      <c r="AR70" s="311"/>
      <c r="AS70" s="311"/>
      <c r="AT70" s="311"/>
      <c r="AU70" s="311"/>
      <c r="AV70" s="311"/>
      <c r="AW70" s="203"/>
      <c r="AX70" s="311"/>
      <c r="AY70" s="311"/>
      <c r="AZ70" s="313"/>
    </row>
    <row r="71" spans="1:52" ht="20.100000000000001" customHeight="1" x14ac:dyDescent="0.2">
      <c r="A71" s="305">
        <v>0</v>
      </c>
      <c r="B71" s="228" t="s">
        <v>74</v>
      </c>
      <c r="C71" s="279">
        <v>0</v>
      </c>
      <c r="D71" s="279">
        <v>0</v>
      </c>
      <c r="E71" s="65">
        <v>0</v>
      </c>
      <c r="F71" s="65">
        <v>0</v>
      </c>
      <c r="G71" s="65">
        <v>0</v>
      </c>
      <c r="H71" s="65">
        <v>0</v>
      </c>
      <c r="I71" s="65">
        <v>0</v>
      </c>
      <c r="J71" s="65">
        <v>0</v>
      </c>
      <c r="K71" s="65">
        <v>0</v>
      </c>
      <c r="L71" s="65">
        <v>0</v>
      </c>
      <c r="M71" s="65">
        <v>0</v>
      </c>
      <c r="N71" s="65">
        <v>0</v>
      </c>
      <c r="O71" s="65">
        <v>0</v>
      </c>
      <c r="P71" s="65">
        <v>0</v>
      </c>
      <c r="Q71" s="65">
        <v>0</v>
      </c>
      <c r="R71" s="65">
        <v>0</v>
      </c>
      <c r="S71" s="65">
        <v>0</v>
      </c>
      <c r="T71" s="65"/>
      <c r="U71" s="65"/>
      <c r="V71" s="65"/>
      <c r="W71" s="65"/>
      <c r="X71" s="65"/>
      <c r="Y71" s="65"/>
      <c r="Z71" s="65"/>
      <c r="AA71" s="65"/>
      <c r="AB71" s="65"/>
      <c r="AC71" s="65"/>
      <c r="AD71" s="65"/>
      <c r="AE71" s="65"/>
      <c r="AF71" s="65"/>
      <c r="AG71" s="65"/>
      <c r="AH71" s="65"/>
      <c r="AI71" s="65"/>
      <c r="AJ71" s="320">
        <f t="shared" ref="AJ71:AZ71" si="21">SUM(AJ17:AJ70)</f>
        <v>514</v>
      </c>
      <c r="AK71" s="315">
        <f t="shared" si="21"/>
        <v>4072</v>
      </c>
      <c r="AL71" s="315">
        <f t="shared" si="21"/>
        <v>0</v>
      </c>
      <c r="AM71" s="315">
        <f t="shared" si="21"/>
        <v>1184</v>
      </c>
      <c r="AN71" s="315">
        <f t="shared" si="21"/>
        <v>578</v>
      </c>
      <c r="AO71" s="315">
        <f t="shared" si="21"/>
        <v>0</v>
      </c>
      <c r="AP71" s="315">
        <f t="shared" si="21"/>
        <v>188</v>
      </c>
      <c r="AQ71" s="315">
        <f t="shared" si="21"/>
        <v>267.79999999999995</v>
      </c>
      <c r="AR71" s="315">
        <f t="shared" si="21"/>
        <v>0</v>
      </c>
      <c r="AS71" s="315">
        <f t="shared" si="21"/>
        <v>0</v>
      </c>
      <c r="AT71" s="315">
        <f t="shared" si="21"/>
        <v>0</v>
      </c>
      <c r="AU71" s="315">
        <f t="shared" si="21"/>
        <v>0</v>
      </c>
      <c r="AV71" s="315">
        <f t="shared" si="21"/>
        <v>0</v>
      </c>
      <c r="AW71" s="315">
        <f t="shared" si="21"/>
        <v>0</v>
      </c>
      <c r="AX71" s="315">
        <f t="shared" si="21"/>
        <v>99.8</v>
      </c>
      <c r="AY71" s="315">
        <f t="shared" si="21"/>
        <v>0</v>
      </c>
      <c r="AZ71" s="318">
        <f t="shared" si="21"/>
        <v>167.99999999999997</v>
      </c>
    </row>
    <row r="72" spans="1:52" ht="20.100000000000001" customHeight="1" thickBot="1" x14ac:dyDescent="0.25">
      <c r="A72" s="306"/>
      <c r="B72" s="229"/>
      <c r="C72" s="280"/>
      <c r="D72" s="280"/>
      <c r="E72" s="38">
        <v>0</v>
      </c>
      <c r="F72" s="38">
        <v>0</v>
      </c>
      <c r="G72" s="38">
        <v>0</v>
      </c>
      <c r="H72" s="38">
        <v>0</v>
      </c>
      <c r="I72" s="38">
        <v>0</v>
      </c>
      <c r="J72" s="38">
        <v>0</v>
      </c>
      <c r="K72" s="38">
        <v>0</v>
      </c>
      <c r="L72" s="38">
        <v>0</v>
      </c>
      <c r="M72" s="38">
        <v>0</v>
      </c>
      <c r="N72" s="38">
        <v>0</v>
      </c>
      <c r="O72" s="38">
        <v>0</v>
      </c>
      <c r="P72" s="38">
        <v>0</v>
      </c>
      <c r="Q72" s="38">
        <v>0</v>
      </c>
      <c r="R72" s="38">
        <v>0</v>
      </c>
      <c r="S72" s="38">
        <v>0</v>
      </c>
      <c r="T72" s="38"/>
      <c r="U72" s="38"/>
      <c r="V72" s="38"/>
      <c r="W72" s="38"/>
      <c r="X72" s="38"/>
      <c r="Y72" s="38"/>
      <c r="Z72" s="38"/>
      <c r="AA72" s="38"/>
      <c r="AB72" s="38"/>
      <c r="AC72" s="38"/>
      <c r="AD72" s="38"/>
      <c r="AE72" s="38"/>
      <c r="AF72" s="38"/>
      <c r="AG72" s="38"/>
      <c r="AH72" s="38"/>
      <c r="AI72" s="38"/>
      <c r="AJ72" s="321"/>
      <c r="AK72" s="316"/>
      <c r="AL72" s="316"/>
      <c r="AM72" s="316"/>
      <c r="AN72" s="316"/>
      <c r="AO72" s="316"/>
      <c r="AP72" s="316"/>
      <c r="AQ72" s="317"/>
      <c r="AR72" s="317"/>
      <c r="AS72" s="317"/>
      <c r="AT72" s="317"/>
      <c r="AU72" s="317"/>
      <c r="AV72" s="317"/>
      <c r="AW72" s="317"/>
      <c r="AX72" s="317"/>
      <c r="AY72" s="317"/>
      <c r="AZ72" s="319"/>
    </row>
    <row r="73" spans="1:52" ht="14.25" customHeight="1" x14ac:dyDescent="0.2">
      <c r="C73" s="20"/>
      <c r="D73" s="8"/>
      <c r="AJ73" s="26"/>
    </row>
    <row r="74" spans="1:52" ht="12.75" customHeight="1" x14ac:dyDescent="0.2">
      <c r="A74" s="226" t="s">
        <v>32</v>
      </c>
      <c r="B74" s="226"/>
      <c r="C74" s="226"/>
      <c r="D74" s="227" t="s">
        <v>81</v>
      </c>
      <c r="E74" s="227"/>
      <c r="F74" s="227"/>
      <c r="G74" s="227"/>
      <c r="H74" s="227"/>
      <c r="I74" s="227"/>
      <c r="J74" s="69"/>
      <c r="K74" s="224"/>
      <c r="L74" s="224"/>
      <c r="M74" s="224"/>
      <c r="N74" s="69"/>
      <c r="O74" s="225" t="s">
        <v>278</v>
      </c>
      <c r="P74" s="225"/>
      <c r="Q74" s="225"/>
      <c r="R74" s="225"/>
      <c r="S74" s="225"/>
      <c r="T74" s="9"/>
      <c r="U74" s="283">
        <v>45747</v>
      </c>
      <c r="V74" s="283"/>
      <c r="W74" s="283"/>
      <c r="X74" s="283"/>
      <c r="Y74" s="283"/>
      <c r="Z74" s="283"/>
      <c r="AA74" s="69"/>
      <c r="AB74" s="69"/>
      <c r="AC74" s="69"/>
      <c r="AD74" s="69"/>
      <c r="AE74" s="69"/>
      <c r="AF74" s="69"/>
      <c r="AG74" s="69"/>
      <c r="AH74" s="69"/>
      <c r="AI74" s="69"/>
      <c r="AJ74" s="69"/>
      <c r="AK74" s="69"/>
      <c r="AL74" s="69"/>
      <c r="AM74" s="69"/>
      <c r="AN74" s="69"/>
      <c r="AO74" s="69"/>
      <c r="AP74" s="69"/>
      <c r="AQ74" s="69"/>
      <c r="AR74" s="69"/>
      <c r="AS74" s="69"/>
      <c r="AT74" s="69"/>
    </row>
    <row r="75" spans="1:52" x14ac:dyDescent="0.15">
      <c r="A75" s="13"/>
      <c r="B75" s="16"/>
      <c r="D75" s="222" t="s">
        <v>34</v>
      </c>
      <c r="E75" s="222"/>
      <c r="F75" s="222"/>
      <c r="G75" s="222"/>
      <c r="H75" s="222"/>
      <c r="I75" s="222"/>
      <c r="J75" s="13"/>
      <c r="K75" s="222" t="s">
        <v>35</v>
      </c>
      <c r="L75" s="222"/>
      <c r="M75" s="222"/>
      <c r="N75" s="13"/>
      <c r="O75" s="222" t="s">
        <v>36</v>
      </c>
      <c r="P75" s="222"/>
      <c r="Q75" s="222"/>
      <c r="R75" s="222"/>
      <c r="S75" s="222"/>
      <c r="T75" s="13"/>
      <c r="U75" s="13"/>
      <c r="V75" s="31"/>
      <c r="W75" s="13"/>
      <c r="X75" s="17"/>
      <c r="Y75" s="17"/>
      <c r="Z75" s="17"/>
      <c r="AA75" s="13"/>
      <c r="AB75" s="13"/>
      <c r="AC75" s="13"/>
      <c r="AD75" s="13"/>
      <c r="AE75" s="13"/>
      <c r="AF75" s="13"/>
      <c r="AG75" s="13"/>
      <c r="AH75" s="13"/>
      <c r="AI75" s="13"/>
      <c r="AJ75" s="13"/>
      <c r="AK75" s="13"/>
      <c r="AL75" s="13"/>
      <c r="AM75" s="13"/>
      <c r="AN75" s="13"/>
      <c r="AO75" s="13"/>
      <c r="AP75" s="13"/>
      <c r="AQ75" s="13"/>
      <c r="AR75" s="13"/>
      <c r="AS75" s="13"/>
      <c r="AT75" s="13"/>
    </row>
    <row r="76" spans="1:52" ht="12.75" customHeight="1" x14ac:dyDescent="0.2">
      <c r="A76" s="32" t="s">
        <v>33</v>
      </c>
      <c r="B76" s="32"/>
      <c r="C76" s="69"/>
      <c r="D76" s="223" t="s">
        <v>277</v>
      </c>
      <c r="E76" s="223"/>
      <c r="F76" s="223"/>
      <c r="G76" s="223"/>
      <c r="H76" s="223"/>
      <c r="I76" s="223"/>
      <c r="J76" s="69"/>
      <c r="K76" s="224"/>
      <c r="L76" s="224"/>
      <c r="M76" s="224"/>
      <c r="N76" s="69"/>
      <c r="O76" s="225" t="s">
        <v>279</v>
      </c>
      <c r="P76" s="225"/>
      <c r="Q76" s="225"/>
      <c r="R76" s="225"/>
      <c r="S76" s="225"/>
      <c r="T76" s="9"/>
      <c r="U76" s="283">
        <f>U74</f>
        <v>45747</v>
      </c>
      <c r="V76" s="283"/>
      <c r="W76" s="283"/>
      <c r="X76" s="283"/>
      <c r="Y76" s="283"/>
      <c r="Z76" s="283"/>
      <c r="AA76" s="69"/>
      <c r="AB76" s="69"/>
      <c r="AC76" s="69"/>
      <c r="AD76" s="69"/>
      <c r="AE76" s="69"/>
      <c r="AF76" s="69"/>
      <c r="AG76" s="69"/>
      <c r="AH76" s="69"/>
      <c r="AI76" s="69"/>
      <c r="AJ76" s="69"/>
      <c r="AK76" s="69"/>
      <c r="AL76" s="69"/>
      <c r="AM76" s="69"/>
      <c r="AN76" s="69"/>
      <c r="AO76" s="69"/>
      <c r="AP76" s="69"/>
      <c r="AQ76" s="69"/>
      <c r="AR76" s="69"/>
      <c r="AS76" s="69"/>
      <c r="AT76" s="69"/>
    </row>
    <row r="77" spans="1:52" x14ac:dyDescent="0.2">
      <c r="A77" s="13"/>
      <c r="B77" s="13"/>
      <c r="D77" s="222" t="s">
        <v>34</v>
      </c>
      <c r="E77" s="222"/>
      <c r="F77" s="222"/>
      <c r="G77" s="222"/>
      <c r="H77" s="222"/>
      <c r="I77" s="222"/>
      <c r="J77" s="13"/>
      <c r="K77" s="222" t="s">
        <v>35</v>
      </c>
      <c r="L77" s="222"/>
      <c r="M77" s="222"/>
      <c r="N77" s="13"/>
      <c r="O77" s="222" t="s">
        <v>36</v>
      </c>
      <c r="P77" s="222"/>
      <c r="Q77" s="222"/>
      <c r="R77" s="222"/>
      <c r="S77" s="222"/>
      <c r="T77" s="17"/>
      <c r="U77" s="17"/>
      <c r="V77" s="13"/>
      <c r="W77" s="17"/>
      <c r="X77" s="17"/>
      <c r="Y77" s="17"/>
      <c r="Z77" s="69"/>
      <c r="AA77" s="69"/>
      <c r="AB77" s="69"/>
      <c r="AC77" s="69"/>
      <c r="AD77" s="69"/>
      <c r="AE77" s="69"/>
      <c r="AF77" s="69"/>
      <c r="AG77" s="69"/>
      <c r="AH77" s="69"/>
      <c r="AI77" s="69"/>
      <c r="AJ77" s="69"/>
      <c r="AK77" s="69"/>
      <c r="AL77" s="69"/>
      <c r="AM77" s="69"/>
      <c r="AN77" s="69"/>
      <c r="AO77" s="69"/>
      <c r="AP77" s="69"/>
      <c r="AQ77" s="69"/>
      <c r="AR77" s="69"/>
      <c r="AS77" s="69"/>
      <c r="AT77" s="69"/>
    </row>
    <row r="78" spans="1:52" x14ac:dyDescent="0.2">
      <c r="A78" s="69"/>
      <c r="B78" s="69"/>
      <c r="C78" s="33" t="s">
        <v>39</v>
      </c>
      <c r="D78" s="70"/>
      <c r="E78" s="70"/>
      <c r="F78" s="70"/>
      <c r="G78" s="70"/>
      <c r="H78" s="70"/>
      <c r="I78" s="70"/>
      <c r="J78" s="70"/>
      <c r="K78" s="70"/>
      <c r="L78" s="70"/>
      <c r="M78" s="70"/>
      <c r="N78" s="70"/>
      <c r="O78" s="70"/>
      <c r="P78" s="70"/>
      <c r="Q78" s="70"/>
      <c r="R78" s="69"/>
      <c r="S78" s="69"/>
      <c r="T78" s="69"/>
      <c r="U78" s="69"/>
      <c r="V78" s="69"/>
      <c r="W78" s="69"/>
      <c r="X78" s="69"/>
      <c r="Y78" s="69"/>
      <c r="Z78" s="69"/>
      <c r="AA78" s="69"/>
      <c r="AB78" s="69"/>
      <c r="AC78" s="69"/>
      <c r="AD78" s="69"/>
      <c r="AE78" s="69"/>
      <c r="AF78" s="69"/>
      <c r="AG78" s="69"/>
      <c r="AH78" s="69"/>
      <c r="AI78" s="69"/>
      <c r="AJ78" s="69"/>
      <c r="AK78" s="69"/>
      <c r="AL78" s="69"/>
      <c r="AM78" s="69"/>
      <c r="AN78" s="69"/>
      <c r="AO78" s="69"/>
      <c r="AP78" s="69"/>
      <c r="AQ78" s="69"/>
      <c r="AR78" s="69"/>
      <c r="AS78" s="69"/>
      <c r="AT78" s="69"/>
    </row>
    <row r="79" spans="1:52" x14ac:dyDescent="0.2">
      <c r="A79" s="69"/>
      <c r="B79" s="69"/>
      <c r="C79" s="34" t="s">
        <v>4</v>
      </c>
      <c r="D79" s="35" t="s">
        <v>49</v>
      </c>
      <c r="E79" t="s">
        <v>5</v>
      </c>
      <c r="F79"/>
      <c r="G79"/>
      <c r="H79"/>
      <c r="I79"/>
      <c r="J79"/>
      <c r="K79"/>
      <c r="L79"/>
      <c r="M79"/>
      <c r="N79" s="36"/>
      <c r="O79" s="3"/>
      <c r="P79" s="37"/>
      <c r="Q79" s="37"/>
      <c r="R79" s="69"/>
      <c r="S79" s="69"/>
      <c r="T79" s="69"/>
      <c r="U79" s="21" t="s">
        <v>2</v>
      </c>
      <c r="V79" s="15" t="s">
        <v>49</v>
      </c>
      <c r="W79" t="s">
        <v>61</v>
      </c>
      <c r="X79"/>
      <c r="Y79" s="69"/>
      <c r="Z79" s="69"/>
      <c r="AA79" s="69"/>
      <c r="AB79" s="69"/>
      <c r="AC79" s="69"/>
      <c r="AD79" s="69"/>
      <c r="AE79" s="69"/>
      <c r="AF79" s="69"/>
      <c r="AG79" s="69"/>
      <c r="AH79" s="69"/>
      <c r="AI79" s="69"/>
      <c r="AJ79" s="69"/>
      <c r="AK79" s="69"/>
      <c r="AL79" s="69"/>
      <c r="AM79" s="69"/>
      <c r="AN79" s="69"/>
      <c r="AO79" s="69"/>
      <c r="AP79" s="69"/>
      <c r="AQ79" s="69"/>
      <c r="AR79" s="69"/>
      <c r="AS79" s="69"/>
      <c r="AT79" s="69"/>
    </row>
    <row r="80" spans="1:52" x14ac:dyDescent="0.2">
      <c r="A80" s="69"/>
      <c r="B80" s="69"/>
      <c r="C80" s="34" t="s">
        <v>41</v>
      </c>
      <c r="D80" s="35" t="s">
        <v>49</v>
      </c>
      <c r="E80" t="s">
        <v>40</v>
      </c>
      <c r="F80"/>
      <c r="G80"/>
      <c r="H80"/>
      <c r="I80"/>
      <c r="J80"/>
      <c r="K80"/>
      <c r="L80"/>
      <c r="M80"/>
      <c r="N80" s="36"/>
      <c r="O80" s="3"/>
      <c r="P80" s="37"/>
      <c r="Q80" s="37"/>
      <c r="R80" s="69"/>
      <c r="S80" s="69"/>
      <c r="T80" s="69"/>
      <c r="U80" s="21" t="s">
        <v>50</v>
      </c>
      <c r="V80" s="15" t="s">
        <v>49</v>
      </c>
      <c r="W80" t="s">
        <v>62</v>
      </c>
      <c r="X80"/>
      <c r="Y80" s="69"/>
      <c r="Z80" s="69"/>
      <c r="AA80" s="69"/>
      <c r="AB80" s="69"/>
      <c r="AC80" s="69"/>
      <c r="AD80" s="69"/>
      <c r="AE80" s="69"/>
      <c r="AF80" s="69"/>
      <c r="AG80" s="69"/>
      <c r="AH80" s="69"/>
      <c r="AI80" s="69"/>
      <c r="AJ80" s="69"/>
      <c r="AK80" s="69"/>
      <c r="AL80" s="69"/>
      <c r="AM80" s="69"/>
      <c r="AN80" s="69"/>
      <c r="AO80" s="69"/>
      <c r="AP80" s="69"/>
      <c r="AQ80" s="69"/>
      <c r="AR80" s="69"/>
      <c r="AS80" s="69"/>
      <c r="AT80" s="69"/>
    </row>
    <row r="81" spans="1:46" x14ac:dyDescent="0.2">
      <c r="A81" s="69"/>
      <c r="B81" s="69"/>
      <c r="C81" s="34" t="s">
        <v>43</v>
      </c>
      <c r="D81" s="35" t="s">
        <v>49</v>
      </c>
      <c r="E81" t="s">
        <v>42</v>
      </c>
      <c r="F81"/>
      <c r="G81"/>
      <c r="H81"/>
      <c r="I81"/>
      <c r="J81"/>
      <c r="K81"/>
      <c r="L81"/>
      <c r="M81"/>
      <c r="N81" s="36"/>
      <c r="O81" s="3"/>
      <c r="P81" s="37"/>
      <c r="Q81" s="37"/>
      <c r="R81" s="69"/>
      <c r="S81" s="69"/>
      <c r="T81" s="69"/>
      <c r="U81" s="21" t="s">
        <v>51</v>
      </c>
      <c r="V81" s="15" t="s">
        <v>49</v>
      </c>
      <c r="W81" t="s">
        <v>53</v>
      </c>
      <c r="X81"/>
      <c r="Y81" s="69"/>
      <c r="Z81" s="69"/>
      <c r="AA81" s="69"/>
      <c r="AB81" s="69"/>
      <c r="AC81" s="69"/>
      <c r="AD81" s="69"/>
      <c r="AE81" s="69"/>
      <c r="AF81" s="69"/>
      <c r="AG81" s="69"/>
      <c r="AH81" s="69"/>
      <c r="AI81" s="69"/>
      <c r="AJ81" s="69"/>
      <c r="AK81" s="69"/>
      <c r="AL81" s="69"/>
      <c r="AM81" s="69"/>
      <c r="AN81" s="69"/>
      <c r="AO81" s="69"/>
      <c r="AP81" s="69"/>
      <c r="AQ81" s="69"/>
      <c r="AR81" s="69"/>
      <c r="AS81" s="69"/>
      <c r="AT81" s="69"/>
    </row>
    <row r="82" spans="1:46" x14ac:dyDescent="0.2">
      <c r="A82" s="69"/>
      <c r="B82" s="69"/>
      <c r="C82" s="34" t="s">
        <v>45</v>
      </c>
      <c r="D82" s="35" t="s">
        <v>49</v>
      </c>
      <c r="E82" t="s">
        <v>44</v>
      </c>
      <c r="F82"/>
      <c r="G82"/>
      <c r="H82"/>
      <c r="I82"/>
      <c r="J82"/>
      <c r="K82"/>
      <c r="L82"/>
      <c r="M82"/>
      <c r="N82" s="3"/>
      <c r="O82" s="3"/>
      <c r="P82" s="37"/>
      <c r="Q82" s="37"/>
      <c r="R82" s="69"/>
      <c r="S82" s="69"/>
      <c r="T82" s="69"/>
      <c r="U82" s="15" t="s">
        <v>63</v>
      </c>
      <c r="V82" s="15" t="s">
        <v>49</v>
      </c>
      <c r="W82" t="s">
        <v>64</v>
      </c>
      <c r="X82"/>
      <c r="Y82" s="69"/>
      <c r="Z82" s="69"/>
      <c r="AA82" s="69"/>
      <c r="AB82" s="69"/>
      <c r="AC82" s="69"/>
      <c r="AD82" s="69"/>
      <c r="AE82" s="69"/>
      <c r="AF82" s="69"/>
      <c r="AG82" s="69"/>
      <c r="AH82" s="69"/>
      <c r="AI82" s="69"/>
      <c r="AJ82" s="69"/>
      <c r="AK82" s="69"/>
      <c r="AL82" s="69"/>
      <c r="AM82" s="69"/>
      <c r="AN82" s="69"/>
      <c r="AO82" s="69"/>
      <c r="AP82" s="69"/>
      <c r="AQ82" s="69"/>
      <c r="AR82" s="69"/>
      <c r="AS82" s="69"/>
      <c r="AT82" s="69"/>
    </row>
    <row r="83" spans="1:46" x14ac:dyDescent="0.2">
      <c r="A83" s="69"/>
      <c r="B83" s="69"/>
      <c r="C83" s="34" t="s">
        <v>47</v>
      </c>
      <c r="D83" s="35" t="s">
        <v>49</v>
      </c>
      <c r="E83" t="s">
        <v>46</v>
      </c>
      <c r="F83"/>
      <c r="G83"/>
      <c r="H83"/>
      <c r="I83"/>
      <c r="J83"/>
      <c r="K83"/>
      <c r="L83"/>
      <c r="M83"/>
      <c r="N83" s="3"/>
      <c r="O83" s="3"/>
      <c r="P83" s="37"/>
      <c r="Q83" s="37"/>
      <c r="R83" s="69"/>
      <c r="S83" s="69"/>
      <c r="T83" s="69"/>
      <c r="U83" s="15" t="s">
        <v>65</v>
      </c>
      <c r="V83" s="15" t="s">
        <v>49</v>
      </c>
      <c r="W83" t="s">
        <v>66</v>
      </c>
      <c r="X83"/>
      <c r="Y83" s="69"/>
      <c r="Z83" s="69"/>
      <c r="AA83" s="69"/>
      <c r="AB83" s="69"/>
      <c r="AC83" s="69"/>
      <c r="AD83" s="69"/>
      <c r="AE83" s="69"/>
      <c r="AF83" s="69"/>
      <c r="AG83" s="69"/>
      <c r="AH83" s="69"/>
      <c r="AI83" s="69"/>
      <c r="AJ83" s="69"/>
      <c r="AK83" s="69"/>
      <c r="AL83" s="69"/>
      <c r="AM83" s="69"/>
      <c r="AN83" s="69"/>
      <c r="AO83" s="69"/>
      <c r="AP83" s="69"/>
      <c r="AQ83" s="69"/>
      <c r="AR83" s="69"/>
      <c r="AS83" s="69"/>
      <c r="AT83" s="69"/>
    </row>
    <row r="84" spans="1:46" x14ac:dyDescent="0.2">
      <c r="A84" s="69"/>
      <c r="B84" s="69"/>
      <c r="C84" s="34" t="s">
        <v>48</v>
      </c>
      <c r="D84" s="35" t="s">
        <v>49</v>
      </c>
      <c r="E84" t="s">
        <v>29</v>
      </c>
      <c r="F84"/>
      <c r="G84"/>
      <c r="H84"/>
      <c r="I84"/>
      <c r="J84"/>
      <c r="K84"/>
      <c r="L84"/>
      <c r="M84"/>
      <c r="N84" s="36"/>
      <c r="O84" s="3"/>
      <c r="P84" s="37"/>
      <c r="Q84" s="37"/>
      <c r="R84" s="69"/>
      <c r="S84" s="69"/>
      <c r="T84" s="69"/>
      <c r="U84" s="21" t="s">
        <v>52</v>
      </c>
      <c r="V84" s="15" t="s">
        <v>49</v>
      </c>
      <c r="W84" t="s">
        <v>54</v>
      </c>
      <c r="X84"/>
      <c r="Y84" s="69"/>
      <c r="Z84" s="69"/>
      <c r="AA84" s="69"/>
      <c r="AB84" s="69"/>
      <c r="AC84" s="69"/>
      <c r="AD84" s="69"/>
      <c r="AE84" s="69"/>
      <c r="AF84" s="69"/>
      <c r="AG84" s="69"/>
      <c r="AH84" s="69"/>
      <c r="AI84" s="69"/>
      <c r="AJ84" s="69"/>
      <c r="AK84" s="69"/>
      <c r="AL84" s="69"/>
      <c r="AM84" s="69"/>
      <c r="AN84" s="69"/>
      <c r="AO84" s="69"/>
      <c r="AP84" s="69"/>
      <c r="AQ84" s="69"/>
      <c r="AR84" s="69"/>
      <c r="AS84" s="69"/>
      <c r="AT84" s="69"/>
    </row>
    <row r="85" spans="1:46" x14ac:dyDescent="0.2">
      <c r="A85" s="69"/>
      <c r="B85" s="69"/>
      <c r="C85" s="34" t="s">
        <v>3</v>
      </c>
      <c r="D85" s="35" t="s">
        <v>49</v>
      </c>
      <c r="E85" t="s">
        <v>67</v>
      </c>
      <c r="F85"/>
      <c r="G85"/>
      <c r="H85"/>
      <c r="I85"/>
      <c r="J85"/>
      <c r="K85"/>
      <c r="L85"/>
      <c r="M85"/>
      <c r="N85" s="36"/>
      <c r="O85" s="3"/>
      <c r="P85" s="37"/>
      <c r="Q85" s="37"/>
      <c r="R85" s="69"/>
      <c r="S85" s="69"/>
      <c r="T85" s="69"/>
      <c r="U85" s="21" t="s">
        <v>68</v>
      </c>
      <c r="V85" s="15" t="s">
        <v>49</v>
      </c>
      <c r="W85" t="s">
        <v>31</v>
      </c>
      <c r="X85"/>
      <c r="Y85" s="69"/>
      <c r="Z85" s="69"/>
      <c r="AA85" s="69"/>
      <c r="AB85" s="69"/>
      <c r="AC85" s="69"/>
      <c r="AD85" s="69"/>
      <c r="AE85" s="69"/>
      <c r="AF85" s="69"/>
      <c r="AG85" s="69"/>
      <c r="AH85" s="69"/>
      <c r="AI85" s="69"/>
      <c r="AJ85" s="69"/>
      <c r="AK85" s="69"/>
      <c r="AL85" s="69"/>
      <c r="AM85" s="69"/>
      <c r="AN85" s="69"/>
      <c r="AO85" s="69"/>
      <c r="AP85" s="69"/>
      <c r="AQ85" s="69"/>
      <c r="AR85" s="69"/>
      <c r="AS85" s="69"/>
      <c r="AT85" s="69"/>
    </row>
    <row r="86" spans="1:46" x14ac:dyDescent="0.2">
      <c r="A86" s="69"/>
      <c r="B86" s="69"/>
      <c r="C86" s="34" t="s">
        <v>73</v>
      </c>
      <c r="D86" s="35" t="s">
        <v>49</v>
      </c>
      <c r="E86" s="219" t="s">
        <v>75</v>
      </c>
      <c r="F86" s="220"/>
      <c r="G86" s="220"/>
      <c r="H86" s="220"/>
      <c r="I86" s="220"/>
      <c r="J86" s="220"/>
      <c r="K86" s="220"/>
      <c r="L86" s="220"/>
      <c r="M86" s="220"/>
      <c r="N86" s="220"/>
      <c r="O86" s="220"/>
      <c r="P86" s="220"/>
      <c r="Q86" s="220"/>
      <c r="R86" s="69"/>
      <c r="S86" s="69"/>
      <c r="T86" s="69"/>
      <c r="U86" s="21" t="s">
        <v>76</v>
      </c>
      <c r="V86" s="15" t="s">
        <v>49</v>
      </c>
      <c r="W86" t="s">
        <v>77</v>
      </c>
      <c r="X86" s="69"/>
      <c r="Y86" s="69"/>
      <c r="Z86" s="69"/>
      <c r="AA86" s="69"/>
      <c r="AB86" s="69"/>
      <c r="AC86" s="69"/>
      <c r="AD86" s="69"/>
      <c r="AE86" s="69"/>
      <c r="AF86" s="69"/>
      <c r="AG86" s="69"/>
      <c r="AH86" s="69"/>
      <c r="AI86" s="69"/>
      <c r="AJ86" s="69"/>
      <c r="AK86" s="69"/>
      <c r="AL86" s="69"/>
      <c r="AM86" s="69"/>
      <c r="AN86" s="69"/>
      <c r="AO86" s="69"/>
      <c r="AP86" s="69"/>
      <c r="AQ86" s="69"/>
      <c r="AR86" s="69"/>
      <c r="AS86" s="69"/>
      <c r="AT86" s="69"/>
    </row>
    <row r="87" spans="1:46" x14ac:dyDescent="0.2">
      <c r="A87" s="69"/>
      <c r="B87" s="69"/>
      <c r="C87" s="34" t="s">
        <v>142</v>
      </c>
      <c r="D87" s="35" t="s">
        <v>49</v>
      </c>
      <c r="E87" s="219" t="s">
        <v>143</v>
      </c>
      <c r="F87" s="220"/>
      <c r="G87" s="220"/>
      <c r="H87" s="220"/>
      <c r="I87" s="220"/>
      <c r="J87" s="220"/>
      <c r="K87" s="220"/>
      <c r="L87" s="220"/>
      <c r="M87" s="220"/>
      <c r="N87" s="220"/>
      <c r="O87" s="220"/>
      <c r="P87" s="220"/>
      <c r="Q87" s="220"/>
      <c r="R87" s="69"/>
      <c r="S87" s="69"/>
      <c r="T87" s="69"/>
      <c r="U87" s="69"/>
      <c r="V87" s="69"/>
      <c r="W87" s="69"/>
      <c r="X87" s="69"/>
      <c r="Y87" s="69"/>
      <c r="Z87" s="69"/>
      <c r="AA87" s="69"/>
      <c r="AB87" s="69"/>
      <c r="AC87" s="69"/>
      <c r="AD87" s="69"/>
      <c r="AE87" s="69"/>
      <c r="AF87" s="69"/>
      <c r="AG87" s="69"/>
      <c r="AH87" s="69"/>
      <c r="AI87" s="69"/>
      <c r="AJ87" s="69"/>
      <c r="AK87" s="69"/>
      <c r="AL87" s="69"/>
      <c r="AM87" s="69"/>
      <c r="AN87" s="69"/>
      <c r="AO87" s="69"/>
      <c r="AP87" s="69"/>
      <c r="AQ87" s="69"/>
      <c r="AR87" s="69"/>
      <c r="AS87" s="69"/>
      <c r="AT87" s="69"/>
    </row>
  </sheetData>
  <sheetProtection insertColumns="0" insertRows="0" deleteColumns="0" deleteRows="0" autoFilter="0"/>
  <mergeCells count="675">
    <mergeCell ref="AS17:AS18"/>
    <mergeCell ref="AT17:AT18"/>
    <mergeCell ref="AU17:AU18"/>
    <mergeCell ref="AV17:AV18"/>
    <mergeCell ref="AW17:AW18"/>
    <mergeCell ref="AX17:AX18"/>
    <mergeCell ref="AY17:AY18"/>
    <mergeCell ref="AZ17:AZ18"/>
    <mergeCell ref="A53:A54"/>
    <mergeCell ref="AJ53:AJ54"/>
    <mergeCell ref="AS41:AS42"/>
    <mergeCell ref="AT41:AT42"/>
    <mergeCell ref="AU41:AU42"/>
    <mergeCell ref="AV41:AV42"/>
    <mergeCell ref="AN41:AN42"/>
    <mergeCell ref="AO41:AO42"/>
    <mergeCell ref="AP41:AP42"/>
    <mergeCell ref="A41:A42"/>
    <mergeCell ref="AJ41:AJ42"/>
    <mergeCell ref="AK41:AK42"/>
    <mergeCell ref="AL41:AL42"/>
    <mergeCell ref="AM41:AM42"/>
    <mergeCell ref="AQ41:AQ42"/>
    <mergeCell ref="AR41:AR42"/>
    <mergeCell ref="AZ71:AZ72"/>
    <mergeCell ref="AS71:AS72"/>
    <mergeCell ref="AT71:AT72"/>
    <mergeCell ref="AU71:AU72"/>
    <mergeCell ref="AV71:AV72"/>
    <mergeCell ref="AX71:AX72"/>
    <mergeCell ref="AY71:AY72"/>
    <mergeCell ref="AM71:AM72"/>
    <mergeCell ref="AN71:AN72"/>
    <mergeCell ref="AO71:AO72"/>
    <mergeCell ref="AP71:AP72"/>
    <mergeCell ref="AQ71:AQ72"/>
    <mergeCell ref="AR71:AR72"/>
    <mergeCell ref="A74:C74"/>
    <mergeCell ref="D74:I74"/>
    <mergeCell ref="A71:A72"/>
    <mergeCell ref="E86:Q86"/>
    <mergeCell ref="A55:A56"/>
    <mergeCell ref="B71:B72"/>
    <mergeCell ref="A69:A70"/>
    <mergeCell ref="B69:B70"/>
    <mergeCell ref="C69:C70"/>
    <mergeCell ref="C71:C72"/>
    <mergeCell ref="D71:D72"/>
    <mergeCell ref="O74:S74"/>
    <mergeCell ref="D69:D70"/>
    <mergeCell ref="A59:A60"/>
    <mergeCell ref="C61:C62"/>
    <mergeCell ref="D61:D62"/>
    <mergeCell ref="K77:M77"/>
    <mergeCell ref="O77:S77"/>
    <mergeCell ref="D76:I76"/>
    <mergeCell ref="O76:S76"/>
    <mergeCell ref="K74:M74"/>
    <mergeCell ref="A65:A66"/>
    <mergeCell ref="B65:B66"/>
    <mergeCell ref="C65:C66"/>
    <mergeCell ref="AV57:AV58"/>
    <mergeCell ref="E87:Q87"/>
    <mergeCell ref="D75:I75"/>
    <mergeCell ref="K75:M75"/>
    <mergeCell ref="O75:S75"/>
    <mergeCell ref="K76:M76"/>
    <mergeCell ref="AJ69:AJ70"/>
    <mergeCell ref="AK69:AK70"/>
    <mergeCell ref="AL69:AL70"/>
    <mergeCell ref="AM69:AM70"/>
    <mergeCell ref="AN69:AN70"/>
    <mergeCell ref="AO69:AO70"/>
    <mergeCell ref="AP69:AP70"/>
    <mergeCell ref="AQ69:AQ70"/>
    <mergeCell ref="AR69:AR70"/>
    <mergeCell ref="AS69:AS70"/>
    <mergeCell ref="AT69:AT70"/>
    <mergeCell ref="D77:I77"/>
    <mergeCell ref="U74:Z74"/>
    <mergeCell ref="U76:Z76"/>
    <mergeCell ref="AJ71:AJ72"/>
    <mergeCell ref="AK71:AK72"/>
    <mergeCell ref="AL71:AL72"/>
    <mergeCell ref="AU69:AU70"/>
    <mergeCell ref="AY53:AY54"/>
    <mergeCell ref="AS53:AS54"/>
    <mergeCell ref="AT53:AT54"/>
    <mergeCell ref="AU53:AU54"/>
    <mergeCell ref="AV53:AV54"/>
    <mergeCell ref="AK55:AK56"/>
    <mergeCell ref="AL55:AL56"/>
    <mergeCell ref="AV55:AV56"/>
    <mergeCell ref="AX55:AX56"/>
    <mergeCell ref="AY55:AY56"/>
    <mergeCell ref="AS55:AS56"/>
    <mergeCell ref="AT55:AT56"/>
    <mergeCell ref="AU55:AU56"/>
    <mergeCell ref="AQ53:AQ54"/>
    <mergeCell ref="AR53:AR54"/>
    <mergeCell ref="AK53:AK54"/>
    <mergeCell ref="AL53:AL54"/>
    <mergeCell ref="AM53:AM54"/>
    <mergeCell ref="AN53:AN54"/>
    <mergeCell ref="AO53:AO54"/>
    <mergeCell ref="AP53:AP54"/>
    <mergeCell ref="AP55:AP56"/>
    <mergeCell ref="AQ55:AQ56"/>
    <mergeCell ref="AR55:AR56"/>
    <mergeCell ref="AR17:AR18"/>
    <mergeCell ref="B41:B42"/>
    <mergeCell ref="C41:C42"/>
    <mergeCell ref="D41:D42"/>
    <mergeCell ref="AP17:AP18"/>
    <mergeCell ref="AQ17:AQ18"/>
    <mergeCell ref="AL23:AL24"/>
    <mergeCell ref="A23:A24"/>
    <mergeCell ref="AJ23:AJ24"/>
    <mergeCell ref="AK23:AK24"/>
    <mergeCell ref="AM23:AM24"/>
    <mergeCell ref="AN23:AN24"/>
    <mergeCell ref="B23:B24"/>
    <mergeCell ref="C23:C24"/>
    <mergeCell ref="D23:D24"/>
    <mergeCell ref="A17:A18"/>
    <mergeCell ref="B17:B18"/>
    <mergeCell ref="C17:C18"/>
    <mergeCell ref="D17:D18"/>
    <mergeCell ref="AJ17:AJ18"/>
    <mergeCell ref="AK17:AK18"/>
    <mergeCell ref="AL17:AL18"/>
    <mergeCell ref="AM17:AM18"/>
    <mergeCell ref="AN17:AN18"/>
    <mergeCell ref="AX23:AX24"/>
    <mergeCell ref="AY23:AY24"/>
    <mergeCell ref="AO23:AO24"/>
    <mergeCell ref="AP23:AP24"/>
    <mergeCell ref="AQ23:AQ24"/>
    <mergeCell ref="AR23:AR24"/>
    <mergeCell ref="AZ23:AZ24"/>
    <mergeCell ref="AV23:AV24"/>
    <mergeCell ref="AW23:AW24"/>
    <mergeCell ref="AS23:AS24"/>
    <mergeCell ref="AT23:AT24"/>
    <mergeCell ref="AU23:AU24"/>
    <mergeCell ref="AZ13:AZ15"/>
    <mergeCell ref="AK14:AK15"/>
    <mergeCell ref="AL14:AO14"/>
    <mergeCell ref="E16:AI16"/>
    <mergeCell ref="AK16:AO16"/>
    <mergeCell ref="AS13:AS15"/>
    <mergeCell ref="AT13:AT15"/>
    <mergeCell ref="AU13:AU15"/>
    <mergeCell ref="AV13:AV15"/>
    <mergeCell ref="AX13:AX15"/>
    <mergeCell ref="AY13:AY15"/>
    <mergeCell ref="AG13:AG15"/>
    <mergeCell ref="AH13:AH15"/>
    <mergeCell ref="AI13:AI15"/>
    <mergeCell ref="AJ13:AJ15"/>
    <mergeCell ref="AK13:AO13"/>
    <mergeCell ref="AR13:AR15"/>
    <mergeCell ref="AW13:AW15"/>
    <mergeCell ref="AP12:AP15"/>
    <mergeCell ref="AQ12:AQ15"/>
    <mergeCell ref="AC13:AC15"/>
    <mergeCell ref="AD13:AD15"/>
    <mergeCell ref="AE13:AE15"/>
    <mergeCell ref="AF13:AF15"/>
    <mergeCell ref="A2:N2"/>
    <mergeCell ref="W2:AB2"/>
    <mergeCell ref="W3:Y3"/>
    <mergeCell ref="Z3:AB3"/>
    <mergeCell ref="W4:Y4"/>
    <mergeCell ref="Z4:AB4"/>
    <mergeCell ref="A12:A15"/>
    <mergeCell ref="B12:B15"/>
    <mergeCell ref="C12:C15"/>
    <mergeCell ref="D12:D15"/>
    <mergeCell ref="E12:AI12"/>
    <mergeCell ref="L13:L15"/>
    <mergeCell ref="M13:M15"/>
    <mergeCell ref="N13:N15"/>
    <mergeCell ref="A5:N5"/>
    <mergeCell ref="A6:N6"/>
    <mergeCell ref="W6:Y7"/>
    <mergeCell ref="Z6:AB7"/>
    <mergeCell ref="A8:B8"/>
    <mergeCell ref="C8:F8"/>
    <mergeCell ref="W8:Y8"/>
    <mergeCell ref="Z8:AB8"/>
    <mergeCell ref="E13:E15"/>
    <mergeCell ref="F13:F15"/>
    <mergeCell ref="AJ12:AO12"/>
    <mergeCell ref="AO17:AO18"/>
    <mergeCell ref="U13:U15"/>
    <mergeCell ref="V13:V15"/>
    <mergeCell ref="W13:W15"/>
    <mergeCell ref="X13:X15"/>
    <mergeCell ref="Y13:Y15"/>
    <mergeCell ref="Z13:Z15"/>
    <mergeCell ref="AA13:AA15"/>
    <mergeCell ref="H9:S9"/>
    <mergeCell ref="D10:P10"/>
    <mergeCell ref="O13:O15"/>
    <mergeCell ref="P13:P15"/>
    <mergeCell ref="Q13:Q15"/>
    <mergeCell ref="R13:R15"/>
    <mergeCell ref="S13:S15"/>
    <mergeCell ref="AB13:AB15"/>
    <mergeCell ref="T13:T15"/>
    <mergeCell ref="G13:G15"/>
    <mergeCell ref="H13:H15"/>
    <mergeCell ref="I13:I15"/>
    <mergeCell ref="J13:J15"/>
    <mergeCell ref="K13:K15"/>
    <mergeCell ref="C53:C54"/>
    <mergeCell ref="D53:D54"/>
    <mergeCell ref="AM55:AM56"/>
    <mergeCell ref="AN55:AN56"/>
    <mergeCell ref="AO55:AO56"/>
    <mergeCell ref="B55:B56"/>
    <mergeCell ref="A57:A58"/>
    <mergeCell ref="B57:B58"/>
    <mergeCell ref="C57:C58"/>
    <mergeCell ref="D57:D58"/>
    <mergeCell ref="AJ57:AJ58"/>
    <mergeCell ref="AK57:AK58"/>
    <mergeCell ref="AL57:AL58"/>
    <mergeCell ref="AM57:AM58"/>
    <mergeCell ref="AN57:AN58"/>
    <mergeCell ref="AJ55:AJ56"/>
    <mergeCell ref="AO57:AO58"/>
    <mergeCell ref="C55:C56"/>
    <mergeCell ref="D55:D56"/>
    <mergeCell ref="AV69:AV70"/>
    <mergeCell ref="AW69:AW70"/>
    <mergeCell ref="AW71:AW72"/>
    <mergeCell ref="AZ41:AZ42"/>
    <mergeCell ref="AY57:AY58"/>
    <mergeCell ref="AZ57:AZ58"/>
    <mergeCell ref="AZ69:AZ70"/>
    <mergeCell ref="AX41:AX42"/>
    <mergeCell ref="AY41:AY42"/>
    <mergeCell ref="AZ53:AZ54"/>
    <mergeCell ref="AZ55:AZ56"/>
    <mergeCell ref="AX69:AX70"/>
    <mergeCell ref="AY69:AY70"/>
    <mergeCell ref="AW55:AW56"/>
    <mergeCell ref="AW57:AW58"/>
    <mergeCell ref="AX57:AX58"/>
    <mergeCell ref="AW41:AW42"/>
    <mergeCell ref="AX53:AX54"/>
    <mergeCell ref="AW53:AW54"/>
    <mergeCell ref="AX51:AX52"/>
    <mergeCell ref="AY51:AY52"/>
    <mergeCell ref="AZ51:AZ52"/>
    <mergeCell ref="AV47:AV48"/>
    <mergeCell ref="AV51:AV52"/>
    <mergeCell ref="A19:A20"/>
    <mergeCell ref="B19:B20"/>
    <mergeCell ref="C19:C20"/>
    <mergeCell ref="D19:D20"/>
    <mergeCell ref="AJ19:AJ20"/>
    <mergeCell ref="AK19:AK20"/>
    <mergeCell ref="AL19:AL20"/>
    <mergeCell ref="AM19:AM20"/>
    <mergeCell ref="AN19:AN20"/>
    <mergeCell ref="AO19:AO20"/>
    <mergeCell ref="AP19:AP20"/>
    <mergeCell ref="AQ19:AQ20"/>
    <mergeCell ref="AR19:AR20"/>
    <mergeCell ref="AS19:AS20"/>
    <mergeCell ref="AT19:AT20"/>
    <mergeCell ref="AU19:AU20"/>
    <mergeCell ref="AV19:AV20"/>
    <mergeCell ref="AW19:AW20"/>
    <mergeCell ref="AX19:AX20"/>
    <mergeCell ref="AY19:AY20"/>
    <mergeCell ref="AZ19:AZ20"/>
    <mergeCell ref="A21:A22"/>
    <mergeCell ref="B21:B22"/>
    <mergeCell ref="C21:C22"/>
    <mergeCell ref="D21:D22"/>
    <mergeCell ref="AJ21:AJ22"/>
    <mergeCell ref="AK21:AK22"/>
    <mergeCell ref="AL21:AL22"/>
    <mergeCell ref="AM21:AM22"/>
    <mergeCell ref="AN21:AN22"/>
    <mergeCell ref="AO21:AO22"/>
    <mergeCell ref="AP21:AP22"/>
    <mergeCell ref="AQ21:AQ22"/>
    <mergeCell ref="AR21:AR22"/>
    <mergeCell ref="AS21:AS22"/>
    <mergeCell ref="AT21:AT22"/>
    <mergeCell ref="AU21:AU22"/>
    <mergeCell ref="AV21:AV22"/>
    <mergeCell ref="AW21:AW22"/>
    <mergeCell ref="AX21:AX22"/>
    <mergeCell ref="AY21:AY22"/>
    <mergeCell ref="AZ21:AZ22"/>
    <mergeCell ref="A25:A26"/>
    <mergeCell ref="B25:B26"/>
    <mergeCell ref="C25:C26"/>
    <mergeCell ref="D25:D26"/>
    <mergeCell ref="AJ25:AJ26"/>
    <mergeCell ref="AK25:AK26"/>
    <mergeCell ref="AL25:AL26"/>
    <mergeCell ref="AM25:AM26"/>
    <mergeCell ref="AN25:AN26"/>
    <mergeCell ref="AO25:AO26"/>
    <mergeCell ref="AP25:AP26"/>
    <mergeCell ref="AQ25:AQ26"/>
    <mergeCell ref="AR25:AR26"/>
    <mergeCell ref="AS25:AS26"/>
    <mergeCell ref="AT25:AT26"/>
    <mergeCell ref="AU25:AU26"/>
    <mergeCell ref="AV25:AV26"/>
    <mergeCell ref="AW25:AW26"/>
    <mergeCell ref="AX25:AX26"/>
    <mergeCell ref="AY25:AY26"/>
    <mergeCell ref="AZ25:AZ26"/>
    <mergeCell ref="A27:A28"/>
    <mergeCell ref="B27:B28"/>
    <mergeCell ref="C27:C28"/>
    <mergeCell ref="D27:D28"/>
    <mergeCell ref="AJ27:AJ28"/>
    <mergeCell ref="AK27:AK28"/>
    <mergeCell ref="AL27:AL28"/>
    <mergeCell ref="AM27:AM28"/>
    <mergeCell ref="AN27:AN28"/>
    <mergeCell ref="AO27:AO28"/>
    <mergeCell ref="AP27:AP28"/>
    <mergeCell ref="AQ27:AQ28"/>
    <mergeCell ref="AR27:AR28"/>
    <mergeCell ref="AS27:AS28"/>
    <mergeCell ref="AT27:AT28"/>
    <mergeCell ref="AU27:AU28"/>
    <mergeCell ref="AV27:AV28"/>
    <mergeCell ref="AW27:AW28"/>
    <mergeCell ref="AX27:AX28"/>
    <mergeCell ref="AY27:AY28"/>
    <mergeCell ref="AZ27:AZ28"/>
    <mergeCell ref="A29:A30"/>
    <mergeCell ref="B29:B30"/>
    <mergeCell ref="C29:C30"/>
    <mergeCell ref="D29:D30"/>
    <mergeCell ref="AJ29:AJ30"/>
    <mergeCell ref="AK29:AK30"/>
    <mergeCell ref="AL29:AL30"/>
    <mergeCell ref="AM29:AM30"/>
    <mergeCell ref="AN29:AN30"/>
    <mergeCell ref="AO29:AO30"/>
    <mergeCell ref="AP29:AP30"/>
    <mergeCell ref="AQ29:AQ30"/>
    <mergeCell ref="AR29:AR30"/>
    <mergeCell ref="AS29:AS30"/>
    <mergeCell ref="AT29:AT30"/>
    <mergeCell ref="AU29:AU30"/>
    <mergeCell ref="AV29:AV30"/>
    <mergeCell ref="AW29:AW30"/>
    <mergeCell ref="AX29:AX30"/>
    <mergeCell ref="AY29:AY30"/>
    <mergeCell ref="AZ29:AZ30"/>
    <mergeCell ref="A31:A32"/>
    <mergeCell ref="B31:B32"/>
    <mergeCell ref="C31:C32"/>
    <mergeCell ref="D31:D32"/>
    <mergeCell ref="AJ31:AJ32"/>
    <mergeCell ref="AK31:AK32"/>
    <mergeCell ref="AL31:AL32"/>
    <mergeCell ref="AM31:AM32"/>
    <mergeCell ref="AN31:AN32"/>
    <mergeCell ref="AO31:AO32"/>
    <mergeCell ref="AP31:AP32"/>
    <mergeCell ref="AQ31:AQ32"/>
    <mergeCell ref="AR31:AR32"/>
    <mergeCell ref="AS31:AS32"/>
    <mergeCell ref="AT31:AT32"/>
    <mergeCell ref="AU31:AU32"/>
    <mergeCell ref="AV31:AV32"/>
    <mergeCell ref="AW31:AW32"/>
    <mergeCell ref="AX31:AX32"/>
    <mergeCell ref="AY31:AY32"/>
    <mergeCell ref="AZ31:AZ32"/>
    <mergeCell ref="A33:A34"/>
    <mergeCell ref="B33:B34"/>
    <mergeCell ref="C33:C34"/>
    <mergeCell ref="D33:D34"/>
    <mergeCell ref="AJ33:AJ34"/>
    <mergeCell ref="AK33:AK34"/>
    <mergeCell ref="AL33:AL34"/>
    <mergeCell ref="AM33:AM34"/>
    <mergeCell ref="AN33:AN34"/>
    <mergeCell ref="AO33:AO34"/>
    <mergeCell ref="AP33:AP34"/>
    <mergeCell ref="AQ33:AQ34"/>
    <mergeCell ref="AR33:AR34"/>
    <mergeCell ref="AS33:AS34"/>
    <mergeCell ref="AT33:AT34"/>
    <mergeCell ref="AU33:AU34"/>
    <mergeCell ref="AV33:AV34"/>
    <mergeCell ref="AW33:AW34"/>
    <mergeCell ref="AX33:AX34"/>
    <mergeCell ref="AY33:AY34"/>
    <mergeCell ref="AZ33:AZ34"/>
    <mergeCell ref="A35:A36"/>
    <mergeCell ref="B35:B36"/>
    <mergeCell ref="C35:C36"/>
    <mergeCell ref="D35:D36"/>
    <mergeCell ref="AJ35:AJ36"/>
    <mergeCell ref="AK35:AK36"/>
    <mergeCell ref="AL35:AL36"/>
    <mergeCell ref="AM35:AM36"/>
    <mergeCell ref="AN35:AN36"/>
    <mergeCell ref="AO35:AO36"/>
    <mergeCell ref="AP35:AP36"/>
    <mergeCell ref="AQ35:AQ36"/>
    <mergeCell ref="AR35:AR36"/>
    <mergeCell ref="AS35:AS36"/>
    <mergeCell ref="AT35:AT36"/>
    <mergeCell ref="AU35:AU36"/>
    <mergeCell ref="AV35:AV36"/>
    <mergeCell ref="AW35:AW36"/>
    <mergeCell ref="AX35:AX36"/>
    <mergeCell ref="AY35:AY36"/>
    <mergeCell ref="AZ35:AZ36"/>
    <mergeCell ref="A37:A38"/>
    <mergeCell ref="B37:B38"/>
    <mergeCell ref="C37:C38"/>
    <mergeCell ref="D37:D38"/>
    <mergeCell ref="AJ37:AJ38"/>
    <mergeCell ref="AK37:AK38"/>
    <mergeCell ref="AL37:AL38"/>
    <mergeCell ref="AM37:AM38"/>
    <mergeCell ref="AN37:AN38"/>
    <mergeCell ref="AO37:AO38"/>
    <mergeCell ref="AP37:AP38"/>
    <mergeCell ref="AQ37:AQ38"/>
    <mergeCell ref="AR37:AR38"/>
    <mergeCell ref="AS37:AS38"/>
    <mergeCell ref="AT37:AT38"/>
    <mergeCell ref="AU37:AU38"/>
    <mergeCell ref="AV37:AV38"/>
    <mergeCell ref="AW37:AW38"/>
    <mergeCell ref="AX37:AX38"/>
    <mergeCell ref="AY37:AY38"/>
    <mergeCell ref="AZ37:AZ38"/>
    <mergeCell ref="A43:A44"/>
    <mergeCell ref="B43:B44"/>
    <mergeCell ref="C43:C44"/>
    <mergeCell ref="D43:D44"/>
    <mergeCell ref="AJ43:AJ44"/>
    <mergeCell ref="AK43:AK44"/>
    <mergeCell ref="AL43:AL44"/>
    <mergeCell ref="AM43:AM44"/>
    <mergeCell ref="AN43:AN44"/>
    <mergeCell ref="AO43:AO44"/>
    <mergeCell ref="AP43:AP44"/>
    <mergeCell ref="AQ43:AQ44"/>
    <mergeCell ref="AR43:AR44"/>
    <mergeCell ref="AS43:AS44"/>
    <mergeCell ref="AT43:AT44"/>
    <mergeCell ref="AU43:AU44"/>
    <mergeCell ref="AV43:AV44"/>
    <mergeCell ref="AW43:AW44"/>
    <mergeCell ref="AX43:AX44"/>
    <mergeCell ref="AY43:AY44"/>
    <mergeCell ref="AZ43:AZ44"/>
    <mergeCell ref="A39:A40"/>
    <mergeCell ref="B39:B40"/>
    <mergeCell ref="C39:C40"/>
    <mergeCell ref="D39:D40"/>
    <mergeCell ref="AJ39:AJ40"/>
    <mergeCell ref="AK39:AK40"/>
    <mergeCell ref="AL39:AL40"/>
    <mergeCell ref="AM39:AM40"/>
    <mergeCell ref="AN39:AN40"/>
    <mergeCell ref="AO39:AO40"/>
    <mergeCell ref="AP39:AP40"/>
    <mergeCell ref="AQ39:AQ40"/>
    <mergeCell ref="AR39:AR40"/>
    <mergeCell ref="AS39:AS40"/>
    <mergeCell ref="AT39:AT40"/>
    <mergeCell ref="AU39:AU40"/>
    <mergeCell ref="AV39:AV40"/>
    <mergeCell ref="AW39:AW40"/>
    <mergeCell ref="AX39:AX40"/>
    <mergeCell ref="AY39:AY40"/>
    <mergeCell ref="AZ39:AZ40"/>
    <mergeCell ref="A45:A46"/>
    <mergeCell ref="B45:B46"/>
    <mergeCell ref="C45:C46"/>
    <mergeCell ref="D45:D46"/>
    <mergeCell ref="AJ45:AJ46"/>
    <mergeCell ref="AK45:AK46"/>
    <mergeCell ref="AL45:AL46"/>
    <mergeCell ref="AM45:AM46"/>
    <mergeCell ref="AN45:AN46"/>
    <mergeCell ref="AO45:AO46"/>
    <mergeCell ref="AP45:AP46"/>
    <mergeCell ref="AQ45:AQ46"/>
    <mergeCell ref="AR45:AR46"/>
    <mergeCell ref="AS45:AS46"/>
    <mergeCell ref="AT45:AT46"/>
    <mergeCell ref="AU45:AU46"/>
    <mergeCell ref="AV45:AV46"/>
    <mergeCell ref="AW45:AW46"/>
    <mergeCell ref="AX45:AX46"/>
    <mergeCell ref="AY45:AY46"/>
    <mergeCell ref="AZ45:AZ46"/>
    <mergeCell ref="AW51:AW52"/>
    <mergeCell ref="A51:A52"/>
    <mergeCell ref="B51:B52"/>
    <mergeCell ref="C51:C52"/>
    <mergeCell ref="D51:D52"/>
    <mergeCell ref="AJ51:AJ52"/>
    <mergeCell ref="AK51:AK52"/>
    <mergeCell ref="AL51:AL52"/>
    <mergeCell ref="AM51:AM52"/>
    <mergeCell ref="AN51:AN52"/>
    <mergeCell ref="AO51:AO52"/>
    <mergeCell ref="AP51:AP52"/>
    <mergeCell ref="AQ51:AQ52"/>
    <mergeCell ref="AR51:AR52"/>
    <mergeCell ref="AS51:AS52"/>
    <mergeCell ref="AT51:AT52"/>
    <mergeCell ref="AU51:AU52"/>
    <mergeCell ref="AQ57:AQ58"/>
    <mergeCell ref="AR57:AR58"/>
    <mergeCell ref="AS57:AS58"/>
    <mergeCell ref="AT57:AT58"/>
    <mergeCell ref="AU57:AU58"/>
    <mergeCell ref="A47:A48"/>
    <mergeCell ref="B47:B48"/>
    <mergeCell ref="C47:C48"/>
    <mergeCell ref="D47:D48"/>
    <mergeCell ref="AJ47:AJ48"/>
    <mergeCell ref="AK47:AK48"/>
    <mergeCell ref="AL47:AL48"/>
    <mergeCell ref="AM47:AM48"/>
    <mergeCell ref="AN47:AN48"/>
    <mergeCell ref="AO47:AO48"/>
    <mergeCell ref="AP47:AP48"/>
    <mergeCell ref="AQ47:AQ48"/>
    <mergeCell ref="AR47:AR48"/>
    <mergeCell ref="AS47:AS48"/>
    <mergeCell ref="AT47:AT48"/>
    <mergeCell ref="AU47:AU48"/>
    <mergeCell ref="A49:A50"/>
    <mergeCell ref="B49:B50"/>
    <mergeCell ref="B53:B54"/>
    <mergeCell ref="AY59:AY60"/>
    <mergeCell ref="A61:A62"/>
    <mergeCell ref="B61:B62"/>
    <mergeCell ref="AW47:AW48"/>
    <mergeCell ref="AX47:AX48"/>
    <mergeCell ref="AY47:AY48"/>
    <mergeCell ref="AZ47:AZ48"/>
    <mergeCell ref="B59:B60"/>
    <mergeCell ref="C59:C60"/>
    <mergeCell ref="D59:D60"/>
    <mergeCell ref="AJ59:AJ60"/>
    <mergeCell ref="AK59:AK60"/>
    <mergeCell ref="AL59:AL60"/>
    <mergeCell ref="AM59:AM60"/>
    <mergeCell ref="AN59:AN60"/>
    <mergeCell ref="AO59:AO60"/>
    <mergeCell ref="AP59:AP60"/>
    <mergeCell ref="AQ59:AQ60"/>
    <mergeCell ref="AR59:AR60"/>
    <mergeCell ref="AS59:AS60"/>
    <mergeCell ref="AT59:AT60"/>
    <mergeCell ref="AU59:AU60"/>
    <mergeCell ref="AV59:AV60"/>
    <mergeCell ref="AP57:AP58"/>
    <mergeCell ref="AW59:AW60"/>
    <mergeCell ref="AQ63:AQ64"/>
    <mergeCell ref="AR63:AR64"/>
    <mergeCell ref="AS63:AS64"/>
    <mergeCell ref="AT63:AT64"/>
    <mergeCell ref="AU63:AU64"/>
    <mergeCell ref="AV63:AV64"/>
    <mergeCell ref="AW63:AW64"/>
    <mergeCell ref="AX63:AX64"/>
    <mergeCell ref="AS61:AS62"/>
    <mergeCell ref="AT61:AT62"/>
    <mergeCell ref="AU61:AU62"/>
    <mergeCell ref="AV61:AV62"/>
    <mergeCell ref="AW61:AW62"/>
    <mergeCell ref="AX61:AX62"/>
    <mergeCell ref="AX59:AX60"/>
    <mergeCell ref="A63:A64"/>
    <mergeCell ref="B63:B64"/>
    <mergeCell ref="C63:C64"/>
    <mergeCell ref="D63:D64"/>
    <mergeCell ref="AJ63:AJ64"/>
    <mergeCell ref="AK63:AK64"/>
    <mergeCell ref="AL63:AL64"/>
    <mergeCell ref="AM63:AM64"/>
    <mergeCell ref="AN63:AN64"/>
    <mergeCell ref="AJ61:AJ62"/>
    <mergeCell ref="AK61:AK62"/>
    <mergeCell ref="AL61:AL62"/>
    <mergeCell ref="AM61:AM62"/>
    <mergeCell ref="AN61:AN62"/>
    <mergeCell ref="AO61:AO62"/>
    <mergeCell ref="AP61:AP62"/>
    <mergeCell ref="AQ61:AQ62"/>
    <mergeCell ref="AR61:AR62"/>
    <mergeCell ref="D65:D66"/>
    <mergeCell ref="AJ65:AJ66"/>
    <mergeCell ref="AK65:AK66"/>
    <mergeCell ref="AL65:AL66"/>
    <mergeCell ref="AM65:AM66"/>
    <mergeCell ref="AN65:AN66"/>
    <mergeCell ref="AX67:AX68"/>
    <mergeCell ref="AY67:AY68"/>
    <mergeCell ref="AZ67:AZ68"/>
    <mergeCell ref="AS65:AS66"/>
    <mergeCell ref="AT65:AT66"/>
    <mergeCell ref="AU65:AU66"/>
    <mergeCell ref="AZ63:AZ64"/>
    <mergeCell ref="AO67:AO68"/>
    <mergeCell ref="AP67:AP68"/>
    <mergeCell ref="AQ67:AQ68"/>
    <mergeCell ref="AR67:AR68"/>
    <mergeCell ref="AS67:AS68"/>
    <mergeCell ref="AT67:AT68"/>
    <mergeCell ref="AU67:AU68"/>
    <mergeCell ref="AV67:AV68"/>
    <mergeCell ref="AW67:AW68"/>
    <mergeCell ref="AY63:AY64"/>
    <mergeCell ref="A67:A68"/>
    <mergeCell ref="B67:B68"/>
    <mergeCell ref="C67:C68"/>
    <mergeCell ref="D67:D68"/>
    <mergeCell ref="AJ67:AJ68"/>
    <mergeCell ref="AK67:AK68"/>
    <mergeCell ref="AL67:AL68"/>
    <mergeCell ref="AM67:AM68"/>
    <mergeCell ref="AN67:AN68"/>
    <mergeCell ref="C49:C50"/>
    <mergeCell ref="D49:D50"/>
    <mergeCell ref="AJ49:AJ50"/>
    <mergeCell ref="AK49:AK50"/>
    <mergeCell ref="AL49:AL50"/>
    <mergeCell ref="AM49:AM50"/>
    <mergeCell ref="AN49:AN50"/>
    <mergeCell ref="AX49:AX50"/>
    <mergeCell ref="AY49:AY50"/>
    <mergeCell ref="AZ49:AZ50"/>
    <mergeCell ref="AV65:AV66"/>
    <mergeCell ref="AW65:AW66"/>
    <mergeCell ref="AO49:AO50"/>
    <mergeCell ref="AP49:AP50"/>
    <mergeCell ref="AQ49:AQ50"/>
    <mergeCell ref="AR49:AR50"/>
    <mergeCell ref="AS49:AS50"/>
    <mergeCell ref="AT49:AT50"/>
    <mergeCell ref="AU49:AU50"/>
    <mergeCell ref="AV49:AV50"/>
    <mergeCell ref="AW49:AW50"/>
    <mergeCell ref="AX65:AX66"/>
    <mergeCell ref="AY65:AY66"/>
    <mergeCell ref="AZ65:AZ66"/>
    <mergeCell ref="AO65:AO66"/>
    <mergeCell ref="AP65:AP66"/>
    <mergeCell ref="AQ65:AQ66"/>
    <mergeCell ref="AR65:AR66"/>
    <mergeCell ref="AZ59:AZ60"/>
    <mergeCell ref="AO63:AO64"/>
    <mergeCell ref="AP63:AP64"/>
    <mergeCell ref="AY61:AY62"/>
    <mergeCell ref="AZ61:AZ62"/>
  </mergeCells>
  <conditionalFormatting sqref="E17">
    <cfRule type="expression" dxfId="838" priority="73" stopIfTrue="1">
      <formula>(E17="Р")</formula>
    </cfRule>
    <cfRule type="expression" dxfId="837" priority="74" stopIfTrue="1">
      <formula>(E17="ВЧ")</formula>
    </cfRule>
    <cfRule type="expression" dxfId="836" priority="75" stopIfTrue="1">
      <formula>(E17="ВЧ1")</formula>
    </cfRule>
    <cfRule type="expression" dxfId="835" priority="76" stopIfTrue="1">
      <formula>(E17="ВЧ2")</formula>
    </cfRule>
    <cfRule type="expression" dxfId="834" priority="77" stopIfTrue="1">
      <formula>(E17="РН")</formula>
    </cfRule>
    <cfRule type="expression" dxfId="833" priority="78" stopIfTrue="1">
      <formula>(E17="НУ")</formula>
    </cfRule>
    <cfRule type="expression" dxfId="832" priority="79" stopIfTrue="1">
      <formula>(E17="Р1")</formula>
    </cfRule>
    <cfRule type="expression" dxfId="831" priority="80" stopIfTrue="1">
      <formula>(E17="Р2")</formula>
    </cfRule>
    <cfRule type="expression" dxfId="830" priority="81" stopIfTrue="1">
      <formula>(E17="Р1/РВ")</formula>
    </cfRule>
    <cfRule type="expression" dxfId="829" priority="82" stopIfTrue="1">
      <formula>(E17="Р2/РВ")</formula>
    </cfRule>
    <cfRule type="expression" dxfId="828" priority="83" stopIfTrue="1">
      <formula>(E17="ВЧ/РВ")</formula>
    </cfRule>
    <cfRule type="expression" priority="84" stopIfTrue="1">
      <formula>(E17="РН/РВ")</formula>
    </cfRule>
  </conditionalFormatting>
  <conditionalFormatting sqref="F17:AI17">
    <cfRule type="expression" dxfId="827" priority="61" stopIfTrue="1">
      <formula>(F17="Р")</formula>
    </cfRule>
    <cfRule type="expression" dxfId="826" priority="62" stopIfTrue="1">
      <formula>(F17="ВЧ")</formula>
    </cfRule>
    <cfRule type="expression" dxfId="825" priority="63" stopIfTrue="1">
      <formula>(F17="ВЧ1")</formula>
    </cfRule>
    <cfRule type="expression" dxfId="824" priority="64" stopIfTrue="1">
      <formula>(F17="ВЧ2")</formula>
    </cfRule>
    <cfRule type="expression" dxfId="823" priority="65" stopIfTrue="1">
      <formula>(F17="РН")</formula>
    </cfRule>
    <cfRule type="expression" dxfId="822" priority="66" stopIfTrue="1">
      <formula>(F17="НУ")</formula>
    </cfRule>
    <cfRule type="expression" dxfId="821" priority="67" stopIfTrue="1">
      <formula>(F17="Р1")</formula>
    </cfRule>
    <cfRule type="expression" dxfId="820" priority="68" stopIfTrue="1">
      <formula>(F17="Р2")</formula>
    </cfRule>
    <cfRule type="expression" dxfId="819" priority="69" stopIfTrue="1">
      <formula>(F17="Р1/РВ")</formula>
    </cfRule>
    <cfRule type="expression" dxfId="818" priority="70" stopIfTrue="1">
      <formula>(F17="Р2/РВ")</formula>
    </cfRule>
    <cfRule type="expression" dxfId="817" priority="71" stopIfTrue="1">
      <formula>(F17="ВЧ/РВ")</formula>
    </cfRule>
    <cfRule type="expression" priority="72" stopIfTrue="1">
      <formula>(F17="РН/РВ")</formula>
    </cfRule>
  </conditionalFormatting>
  <conditionalFormatting sqref="E18">
    <cfRule type="expression" dxfId="816" priority="85" stopIfTrue="1">
      <formula>(E17="ВД")</formula>
    </cfRule>
    <cfRule type="expression" dxfId="815" priority="86" stopIfTrue="1">
      <formula>(E17="В")</formula>
    </cfRule>
    <cfRule type="expression" dxfId="814" priority="87" stopIfTrue="1">
      <formula>(E17="ВП")</formula>
    </cfRule>
    <cfRule type="expression" dxfId="813" priority="88" stopIfTrue="1">
      <formula>(E17="ДД")</formula>
    </cfRule>
    <cfRule type="expression" dxfId="812" priority="89" stopIfTrue="1">
      <formula>(E17="НА")</formula>
    </cfRule>
    <cfRule type="expression" dxfId="811" priority="90" stopIfTrue="1">
      <formula>(E17="Ч")</formula>
    </cfRule>
    <cfRule type="expression" dxfId="810" priority="91" stopIfTrue="1">
      <formula>(E17="Н")</formula>
    </cfRule>
    <cfRule type="expression" dxfId="809" priority="92" stopIfTrue="1">
      <formula>(E17="ТН")</formula>
    </cfRule>
    <cfRule type="expression" dxfId="808" priority="93" stopIfTrue="1">
      <formula>(E17="ДО")</formula>
    </cfRule>
    <cfRule type="expression" dxfId="807" priority="94" stopIfTrue="1">
      <formula>(E17="ІН")</formula>
    </cfRule>
    <cfRule type="expression" dxfId="806" priority="95" stopIfTrue="1">
      <formula>(E17="РВ")</formula>
    </cfRule>
    <cfRule type="expression" dxfId="805" priority="96" stopIfTrue="1">
      <formula>(E17="ВБ")</formula>
    </cfRule>
  </conditionalFormatting>
  <conditionalFormatting sqref="F18:AI18">
    <cfRule type="expression" dxfId="804" priority="49" stopIfTrue="1">
      <formula>(F17="ВД")</formula>
    </cfRule>
    <cfRule type="expression" dxfId="803" priority="50" stopIfTrue="1">
      <formula>(F17="В")</formula>
    </cfRule>
    <cfRule type="expression" dxfId="802" priority="51" stopIfTrue="1">
      <formula>(F17="ВП")</formula>
    </cfRule>
    <cfRule type="expression" dxfId="801" priority="52" stopIfTrue="1">
      <formula>(F17="ДД")</formula>
    </cfRule>
    <cfRule type="expression" dxfId="800" priority="53" stopIfTrue="1">
      <formula>(F17="НА")</formula>
    </cfRule>
    <cfRule type="expression" dxfId="799" priority="54" stopIfTrue="1">
      <formula>(F17="Ч")</formula>
    </cfRule>
    <cfRule type="expression" dxfId="798" priority="55" stopIfTrue="1">
      <formula>(F17="Н")</formula>
    </cfRule>
    <cfRule type="expression" dxfId="797" priority="56" stopIfTrue="1">
      <formula>(F17="ТН")</formula>
    </cfRule>
    <cfRule type="expression" dxfId="796" priority="57" stopIfTrue="1">
      <formula>(F17="ДО")</formula>
    </cfRule>
    <cfRule type="expression" dxfId="795" priority="58" stopIfTrue="1">
      <formula>(F17="ІН")</formula>
    </cfRule>
    <cfRule type="expression" dxfId="794" priority="59" stopIfTrue="1">
      <formula>(F17="РВ")</formula>
    </cfRule>
    <cfRule type="expression" dxfId="793" priority="60" stopIfTrue="1">
      <formula>(F17="ВБ")</formula>
    </cfRule>
  </conditionalFormatting>
  <conditionalFormatting sqref="E19 E21 E23 E25 E27 E29 E31 E33 E35 E37 E39 E41 E43 E45 E47 E49 E51 E53 E55 E57 E59 E61 E63 E65 E67 E69">
    <cfRule type="expression" dxfId="792" priority="25" stopIfTrue="1">
      <formula>(E19="Р")</formula>
    </cfRule>
    <cfRule type="expression" dxfId="791" priority="26" stopIfTrue="1">
      <formula>(E19="ВЧ")</formula>
    </cfRule>
    <cfRule type="expression" dxfId="790" priority="27" stopIfTrue="1">
      <formula>(E19="ВЧ1")</formula>
    </cfRule>
    <cfRule type="expression" dxfId="789" priority="28" stopIfTrue="1">
      <formula>(E19="ВЧ2")</formula>
    </cfRule>
    <cfRule type="expression" dxfId="788" priority="29" stopIfTrue="1">
      <formula>(E19="РН")</formula>
    </cfRule>
    <cfRule type="expression" dxfId="787" priority="30" stopIfTrue="1">
      <formula>(E19="НУ")</formula>
    </cfRule>
    <cfRule type="expression" dxfId="786" priority="31" stopIfTrue="1">
      <formula>(E19="Р1")</formula>
    </cfRule>
    <cfRule type="expression" dxfId="785" priority="32" stopIfTrue="1">
      <formula>(E19="Р2")</formula>
    </cfRule>
    <cfRule type="expression" dxfId="784" priority="33" stopIfTrue="1">
      <formula>(E19="Р1/РВ")</formula>
    </cfRule>
    <cfRule type="expression" dxfId="783" priority="34" stopIfTrue="1">
      <formula>(E19="Р2/РВ")</formula>
    </cfRule>
    <cfRule type="expression" dxfId="782" priority="35" stopIfTrue="1">
      <formula>(E19="ВЧ/РВ")</formula>
    </cfRule>
    <cfRule type="expression" priority="36" stopIfTrue="1">
      <formula>(E19="РН/РВ")</formula>
    </cfRule>
  </conditionalFormatting>
  <conditionalFormatting sqref="F19:AI19 F21:AI21 F23:AI23 F25:AI25 F27:AI27 F29:AI29 F31:AI31 F33:AI33 F35:AI35 F37:AI37 F39:AI39 F41:AI41 F43:AI43 F45:AI45 F47:AI47 F49:AI49 F51:AI51 F53:AI53 F55:AI55 F57:AI57 F59:AI59 F61:AI61 F63:AI63 F65:AI65 F67:AI67 F69:AI69">
    <cfRule type="expression" dxfId="781" priority="13" stopIfTrue="1">
      <formula>(F19="Р")</formula>
    </cfRule>
    <cfRule type="expression" dxfId="780" priority="14" stopIfTrue="1">
      <formula>(F19="ВЧ")</formula>
    </cfRule>
    <cfRule type="expression" dxfId="779" priority="15" stopIfTrue="1">
      <formula>(F19="ВЧ1")</formula>
    </cfRule>
    <cfRule type="expression" dxfId="778" priority="16" stopIfTrue="1">
      <formula>(F19="ВЧ2")</formula>
    </cfRule>
    <cfRule type="expression" dxfId="777" priority="17" stopIfTrue="1">
      <formula>(F19="РН")</formula>
    </cfRule>
    <cfRule type="expression" dxfId="776" priority="18" stopIfTrue="1">
      <formula>(F19="НУ")</formula>
    </cfRule>
    <cfRule type="expression" dxfId="775" priority="19" stopIfTrue="1">
      <formula>(F19="Р1")</formula>
    </cfRule>
    <cfRule type="expression" dxfId="774" priority="20" stopIfTrue="1">
      <formula>(F19="Р2")</formula>
    </cfRule>
    <cfRule type="expression" dxfId="773" priority="21" stopIfTrue="1">
      <formula>(F19="Р1/РВ")</formula>
    </cfRule>
    <cfRule type="expression" dxfId="772" priority="22" stopIfTrue="1">
      <formula>(F19="Р2/РВ")</formula>
    </cfRule>
    <cfRule type="expression" dxfId="771" priority="23" stopIfTrue="1">
      <formula>(F19="ВЧ/РВ")</formula>
    </cfRule>
    <cfRule type="expression" priority="24" stopIfTrue="1">
      <formula>(F19="РН/РВ")</formula>
    </cfRule>
  </conditionalFormatting>
  <conditionalFormatting sqref="E20 E22 E24 E26 E28 E30 E32 E34 E36 E38 E40 E42 E44 E46 E48 E50 E52 E54 E56 E58 E60 E62 E64 E66 E68 E70">
    <cfRule type="expression" dxfId="770" priority="37" stopIfTrue="1">
      <formula>(E19="ВД")</formula>
    </cfRule>
    <cfRule type="expression" dxfId="769" priority="38" stopIfTrue="1">
      <formula>(E19="В")</formula>
    </cfRule>
    <cfRule type="expression" dxfId="768" priority="39" stopIfTrue="1">
      <formula>(E19="ВП")</formula>
    </cfRule>
    <cfRule type="expression" dxfId="767" priority="40" stopIfTrue="1">
      <formula>(E19="ДД")</formula>
    </cfRule>
    <cfRule type="expression" dxfId="766" priority="41" stopIfTrue="1">
      <formula>(E19="НА")</formula>
    </cfRule>
    <cfRule type="expression" dxfId="765" priority="42" stopIfTrue="1">
      <formula>(E19="Ч")</formula>
    </cfRule>
    <cfRule type="expression" dxfId="764" priority="43" stopIfTrue="1">
      <formula>(E19="Н")</formula>
    </cfRule>
    <cfRule type="expression" dxfId="763" priority="44" stopIfTrue="1">
      <formula>(E19="ТН")</formula>
    </cfRule>
    <cfRule type="expression" dxfId="762" priority="45" stopIfTrue="1">
      <formula>(E19="ДО")</formula>
    </cfRule>
    <cfRule type="expression" dxfId="761" priority="46" stopIfTrue="1">
      <formula>(E19="ІН")</formula>
    </cfRule>
    <cfRule type="expression" dxfId="760" priority="47" stopIfTrue="1">
      <formula>(E19="РВ")</formula>
    </cfRule>
    <cfRule type="expression" dxfId="759" priority="48" stopIfTrue="1">
      <formula>(E19="ВБ")</formula>
    </cfRule>
  </conditionalFormatting>
  <conditionalFormatting sqref="F20:AI20 F22:AI22 F24:AI24 F26:AI26 F28:AI28 F30:AI30 F32:AI32 F34:AI34 F36:AI36 F38:AI38 F40:AI40 F42:AI42 F44:AI44 F46:AI46 F48:AI48 F50:AI50 F52:AI52 F54:AI54 F56:AI56 F58:AI58 F60:AI60 F62:AI62 F64:AI64 F66:AI66 F68:AI68 F70:AI70">
    <cfRule type="expression" dxfId="758" priority="1" stopIfTrue="1">
      <formula>(F19="ВД")</formula>
    </cfRule>
    <cfRule type="expression" dxfId="757" priority="2" stopIfTrue="1">
      <formula>(F19="В")</formula>
    </cfRule>
    <cfRule type="expression" dxfId="756" priority="3" stopIfTrue="1">
      <formula>(F19="ВП")</formula>
    </cfRule>
    <cfRule type="expression" dxfId="755" priority="4" stopIfTrue="1">
      <formula>(F19="ДД")</formula>
    </cfRule>
    <cfRule type="expression" dxfId="754" priority="5" stopIfTrue="1">
      <formula>(F19="НА")</formula>
    </cfRule>
    <cfRule type="expression" dxfId="753" priority="6" stopIfTrue="1">
      <formula>(F19="Ч")</formula>
    </cfRule>
    <cfRule type="expression" dxfId="752" priority="7" stopIfTrue="1">
      <formula>(F19="Н")</formula>
    </cfRule>
    <cfRule type="expression" dxfId="751" priority="8" stopIfTrue="1">
      <formula>(F19="ТН")</formula>
    </cfRule>
    <cfRule type="expression" dxfId="750" priority="9" stopIfTrue="1">
      <formula>(F19="ДО")</formula>
    </cfRule>
    <cfRule type="expression" dxfId="749" priority="10" stopIfTrue="1">
      <formula>(F19="ІН")</formula>
    </cfRule>
    <cfRule type="expression" dxfId="748" priority="11" stopIfTrue="1">
      <formula>(F19="РВ")</formula>
    </cfRule>
    <cfRule type="expression" dxfId="747" priority="12" stopIfTrue="1">
      <formula>(F19="ВБ")</formula>
    </cfRule>
  </conditionalFormatting>
  <printOptions horizontalCentered="1"/>
  <pageMargins left="0.39370078740157483" right="0.39370078740157483" top="0.39370078740157483" bottom="0.39370078740157483" header="0" footer="0"/>
  <pageSetup paperSize="8" scale="84" fitToHeight="999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748" r:id="rId4" name="Button 4">
              <controlPr defaultSize="0" print="0" autoFill="0" autoPict="0" macro="[0]!Макрос1">
                <anchor moveWithCells="1" sizeWithCells="1">
                  <from>
                    <xdr:col>12</xdr:col>
                    <xdr:colOff>47625</xdr:colOff>
                    <xdr:row>0</xdr:row>
                    <xdr:rowOff>142875</xdr:rowOff>
                  </from>
                  <to>
                    <xdr:col>16</xdr:col>
                    <xdr:colOff>104775</xdr:colOff>
                    <xdr:row>2</xdr:row>
                    <xdr:rowOff>19050</xdr:rowOff>
                  </to>
                </anchor>
              </controlPr>
            </control>
          </mc:Choice>
        </mc:AlternateContent>
        <mc:AlternateContent xmlns:mc="http://schemas.openxmlformats.org/markup-compatibility/2006">
          <mc:Choice Requires="x14">
            <control shapeId="31749" r:id="rId5" name="Button 5">
              <controlPr defaultSize="0" print="0" autoFill="0" autoPict="0" macro="[0]!Макрос2">
                <anchor moveWithCells="1" sizeWithCells="1">
                  <from>
                    <xdr:col>12</xdr:col>
                    <xdr:colOff>47625</xdr:colOff>
                    <xdr:row>2</xdr:row>
                    <xdr:rowOff>142875</xdr:rowOff>
                  </from>
                  <to>
                    <xdr:col>16</xdr:col>
                    <xdr:colOff>104775</xdr:colOff>
                    <xdr:row>3</xdr:row>
                    <xdr:rowOff>161925</xdr:rowOff>
                  </to>
                </anchor>
              </controlPr>
            </control>
          </mc:Choice>
        </mc:AlternateContent>
        <mc:AlternateContent xmlns:mc="http://schemas.openxmlformats.org/markup-compatibility/2006">
          <mc:Choice Requires="x14">
            <control shapeId="31750" r:id="rId6" name="Button 6">
              <controlPr defaultSize="0" print="0" autoFill="0" autoPict="0" macro="[0]!Макрос3">
                <anchor moveWithCells="1" sizeWithCells="1">
                  <from>
                    <xdr:col>10</xdr:col>
                    <xdr:colOff>209550</xdr:colOff>
                    <xdr:row>4</xdr:row>
                    <xdr:rowOff>114300</xdr:rowOff>
                  </from>
                  <to>
                    <xdr:col>16</xdr:col>
                    <xdr:colOff>104775</xdr:colOff>
                    <xdr:row>5</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1">
    <pageSetUpPr fitToPage="1"/>
  </sheetPr>
  <dimension ref="A2:AZ77"/>
  <sheetViews>
    <sheetView showZeros="0" topLeftCell="C1" zoomScale="90" zoomScaleNormal="90" zoomScaleSheetLayoutView="80" workbookViewId="0">
      <pane ySplit="15" topLeftCell="A49" activePane="bottomLeft" state="frozen"/>
      <selection pane="bottomLeft" activeCell="E19" sqref="E19:AI48"/>
    </sheetView>
  </sheetViews>
  <sheetFormatPr defaultRowHeight="12.75" x14ac:dyDescent="0.2"/>
  <cols>
    <col min="1" max="1" width="5.28515625" style="1" customWidth="1"/>
    <col min="2" max="2" width="25.85546875" style="1" customWidth="1"/>
    <col min="3" max="3" width="5.85546875" style="13" customWidth="1"/>
    <col min="4" max="4" width="3.7109375" style="1" customWidth="1"/>
    <col min="5" max="5" width="4.140625" style="1" customWidth="1"/>
    <col min="6" max="18" width="3.7109375" style="1" customWidth="1"/>
    <col min="19" max="19" width="4.140625" style="1" customWidth="1"/>
    <col min="20" max="27" width="3.7109375" style="1" customWidth="1"/>
    <col min="28" max="28" width="4.28515625" style="1" customWidth="1"/>
    <col min="29" max="33" width="3.7109375" style="1" customWidth="1"/>
    <col min="34" max="34" width="4.42578125" style="1" customWidth="1"/>
    <col min="35" max="35" width="3.7109375" style="1" customWidth="1"/>
    <col min="36" max="36" width="4.7109375" style="1" customWidth="1"/>
    <col min="37" max="37" width="6.85546875" style="1" customWidth="1"/>
    <col min="38" max="42" width="4.7109375" style="1" customWidth="1"/>
    <col min="43" max="43" width="6.7109375" style="1" customWidth="1"/>
    <col min="44" max="45" width="4.7109375" style="1" customWidth="1"/>
    <col min="46" max="46" width="6.5703125" style="1" customWidth="1"/>
    <col min="47" max="48" width="4.7109375" style="1" customWidth="1"/>
    <col min="49" max="49" width="4.7109375" style="131" customWidth="1"/>
    <col min="50" max="52" width="4.7109375" style="1" customWidth="1"/>
    <col min="53" max="16384" width="9.140625" style="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100</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101</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2"/>
      <c r="U9" s="42"/>
      <c r="V9" s="42"/>
      <c r="W9" s="42"/>
      <c r="X9" s="42"/>
      <c r="Y9" s="42"/>
      <c r="Z9" s="42"/>
      <c r="AA9" s="42"/>
      <c r="AB9" s="42"/>
      <c r="AC9" s="42"/>
      <c r="AD9" s="42"/>
      <c r="AE9" s="42"/>
      <c r="AF9" s="42"/>
      <c r="AG9" s="42"/>
      <c r="AH9" s="42"/>
      <c r="AI9" s="42"/>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74">
        <v>1</v>
      </c>
      <c r="B16" s="68">
        <v>2</v>
      </c>
      <c r="C16" s="75">
        <v>3</v>
      </c>
      <c r="D16" s="75" t="s">
        <v>27</v>
      </c>
      <c r="E16" s="232">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43">
        <v>6</v>
      </c>
      <c r="AK16" s="233">
        <v>7</v>
      </c>
      <c r="AL16" s="232"/>
      <c r="AM16" s="232"/>
      <c r="AN16" s="232"/>
      <c r="AO16" s="234"/>
      <c r="AP16" s="66">
        <v>8</v>
      </c>
      <c r="AQ16" s="27">
        <v>9</v>
      </c>
      <c r="AR16" s="28"/>
      <c r="AS16" s="28"/>
      <c r="AT16" s="28"/>
      <c r="AU16" s="28"/>
      <c r="AV16" s="28"/>
      <c r="AW16" s="28"/>
      <c r="AX16" s="28"/>
      <c r="AY16" s="29"/>
      <c r="AZ16" s="30"/>
    </row>
    <row r="17" spans="1:52" s="100" customFormat="1" ht="17.25" customHeight="1" x14ac:dyDescent="0.2">
      <c r="A17" s="289">
        <v>1</v>
      </c>
      <c r="B17" s="228" t="s">
        <v>265</v>
      </c>
      <c r="C17" s="228">
        <v>2138</v>
      </c>
      <c r="D17" s="228" t="s">
        <v>65</v>
      </c>
      <c r="E17" s="185" t="s">
        <v>142</v>
      </c>
      <c r="F17" s="191" t="s">
        <v>142</v>
      </c>
      <c r="G17" s="191" t="s">
        <v>4</v>
      </c>
      <c r="H17" s="191" t="s">
        <v>4</v>
      </c>
      <c r="I17" s="191" t="s">
        <v>4</v>
      </c>
      <c r="J17" s="191" t="s">
        <v>4</v>
      </c>
      <c r="K17" s="191" t="s">
        <v>4</v>
      </c>
      <c r="L17" s="191" t="s">
        <v>142</v>
      </c>
      <c r="M17" s="191" t="s">
        <v>142</v>
      </c>
      <c r="N17" s="191" t="s">
        <v>4</v>
      </c>
      <c r="O17" s="191" t="s">
        <v>4</v>
      </c>
      <c r="P17" s="191" t="s">
        <v>4</v>
      </c>
      <c r="Q17" s="191" t="s">
        <v>4</v>
      </c>
      <c r="R17" s="191" t="s">
        <v>4</v>
      </c>
      <c r="S17" s="191" t="s">
        <v>142</v>
      </c>
      <c r="T17" s="191" t="s">
        <v>142</v>
      </c>
      <c r="U17" s="191" t="s">
        <v>4</v>
      </c>
      <c r="V17" s="191" t="s">
        <v>4</v>
      </c>
      <c r="W17" s="191" t="s">
        <v>4</v>
      </c>
      <c r="X17" s="191" t="s">
        <v>4</v>
      </c>
      <c r="Y17" s="191" t="s">
        <v>4</v>
      </c>
      <c r="Z17" s="191" t="s">
        <v>142</v>
      </c>
      <c r="AA17" s="191" t="s">
        <v>142</v>
      </c>
      <c r="AB17" s="191" t="s">
        <v>4</v>
      </c>
      <c r="AC17" s="191" t="s">
        <v>4</v>
      </c>
      <c r="AD17" s="191" t="s">
        <v>4</v>
      </c>
      <c r="AE17" s="191" t="s">
        <v>4</v>
      </c>
      <c r="AF17" s="191" t="s">
        <v>4</v>
      </c>
      <c r="AG17" s="191" t="s">
        <v>142</v>
      </c>
      <c r="AH17" s="191" t="s">
        <v>142</v>
      </c>
      <c r="AI17" s="191" t="s">
        <v>4</v>
      </c>
      <c r="AJ17" s="294">
        <f>IFERROR(COUNTIF(E17:AI17,"=Р")+COUNTIF(E17:AI17,"=Р1")+COUNTIF(E17:AI17,"=ВЧ")+COUNTIF(E17:AI17,"=РН")+COUNTIF(E17:AI17,"=Р2")+COUNTIF(E17:AI17,"=Р1/РВ")+COUNTIF(E17:AI17,"=Р2/РВ")+COUNTIF(E17:AI17,"=ВЧ/РВ")+COUNTIF(E17:AI17,"=РН/РВ"),0)</f>
        <v>21</v>
      </c>
      <c r="AK17" s="211">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167.99999999999997</v>
      </c>
      <c r="AL17" s="211">
        <f>IFERROR(SUMIF(E17:AI17,"=НУ",E18:AI18),0)</f>
        <v>0</v>
      </c>
      <c r="AM17" s="211">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11">
        <f>IFERROR(SUMIF(E17:AI17,"=РВ",E18:AI18)+SUMIF(E17:AI17,"=ВЧ/РВ",E18:AI18)+SUMIF(E17:AI17,"=РН/РВ",E18:AI18)+SUMIF(E17:AI17,"=Р1/РВ",E18:AI18)+SUMIF(E17:AI17,"=ВЧ2/РВ",E18:AI18)+SUMIF(E17:AI17,"=Р2/РВ",E18:AI18),0)</f>
        <v>0</v>
      </c>
      <c r="AP17" s="211">
        <f>IFERROR(COUNTIF(E17:AI17,"=ВВ")+COUNTIF(E17:AI17,"=Р1/ВВ")+COUNTIF(E17:AI17,"=РН/ВВ")+COUNTIF(E17:AI17,"=ВЧ/ВВ"),0)</f>
        <v>10</v>
      </c>
      <c r="AQ17" s="211">
        <f>SUM(AR17:AZ17)</f>
        <v>0</v>
      </c>
      <c r="AR17" s="211">
        <f>IFERROR(SUMIF(E17:AI17,"=В",E18:AI18)+SUMIF(E17:AI17,"=Ч",E18:AI18)+SUMIF(E17:AI17,"=ВБ",E18:AI18),0)</f>
        <v>0</v>
      </c>
      <c r="AS17" s="211">
        <f>IFERROR(SUMIF(E17:AI17,"=Н",E18:AI18),0)</f>
        <v>0</v>
      </c>
      <c r="AT17" s="211">
        <f>IFERROR(SUMIF(E17:AI17,"=НА",E18:AI18),0)</f>
        <v>0</v>
      </c>
      <c r="AU17" s="211">
        <f>IFERROR(SUMIF(E17:AI17,"=ВП",E18:AI18),0)</f>
        <v>0</v>
      </c>
      <c r="AV17" s="211">
        <f>IFERROR(SUMIF(E17:AI17,"=ДД",E18:AI18),0)</f>
        <v>0</v>
      </c>
      <c r="AW17" s="202">
        <f>IFERROR(SUMIF(E17:AI17,"=ДО",E18:AI18),0)</f>
        <v>0</v>
      </c>
      <c r="AX17" s="211">
        <f>IFERROR(SUMIF(E17:AI17,"=ТН",E18:AI18),0)</f>
        <v>0</v>
      </c>
      <c r="AY17" s="211">
        <f>IFERROR(SUMIF(E17:AI17,"=ВД",E18:AI18),0)</f>
        <v>0</v>
      </c>
      <c r="AZ17" s="312">
        <f>IFERROR(SUMIF(E17:AI17,"=ІН",E18:AI18),0)+SUMIF(E17:AI17,"=НЗ",E18:AI18)</f>
        <v>0</v>
      </c>
    </row>
    <row r="18" spans="1:52" s="100" customFormat="1" ht="20.100000000000001" customHeight="1" thickBot="1" x14ac:dyDescent="0.25">
      <c r="A18" s="290"/>
      <c r="B18" s="229"/>
      <c r="C18" s="229"/>
      <c r="D18" s="229"/>
      <c r="E18" s="186"/>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c r="AH18" s="192"/>
      <c r="AI18" s="192">
        <v>8.1999999999999993</v>
      </c>
      <c r="AJ18" s="314"/>
      <c r="AK18" s="212"/>
      <c r="AL18" s="212"/>
      <c r="AM18" s="212"/>
      <c r="AN18" s="212"/>
      <c r="AO18" s="212"/>
      <c r="AP18" s="212"/>
      <c r="AQ18" s="311"/>
      <c r="AR18" s="311"/>
      <c r="AS18" s="311"/>
      <c r="AT18" s="311"/>
      <c r="AU18" s="311"/>
      <c r="AV18" s="311"/>
      <c r="AW18" s="203"/>
      <c r="AX18" s="311"/>
      <c r="AY18" s="311"/>
      <c r="AZ18" s="313"/>
    </row>
    <row r="19" spans="1:52" s="177" customFormat="1" ht="15.75" customHeight="1" x14ac:dyDescent="0.2">
      <c r="A19" s="289">
        <f>A17+1</f>
        <v>2</v>
      </c>
      <c r="B19" s="228" t="s">
        <v>370</v>
      </c>
      <c r="C19" s="228">
        <v>2227</v>
      </c>
      <c r="D19" s="228" t="s">
        <v>72</v>
      </c>
      <c r="E19" s="191" t="s">
        <v>43</v>
      </c>
      <c r="F19" s="191" t="s">
        <v>142</v>
      </c>
      <c r="G19" s="191" t="s">
        <v>4</v>
      </c>
      <c r="H19" s="191" t="s">
        <v>41</v>
      </c>
      <c r="I19" s="191" t="s">
        <v>43</v>
      </c>
      <c r="J19" s="191" t="s">
        <v>142</v>
      </c>
      <c r="K19" s="191" t="s">
        <v>4</v>
      </c>
      <c r="L19" s="191" t="s">
        <v>41</v>
      </c>
      <c r="M19" s="191" t="s">
        <v>43</v>
      </c>
      <c r="N19" s="191" t="s">
        <v>142</v>
      </c>
      <c r="O19" s="191" t="s">
        <v>4</v>
      </c>
      <c r="P19" s="191" t="s">
        <v>41</v>
      </c>
      <c r="Q19" s="191" t="s">
        <v>43</v>
      </c>
      <c r="R19" s="191" t="s">
        <v>142</v>
      </c>
      <c r="S19" s="191" t="s">
        <v>4</v>
      </c>
      <c r="T19" s="191" t="s">
        <v>41</v>
      </c>
      <c r="U19" s="191" t="s">
        <v>43</v>
      </c>
      <c r="V19" s="191" t="s">
        <v>142</v>
      </c>
      <c r="W19" s="191" t="s">
        <v>4</v>
      </c>
      <c r="X19" s="191" t="s">
        <v>41</v>
      </c>
      <c r="Y19" s="191" t="s">
        <v>43</v>
      </c>
      <c r="Z19" s="191" t="s">
        <v>142</v>
      </c>
      <c r="AA19" s="191" t="s">
        <v>4</v>
      </c>
      <c r="AB19" s="191" t="s">
        <v>41</v>
      </c>
      <c r="AC19" s="191" t="s">
        <v>43</v>
      </c>
      <c r="AD19" s="191" t="s">
        <v>142</v>
      </c>
      <c r="AE19" s="191" t="s">
        <v>4</v>
      </c>
      <c r="AF19" s="191" t="s">
        <v>41</v>
      </c>
      <c r="AG19" s="191"/>
      <c r="AH19" s="191"/>
      <c r="AI19" s="191"/>
      <c r="AJ19" s="294">
        <f>IFERROR(COUNTIF(E19:AI19,"=Р")+COUNTIF(E19:AI19,"=Р1")+COUNTIF(E19:AI19,"=ВЧ")+COUNTIF(E19:AI19,"=РН")+COUNTIF(E19:AI19,"=Р2")+COUNTIF(E19:AI19,"=Р1/РВ")+COUNTIF(E19:AI19,"=Р2/РВ")+COUNTIF(E19:AI19,"=ВЧ/РВ")+COUNTIF(E19:AI19,"=РН/РВ"),0)</f>
        <v>21</v>
      </c>
      <c r="AK19" s="211">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164</v>
      </c>
      <c r="AL19" s="211">
        <f>IFERROR(SUMIF(E19:AI19,"=НУ",E20:AI20),0)</f>
        <v>0</v>
      </c>
      <c r="AM19" s="211">
        <f>IFERROR(SUMIF(E19:AI19,"=РН",E20:AI20)+SUMIF(E19:AI19,"=РН/РВ",E20:AI20)+SUMIFS(E20:AI20,E19:AI19,"=Р2",E20:AI20,"=8"),0)</f>
        <v>56</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28</v>
      </c>
      <c r="AO19" s="211">
        <f>IFERROR(SUMIF(E19:AI19,"=РВ",E20:AI20)+SUMIF(E19:AI19,"=ВЧ/РВ",E20:AI20)+SUMIF(E19:AI19,"=РН/РВ",E20:AI20)+SUMIF(E19:AI19,"=Р1/РВ",E20:AI20)+SUMIF(E19:AI19,"=ВЧ2/РВ",E20:AI20)+SUMIF(E19:AI19,"=Р2/РВ",E20:AI20),0)</f>
        <v>0</v>
      </c>
      <c r="AP19" s="211">
        <f>IFERROR(COUNTIF(E19:AI19,"=ВВ")+COUNTIF(E19:AI19,"=Р1/ВВ")+COUNTIF(E19:AI19,"=РН/ВВ")+COUNTIF(E19:AI19,"=ВЧ/ВВ"),0)</f>
        <v>7</v>
      </c>
      <c r="AQ19" s="211">
        <f>SUM(AR19:AZ19)</f>
        <v>0</v>
      </c>
      <c r="AR19" s="211">
        <f>IFERROR(SUMIF(E19:AI19,"=В",E20:AI20)+SUMIF(E19:AI19,"=Ч",E20:AI20)+SUMIF(E19:AI19,"=ВБ",E20:AI20),0)</f>
        <v>0</v>
      </c>
      <c r="AS19" s="211">
        <f>IFERROR(SUMIF(E19:AI19,"=Н",E20:AI20),0)</f>
        <v>0</v>
      </c>
      <c r="AT19" s="211">
        <f>IFERROR(SUMIF(E19:AI19,"=НА",E20:AI20),0)</f>
        <v>0</v>
      </c>
      <c r="AU19" s="211">
        <f>IFERROR(SUMIF(E19:AI19,"=ВП",E20:AI20),0)</f>
        <v>0</v>
      </c>
      <c r="AV19" s="211">
        <f>IFERROR(SUMIF(E19:AI19,"=ДД",E20:AI20),0)</f>
        <v>0</v>
      </c>
      <c r="AW19" s="202">
        <f>IFERROR(SUMIF(E19:AI19,"=ДО",E20:AI20),0)</f>
        <v>0</v>
      </c>
      <c r="AX19" s="211">
        <f>IFERROR(SUMIF(E19:AI19,"=ТН",E20:AI20),0)</f>
        <v>0</v>
      </c>
      <c r="AY19" s="211">
        <f>IFERROR(SUMIF(E19:AI19,"=ВД",E20:AI20),0)</f>
        <v>0</v>
      </c>
      <c r="AZ19" s="312">
        <f>IFERROR(SUMIF(E19:AI19,"=ІН",E20:AI20),0)+SUMIF(E19:AI19,"=НЗ",E20:AI20)</f>
        <v>0</v>
      </c>
    </row>
    <row r="20" spans="1:52" s="177" customFormat="1" ht="20.100000000000001" customHeight="1" thickBot="1" x14ac:dyDescent="0.25">
      <c r="A20" s="290"/>
      <c r="B20" s="229"/>
      <c r="C20" s="229"/>
      <c r="D20" s="229"/>
      <c r="E20" s="192">
        <v>8</v>
      </c>
      <c r="F20" s="192"/>
      <c r="G20" s="192">
        <v>8</v>
      </c>
      <c r="H20" s="192">
        <v>4</v>
      </c>
      <c r="I20" s="192">
        <v>8</v>
      </c>
      <c r="J20" s="192"/>
      <c r="K20" s="192">
        <v>12</v>
      </c>
      <c r="L20" s="192">
        <v>4</v>
      </c>
      <c r="M20" s="192">
        <v>8</v>
      </c>
      <c r="N20" s="192"/>
      <c r="O20" s="192">
        <v>12</v>
      </c>
      <c r="P20" s="192">
        <v>4</v>
      </c>
      <c r="Q20" s="192">
        <v>8</v>
      </c>
      <c r="R20" s="192"/>
      <c r="S20" s="192">
        <v>12</v>
      </c>
      <c r="T20" s="192">
        <v>4</v>
      </c>
      <c r="U20" s="192">
        <v>8</v>
      </c>
      <c r="V20" s="192"/>
      <c r="W20" s="192">
        <v>12</v>
      </c>
      <c r="X20" s="192">
        <v>4</v>
      </c>
      <c r="Y20" s="192">
        <v>8</v>
      </c>
      <c r="Z20" s="192"/>
      <c r="AA20" s="192">
        <v>12</v>
      </c>
      <c r="AB20" s="192">
        <v>4</v>
      </c>
      <c r="AC20" s="192">
        <v>8</v>
      </c>
      <c r="AD20" s="192"/>
      <c r="AE20" s="192">
        <v>12</v>
      </c>
      <c r="AF20" s="192">
        <v>4</v>
      </c>
      <c r="AG20" s="192" t="s">
        <v>491</v>
      </c>
      <c r="AH20" s="192" t="s">
        <v>492</v>
      </c>
      <c r="AI20" s="192" t="s">
        <v>493</v>
      </c>
      <c r="AJ20" s="314"/>
      <c r="AK20" s="212"/>
      <c r="AL20" s="212"/>
      <c r="AM20" s="212"/>
      <c r="AN20" s="212"/>
      <c r="AO20" s="212"/>
      <c r="AP20" s="212"/>
      <c r="AQ20" s="311"/>
      <c r="AR20" s="311"/>
      <c r="AS20" s="311"/>
      <c r="AT20" s="311"/>
      <c r="AU20" s="311"/>
      <c r="AV20" s="311"/>
      <c r="AW20" s="203"/>
      <c r="AX20" s="311"/>
      <c r="AY20" s="311"/>
      <c r="AZ20" s="313"/>
    </row>
    <row r="21" spans="1:52" s="194" customFormat="1" ht="15" customHeight="1" x14ac:dyDescent="0.2">
      <c r="A21" s="289">
        <f t="shared" ref="A21" si="0">A19+1</f>
        <v>3</v>
      </c>
      <c r="B21" s="228" t="s">
        <v>430</v>
      </c>
      <c r="C21" s="228">
        <v>1497</v>
      </c>
      <c r="D21" s="228" t="s">
        <v>65</v>
      </c>
      <c r="E21" s="191" t="s">
        <v>142</v>
      </c>
      <c r="F21" s="191" t="s">
        <v>4</v>
      </c>
      <c r="G21" s="191" t="s">
        <v>41</v>
      </c>
      <c r="H21" s="191" t="s">
        <v>43</v>
      </c>
      <c r="I21" s="191" t="s">
        <v>142</v>
      </c>
      <c r="J21" s="191" t="s">
        <v>4</v>
      </c>
      <c r="K21" s="191" t="s">
        <v>41</v>
      </c>
      <c r="L21" s="191" t="s">
        <v>43</v>
      </c>
      <c r="M21" s="191" t="s">
        <v>142</v>
      </c>
      <c r="N21" s="191" t="s">
        <v>4</v>
      </c>
      <c r="O21" s="191" t="s">
        <v>41</v>
      </c>
      <c r="P21" s="191" t="s">
        <v>43</v>
      </c>
      <c r="Q21" s="191" t="s">
        <v>142</v>
      </c>
      <c r="R21" s="191" t="s">
        <v>4</v>
      </c>
      <c r="S21" s="191" t="s">
        <v>41</v>
      </c>
      <c r="T21" s="191" t="s">
        <v>43</v>
      </c>
      <c r="U21" s="191" t="s">
        <v>142</v>
      </c>
      <c r="V21" s="191" t="s">
        <v>4</v>
      </c>
      <c r="W21" s="191" t="s">
        <v>41</v>
      </c>
      <c r="X21" s="191" t="s">
        <v>43</v>
      </c>
      <c r="Y21" s="191" t="s">
        <v>142</v>
      </c>
      <c r="Z21" s="191" t="s">
        <v>4</v>
      </c>
      <c r="AA21" s="191" t="s">
        <v>41</v>
      </c>
      <c r="AB21" s="191" t="s">
        <v>43</v>
      </c>
      <c r="AC21" s="191" t="s">
        <v>142</v>
      </c>
      <c r="AD21" s="191" t="s">
        <v>4</v>
      </c>
      <c r="AE21" s="191" t="s">
        <v>41</v>
      </c>
      <c r="AF21" s="191" t="s">
        <v>43</v>
      </c>
      <c r="AG21" s="191"/>
      <c r="AH21" s="191"/>
      <c r="AI21" s="191"/>
      <c r="AJ21" s="294">
        <f>IFERROR(COUNTIF(E21:AI21,"=Р")+COUNTIF(E21:AI21,"=Р1")+COUNTIF(E21:AI21,"=ВЧ")+COUNTIF(E21:AI21,"=РН")+COUNTIF(E21:AI21,"=Р2")+COUNTIF(E21:AI21,"=Р1/РВ")+COUNTIF(E21:AI21,"=Р2/РВ")+COUNTIF(E21:AI21,"=ВЧ/РВ")+COUNTIF(E21:AI21,"=РН/РВ"),0)</f>
        <v>21</v>
      </c>
      <c r="AK21" s="211">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164</v>
      </c>
      <c r="AL21" s="211">
        <f>IFERROR(SUMIF(E21:AI21,"=НУ",E22:AI22),0)</f>
        <v>0</v>
      </c>
      <c r="AM21" s="211">
        <f>IFERROR(SUMIF(E21:AI21,"=РН",E22:AI22)+SUMIF(E21:AI21,"=РН/РВ",E22:AI22)+SUMIFS(E22:AI22,E21:AI21,"=Р2",E22:AI22,"=8"),0)</f>
        <v>56</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28</v>
      </c>
      <c r="AO21" s="211">
        <f>IFERROR(SUMIF(E21:AI21,"=РВ",E22:AI22)+SUMIF(E21:AI21,"=ВЧ/РВ",E22:AI22)+SUMIF(E21:AI21,"=РН/РВ",E22:AI22)+SUMIF(E21:AI21,"=Р1/РВ",E22:AI22)+SUMIF(E21:AI21,"=ВЧ2/РВ",E22:AI22)+SUMIF(E21:AI21,"=Р2/РВ",E22:AI22),0)</f>
        <v>0</v>
      </c>
      <c r="AP21" s="211">
        <f>IFERROR(COUNTIF(E21:AI21,"=ВВ")+COUNTIF(E21:AI21,"=Р1/ВВ")+COUNTIF(E21:AI21,"=РН/ВВ")+COUNTIF(E21:AI21,"=ВЧ/ВВ"),0)</f>
        <v>7</v>
      </c>
      <c r="AQ21" s="211">
        <f>SUM(AR21:AZ21)</f>
        <v>0</v>
      </c>
      <c r="AR21" s="211">
        <f>IFERROR(SUMIF(E21:AI21,"=В",E22:AI22)+SUMIF(E21:AI21,"=Ч",E22:AI22)+SUMIF(E21:AI21,"=ВБ",E22:AI22),0)</f>
        <v>0</v>
      </c>
      <c r="AS21" s="211">
        <f>IFERROR(SUMIF(E21:AI21,"=Н",E22:AI22),0)</f>
        <v>0</v>
      </c>
      <c r="AT21" s="211">
        <f>IFERROR(SUMIF(E21:AI21,"=НА",E22:AI22),0)</f>
        <v>0</v>
      </c>
      <c r="AU21" s="211">
        <f>IFERROR(SUMIF(E21:AI21,"=ВП",E22:AI22),0)</f>
        <v>0</v>
      </c>
      <c r="AV21" s="211">
        <f>IFERROR(SUMIF(E21:AI21,"=ДД",E22:AI22),0)</f>
        <v>0</v>
      </c>
      <c r="AW21" s="202">
        <f>IFERROR(SUMIF(E21:AI21,"=ДО",E22:AI22),0)</f>
        <v>0</v>
      </c>
      <c r="AX21" s="211">
        <f>IFERROR(SUMIF(E21:AI21,"=ТН",E22:AI22),0)</f>
        <v>0</v>
      </c>
      <c r="AY21" s="211">
        <f>IFERROR(SUMIF(E21:AI21,"=ВД",E22:AI22),0)</f>
        <v>0</v>
      </c>
      <c r="AZ21" s="312">
        <f>IFERROR(SUMIF(E21:AI21,"=ІН",E22:AI22),0)+SUMIF(E21:AI21,"=НЗ",E22:AI22)</f>
        <v>0</v>
      </c>
    </row>
    <row r="22" spans="1:52" s="194" customFormat="1" ht="16.5" customHeight="1" thickBot="1" x14ac:dyDescent="0.25">
      <c r="A22" s="290"/>
      <c r="B22" s="229"/>
      <c r="C22" s="229"/>
      <c r="D22" s="229"/>
      <c r="E22" s="192"/>
      <c r="F22" s="192">
        <v>12</v>
      </c>
      <c r="G22" s="192">
        <v>4</v>
      </c>
      <c r="H22" s="192">
        <v>8</v>
      </c>
      <c r="I22" s="192"/>
      <c r="J22" s="192">
        <v>12</v>
      </c>
      <c r="K22" s="192">
        <v>4</v>
      </c>
      <c r="L22" s="192">
        <v>8</v>
      </c>
      <c r="M22" s="192"/>
      <c r="N22" s="192">
        <v>8</v>
      </c>
      <c r="O22" s="192">
        <v>4</v>
      </c>
      <c r="P22" s="192">
        <v>8</v>
      </c>
      <c r="Q22" s="192"/>
      <c r="R22" s="192">
        <v>12</v>
      </c>
      <c r="S22" s="192">
        <v>4</v>
      </c>
      <c r="T22" s="192">
        <v>8</v>
      </c>
      <c r="U22" s="192"/>
      <c r="V22" s="192">
        <v>12</v>
      </c>
      <c r="W22" s="192">
        <v>4</v>
      </c>
      <c r="X22" s="192">
        <v>8</v>
      </c>
      <c r="Y22" s="192"/>
      <c r="Z22" s="192">
        <v>12</v>
      </c>
      <c r="AA22" s="192">
        <v>4</v>
      </c>
      <c r="AB22" s="192">
        <v>8</v>
      </c>
      <c r="AC22" s="192"/>
      <c r="AD22" s="192">
        <v>12</v>
      </c>
      <c r="AE22" s="192">
        <v>4</v>
      </c>
      <c r="AF22" s="192">
        <v>8</v>
      </c>
      <c r="AG22" s="192"/>
      <c r="AH22" s="192"/>
      <c r="AI22" s="192"/>
      <c r="AJ22" s="314"/>
      <c r="AK22" s="212"/>
      <c r="AL22" s="212"/>
      <c r="AM22" s="212"/>
      <c r="AN22" s="212"/>
      <c r="AO22" s="212"/>
      <c r="AP22" s="212"/>
      <c r="AQ22" s="311"/>
      <c r="AR22" s="311"/>
      <c r="AS22" s="311"/>
      <c r="AT22" s="311"/>
      <c r="AU22" s="311"/>
      <c r="AV22" s="311"/>
      <c r="AW22" s="203"/>
      <c r="AX22" s="311"/>
      <c r="AY22" s="311"/>
      <c r="AZ22" s="313"/>
    </row>
    <row r="23" spans="1:52" s="169" customFormat="1" ht="15" customHeight="1" x14ac:dyDescent="0.2">
      <c r="A23" s="289">
        <f t="shared" ref="A23" si="1">A21+1</f>
        <v>4</v>
      </c>
      <c r="B23" s="228" t="s">
        <v>489</v>
      </c>
      <c r="C23" s="228">
        <v>1497</v>
      </c>
      <c r="D23" s="228" t="s">
        <v>65</v>
      </c>
      <c r="E23" s="191"/>
      <c r="F23" s="191"/>
      <c r="G23" s="191"/>
      <c r="H23" s="191"/>
      <c r="I23" s="191"/>
      <c r="J23" s="191"/>
      <c r="K23" s="191"/>
      <c r="L23" s="191"/>
      <c r="M23" s="191"/>
      <c r="N23" s="191"/>
      <c r="O23" s="191"/>
      <c r="P23" s="191"/>
      <c r="Q23" s="191"/>
      <c r="R23" s="191"/>
      <c r="S23" s="191"/>
      <c r="T23" s="191"/>
      <c r="U23" s="191"/>
      <c r="V23" s="191"/>
      <c r="W23" s="191"/>
      <c r="X23" s="191"/>
      <c r="Y23" s="191"/>
      <c r="Z23" s="191"/>
      <c r="AA23" s="191"/>
      <c r="AB23" s="191"/>
      <c r="AC23" s="191"/>
      <c r="AD23" s="191"/>
      <c r="AE23" s="191"/>
      <c r="AF23" s="191"/>
      <c r="AG23" s="191" t="s">
        <v>142</v>
      </c>
      <c r="AH23" s="191" t="s">
        <v>142</v>
      </c>
      <c r="AI23" s="191" t="s">
        <v>4</v>
      </c>
      <c r="AJ23" s="294">
        <f>IFERROR(COUNTIF(E23:AI23,"=Р")+COUNTIF(E23:AI23,"=Р1")+COUNTIF(E23:AI23,"=ВЧ")+COUNTIF(E23:AI23,"=РН")+COUNTIF(E23:AI23,"=Р2")+COUNTIF(E23:AI23,"=Р1/РВ")+COUNTIF(E23:AI23,"=Р2/РВ")+COUNTIF(E23:AI23,"=ВЧ/РВ")+COUNTIF(E23:AI23,"=РН/РВ"),0)</f>
        <v>1</v>
      </c>
      <c r="AK23" s="211">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8.1999999999999993</v>
      </c>
      <c r="AL23" s="211">
        <f>IFERROR(SUMIF(E23:AI23,"=НУ",E24:AI24),0)</f>
        <v>0</v>
      </c>
      <c r="AM23" s="211">
        <f>IFERROR(SUMIF(E23:AI23,"=РН",E24:AI24)+SUMIF(E23:AI23,"=РН/РВ",E24:AI24)+SUMIFS(E24:AI24,E23:AI23,"=Р2",E24:AI24,"=8"),0)</f>
        <v>0</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0</v>
      </c>
      <c r="AO23" s="211">
        <f>IFERROR(SUMIF(E23:AI23,"=РВ",E24:AI24)+SUMIF(E23:AI23,"=ВЧ/РВ",E24:AI24)+SUMIF(E23:AI23,"=РН/РВ",E24:AI24)+SUMIF(E23:AI23,"=Р1/РВ",E24:AI24)+SUMIF(E23:AI23,"=ВЧ2/РВ",E24:AI24)+SUMIF(E23:AI23,"=Р2/РВ",E24:AI24),0)</f>
        <v>0</v>
      </c>
      <c r="AP23" s="211">
        <f>IFERROR(COUNTIF(E23:AI23,"=ВВ")+COUNTIF(E23:AI23,"=Р1/ВВ")+COUNTIF(E23:AI23,"=РН/ВВ")+COUNTIF(E23:AI23,"=ВЧ/ВВ"),0)</f>
        <v>2</v>
      </c>
      <c r="AQ23" s="211">
        <f>SUM(AR23:AZ23)</f>
        <v>0</v>
      </c>
      <c r="AR23" s="211">
        <f>IFERROR(SUMIF(E23:AI23,"=В",E24:AI24)+SUMIF(E23:AI23,"=Ч",E24:AI24)+SUMIF(E23:AI23,"=ВБ",E24:AI24),0)</f>
        <v>0</v>
      </c>
      <c r="AS23" s="211">
        <f>IFERROR(SUMIF(E23:AI23,"=Н",E24:AI24),0)</f>
        <v>0</v>
      </c>
      <c r="AT23" s="211">
        <f>IFERROR(SUMIF(E23:AI23,"=НА",E24:AI24),0)</f>
        <v>0</v>
      </c>
      <c r="AU23" s="211">
        <f>IFERROR(SUMIF(E23:AI23,"=ВП",E24:AI24),0)</f>
        <v>0</v>
      </c>
      <c r="AV23" s="211">
        <f>IFERROR(SUMIF(E23:AI23,"=ДД",E24:AI24),0)</f>
        <v>0</v>
      </c>
      <c r="AW23" s="202">
        <f>IFERROR(SUMIF(E23:AI23,"=ДО",E24:AI24),0)</f>
        <v>0</v>
      </c>
      <c r="AX23" s="211">
        <f>IFERROR(SUMIF(E23:AI23,"=ТН",E24:AI24),0)</f>
        <v>0</v>
      </c>
      <c r="AY23" s="211">
        <f>IFERROR(SUMIF(E23:AI23,"=ВД",E24:AI24),0)</f>
        <v>0</v>
      </c>
      <c r="AZ23" s="312">
        <f>IFERROR(SUMIF(E23:AI23,"=ІН",E24:AI24),0)+SUMIF(E23:AI23,"=НЗ",E24:AI24)</f>
        <v>0</v>
      </c>
    </row>
    <row r="24" spans="1:52" s="169" customFormat="1" ht="16.5" customHeight="1" thickBot="1" x14ac:dyDescent="0.25">
      <c r="A24" s="290"/>
      <c r="B24" s="229"/>
      <c r="C24" s="229"/>
      <c r="D24" s="229"/>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92"/>
      <c r="AG24" s="192"/>
      <c r="AH24" s="192"/>
      <c r="AI24" s="192">
        <v>8.1999999999999993</v>
      </c>
      <c r="AJ24" s="314"/>
      <c r="AK24" s="212"/>
      <c r="AL24" s="212"/>
      <c r="AM24" s="212"/>
      <c r="AN24" s="212"/>
      <c r="AO24" s="212"/>
      <c r="AP24" s="212"/>
      <c r="AQ24" s="311"/>
      <c r="AR24" s="311"/>
      <c r="AS24" s="311"/>
      <c r="AT24" s="311"/>
      <c r="AU24" s="311"/>
      <c r="AV24" s="311"/>
      <c r="AW24" s="203"/>
      <c r="AX24" s="311"/>
      <c r="AY24" s="311"/>
      <c r="AZ24" s="313"/>
    </row>
    <row r="25" spans="1:52" s="165" customFormat="1" ht="15" customHeight="1" x14ac:dyDescent="0.2">
      <c r="A25" s="289">
        <f t="shared" ref="A25" si="2">A23+1</f>
        <v>5</v>
      </c>
      <c r="B25" s="228" t="s">
        <v>341</v>
      </c>
      <c r="C25" s="228">
        <v>2213</v>
      </c>
      <c r="D25" s="228" t="s">
        <v>65</v>
      </c>
      <c r="E25" s="191" t="s">
        <v>142</v>
      </c>
      <c r="F25" s="191" t="s">
        <v>142</v>
      </c>
      <c r="G25" s="191" t="s">
        <v>4</v>
      </c>
      <c r="H25" s="191" t="s">
        <v>4</v>
      </c>
      <c r="I25" s="191" t="s">
        <v>4</v>
      </c>
      <c r="J25" s="191" t="s">
        <v>4</v>
      </c>
      <c r="K25" s="191" t="s">
        <v>4</v>
      </c>
      <c r="L25" s="191" t="s">
        <v>142</v>
      </c>
      <c r="M25" s="191" t="s">
        <v>142</v>
      </c>
      <c r="N25" s="191" t="s">
        <v>4</v>
      </c>
      <c r="O25" s="191" t="s">
        <v>4</v>
      </c>
      <c r="P25" s="191" t="s">
        <v>4</v>
      </c>
      <c r="Q25" s="191" t="s">
        <v>4</v>
      </c>
      <c r="R25" s="191" t="s">
        <v>4</v>
      </c>
      <c r="S25" s="191" t="s">
        <v>142</v>
      </c>
      <c r="T25" s="191" t="s">
        <v>142</v>
      </c>
      <c r="U25" s="191" t="s">
        <v>4</v>
      </c>
      <c r="V25" s="191" t="s">
        <v>4</v>
      </c>
      <c r="W25" s="191" t="s">
        <v>4</v>
      </c>
      <c r="X25" s="191" t="s">
        <v>4</v>
      </c>
      <c r="Y25" s="191" t="s">
        <v>4</v>
      </c>
      <c r="Z25" s="191" t="s">
        <v>142</v>
      </c>
      <c r="AA25" s="191" t="s">
        <v>142</v>
      </c>
      <c r="AB25" s="191" t="s">
        <v>52</v>
      </c>
      <c r="AC25" s="191" t="s">
        <v>52</v>
      </c>
      <c r="AD25" s="191" t="s">
        <v>52</v>
      </c>
      <c r="AE25" s="191" t="s">
        <v>52</v>
      </c>
      <c r="AF25" s="191" t="s">
        <v>52</v>
      </c>
      <c r="AG25" s="191" t="s">
        <v>142</v>
      </c>
      <c r="AH25" s="191" t="s">
        <v>142</v>
      </c>
      <c r="AI25" s="191" t="s">
        <v>4</v>
      </c>
      <c r="AJ25" s="294">
        <f>IFERROR(COUNTIF(E25:AI25,"=Р")+COUNTIF(E25:AI25,"=Р1")+COUNTIF(E25:AI25,"=ВЧ")+COUNTIF(E25:AI25,"=РН")+COUNTIF(E25:AI25,"=Р2")+COUNTIF(E25:AI25,"=Р1/РВ")+COUNTIF(E25:AI25,"=Р2/РВ")+COUNTIF(E25:AI25,"=ВЧ/РВ")+COUNTIF(E25:AI25,"=РН/РВ"),0)</f>
        <v>16</v>
      </c>
      <c r="AK25" s="211">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128.00000000000003</v>
      </c>
      <c r="AL25" s="211">
        <f>IFERROR(SUMIF(E25:AI25,"=НУ",E26:AI26),0)</f>
        <v>0</v>
      </c>
      <c r="AM25" s="211">
        <f>IFERROR(SUMIF(E25:AI25,"=РН",E26:AI26)+SUMIF(E25:AI25,"=РН/РВ",E26:AI26)+SUMIFS(E26:AI26,E25:AI25,"=Р2",E26:AI26,"=8"),0)</f>
        <v>0</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0</v>
      </c>
      <c r="AO25" s="211">
        <f>IFERROR(SUMIF(E25:AI25,"=РВ",E26:AI26)+SUMIF(E25:AI25,"=ВЧ/РВ",E26:AI26)+SUMIF(E25:AI25,"=РН/РВ",E26:AI26)+SUMIF(E25:AI25,"=Р1/РВ",E26:AI26)+SUMIF(E25:AI25,"=ВЧ2/РВ",E26:AI26)+SUMIF(E25:AI25,"=Р2/РВ",E26:AI26),0)</f>
        <v>0</v>
      </c>
      <c r="AP25" s="211">
        <f>IFERROR(COUNTIF(E25:AI25,"=ВВ")+COUNTIF(E25:AI25,"=Р1/ВВ")+COUNTIF(E25:AI25,"=РН/ВВ")+COUNTIF(E25:AI25,"=ВЧ/ВВ"),0)</f>
        <v>10</v>
      </c>
      <c r="AQ25" s="211">
        <f>SUM(AR25:AZ25)</f>
        <v>40</v>
      </c>
      <c r="AR25" s="211">
        <f>IFERROR(SUMIF(E25:AI25,"=В",E26:AI26)+SUMIF(E25:AI25,"=Ч",E26:AI26)+SUMIF(E25:AI25,"=ВБ",E26:AI26),0)</f>
        <v>0</v>
      </c>
      <c r="AS25" s="211">
        <f>IFERROR(SUMIF(E25:AI25,"=Н",E26:AI26),0)</f>
        <v>0</v>
      </c>
      <c r="AT25" s="211">
        <f>IFERROR(SUMIF(E25:AI25,"=НА",E26:AI26),0)</f>
        <v>0</v>
      </c>
      <c r="AU25" s="211">
        <f>IFERROR(SUMIF(E25:AI25,"=ВП",E26:AI26),0)</f>
        <v>0</v>
      </c>
      <c r="AV25" s="211">
        <f>IFERROR(SUMIF(E25:AI25,"=ДД",E26:AI26),0)</f>
        <v>0</v>
      </c>
      <c r="AW25" s="202">
        <f>IFERROR(SUMIF(E25:AI25,"=ДО",E26:AI26),0)</f>
        <v>0</v>
      </c>
      <c r="AX25" s="211">
        <f>IFERROR(SUMIF(E25:AI25,"=ТН",E26:AI26),0)</f>
        <v>40</v>
      </c>
      <c r="AY25" s="211">
        <f>IFERROR(SUMIF(E25:AI25,"=ВД",E26:AI26),0)</f>
        <v>0</v>
      </c>
      <c r="AZ25" s="312">
        <f>IFERROR(SUMIF(E25:AI25,"=ІН",E26:AI26),0)+SUMIF(E25:AI25,"=НЗ",E26:AI26)</f>
        <v>0</v>
      </c>
    </row>
    <row r="26" spans="1:52" s="165" customFormat="1" ht="20.100000000000001" customHeight="1" thickBot="1" x14ac:dyDescent="0.25">
      <c r="A26" s="290"/>
      <c r="B26" s="229"/>
      <c r="C26" s="229"/>
      <c r="D26" s="229"/>
      <c r="E26" s="192"/>
      <c r="F26" s="192"/>
      <c r="G26" s="192">
        <v>8.1999999999999993</v>
      </c>
      <c r="H26" s="192">
        <v>8.1999999999999993</v>
      </c>
      <c r="I26" s="192">
        <v>8.1999999999999993</v>
      </c>
      <c r="J26" s="192">
        <v>8.1999999999999993</v>
      </c>
      <c r="K26" s="192">
        <v>7</v>
      </c>
      <c r="L26" s="192"/>
      <c r="M26" s="192"/>
      <c r="N26" s="192">
        <v>8.1999999999999993</v>
      </c>
      <c r="O26" s="192">
        <v>8.1999999999999993</v>
      </c>
      <c r="P26" s="192">
        <v>8.1999999999999993</v>
      </c>
      <c r="Q26" s="192">
        <v>8.1999999999999993</v>
      </c>
      <c r="R26" s="192">
        <v>7.2</v>
      </c>
      <c r="S26" s="192"/>
      <c r="T26" s="192"/>
      <c r="U26" s="192">
        <v>8.1999999999999993</v>
      </c>
      <c r="V26" s="192">
        <v>8.1999999999999993</v>
      </c>
      <c r="W26" s="192">
        <v>8.1999999999999993</v>
      </c>
      <c r="X26" s="192">
        <v>8.1999999999999993</v>
      </c>
      <c r="Y26" s="192">
        <v>7.2</v>
      </c>
      <c r="Z26" s="192"/>
      <c r="AA26" s="192"/>
      <c r="AB26" s="192">
        <v>8.1999999999999993</v>
      </c>
      <c r="AC26" s="192">
        <v>8.1999999999999993</v>
      </c>
      <c r="AD26" s="192">
        <v>8.1999999999999993</v>
      </c>
      <c r="AE26" s="192">
        <v>8.1999999999999993</v>
      </c>
      <c r="AF26" s="192">
        <v>7.2</v>
      </c>
      <c r="AG26" s="192"/>
      <c r="AH26" s="192"/>
      <c r="AI26" s="192">
        <v>8.1999999999999993</v>
      </c>
      <c r="AJ26" s="314"/>
      <c r="AK26" s="212"/>
      <c r="AL26" s="212"/>
      <c r="AM26" s="212"/>
      <c r="AN26" s="212"/>
      <c r="AO26" s="212"/>
      <c r="AP26" s="212"/>
      <c r="AQ26" s="311"/>
      <c r="AR26" s="311"/>
      <c r="AS26" s="311"/>
      <c r="AT26" s="311"/>
      <c r="AU26" s="311"/>
      <c r="AV26" s="311"/>
      <c r="AW26" s="203"/>
      <c r="AX26" s="311"/>
      <c r="AY26" s="311"/>
      <c r="AZ26" s="313"/>
    </row>
    <row r="27" spans="1:52" s="177" customFormat="1" ht="15.75" customHeight="1" x14ac:dyDescent="0.2">
      <c r="A27" s="289">
        <f t="shared" ref="A27" si="3">A25+1</f>
        <v>6</v>
      </c>
      <c r="B27" s="228" t="s">
        <v>408</v>
      </c>
      <c r="C27" s="228">
        <v>1929</v>
      </c>
      <c r="D27" s="228" t="s">
        <v>65</v>
      </c>
      <c r="E27" s="191" t="s">
        <v>43</v>
      </c>
      <c r="F27" s="191" t="s">
        <v>142</v>
      </c>
      <c r="G27" s="191" t="s">
        <v>4</v>
      </c>
      <c r="H27" s="191" t="s">
        <v>41</v>
      </c>
      <c r="I27" s="191" t="s">
        <v>43</v>
      </c>
      <c r="J27" s="191" t="s">
        <v>142</v>
      </c>
      <c r="K27" s="191" t="s">
        <v>4</v>
      </c>
      <c r="L27" s="191" t="s">
        <v>41</v>
      </c>
      <c r="M27" s="191" t="s">
        <v>43</v>
      </c>
      <c r="N27" s="191" t="s">
        <v>142</v>
      </c>
      <c r="O27" s="191" t="s">
        <v>4</v>
      </c>
      <c r="P27" s="191" t="s">
        <v>41</v>
      </c>
      <c r="Q27" s="191" t="s">
        <v>43</v>
      </c>
      <c r="R27" s="191" t="s">
        <v>142</v>
      </c>
      <c r="S27" s="191" t="s">
        <v>4</v>
      </c>
      <c r="T27" s="191" t="s">
        <v>41</v>
      </c>
      <c r="U27" s="191" t="s">
        <v>43</v>
      </c>
      <c r="V27" s="191" t="s">
        <v>142</v>
      </c>
      <c r="W27" s="191" t="s">
        <v>4</v>
      </c>
      <c r="X27" s="191" t="s">
        <v>41</v>
      </c>
      <c r="Y27" s="191" t="s">
        <v>43</v>
      </c>
      <c r="Z27" s="191" t="s">
        <v>142</v>
      </c>
      <c r="AA27" s="191" t="s">
        <v>4</v>
      </c>
      <c r="AB27" s="191" t="s">
        <v>41</v>
      </c>
      <c r="AC27" s="191" t="s">
        <v>43</v>
      </c>
      <c r="AD27" s="191" t="s">
        <v>142</v>
      </c>
      <c r="AE27" s="191" t="s">
        <v>4</v>
      </c>
      <c r="AF27" s="191" t="s">
        <v>41</v>
      </c>
      <c r="AG27" s="191"/>
      <c r="AH27" s="191"/>
      <c r="AI27" s="191"/>
      <c r="AJ27" s="294">
        <f>IFERROR(COUNTIF(E27:AI27,"=Р")+COUNTIF(E27:AI27,"=Р1")+COUNTIF(E27:AI27,"=ВЧ")+COUNTIF(E27:AI27,"=РН")+COUNTIF(E27:AI27,"=Р2")+COUNTIF(E27:AI27,"=Р1/РВ")+COUNTIF(E27:AI27,"=Р2/РВ")+COUNTIF(E27:AI27,"=ВЧ/РВ")+COUNTIF(E27:AI27,"=РН/РВ"),0)</f>
        <v>21</v>
      </c>
      <c r="AK27" s="211">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164</v>
      </c>
      <c r="AL27" s="211">
        <f>IFERROR(SUMIF(E27:AI27,"=НУ",E28:AI28),0)</f>
        <v>0</v>
      </c>
      <c r="AM27" s="211">
        <f>IFERROR(SUMIF(E27:AI27,"=РН",E28:AI28)+SUMIF(E27:AI27,"=РН/РВ",E28:AI28)+SUMIFS(E28:AI28,E27:AI27,"=Р2",E28:AI28,"=8"),0)</f>
        <v>56</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28</v>
      </c>
      <c r="AO27" s="211">
        <f>IFERROR(SUMIF(E27:AI27,"=РВ",E28:AI28)+SUMIF(E27:AI27,"=ВЧ/РВ",E28:AI28)+SUMIF(E27:AI27,"=РН/РВ",E28:AI28)+SUMIF(E27:AI27,"=Р1/РВ",E28:AI28)+SUMIF(E27:AI27,"=ВЧ2/РВ",E28:AI28)+SUMIF(E27:AI27,"=Р2/РВ",E28:AI28),0)</f>
        <v>0</v>
      </c>
      <c r="AP27" s="211">
        <f>IFERROR(COUNTIF(E27:AI27,"=ВВ")+COUNTIF(E27:AI27,"=Р1/ВВ")+COUNTIF(E27:AI27,"=РН/ВВ")+COUNTIF(E27:AI27,"=ВЧ/ВВ"),0)</f>
        <v>7</v>
      </c>
      <c r="AQ27" s="211">
        <f>SUM(AR27:AZ27)</f>
        <v>0</v>
      </c>
      <c r="AR27" s="211">
        <f>IFERROR(SUMIF(E27:AI27,"=В",E28:AI28)+SUMIF(E27:AI27,"=Ч",E28:AI28)+SUMIF(E27:AI27,"=ВБ",E28:AI28),0)</f>
        <v>0</v>
      </c>
      <c r="AS27" s="211">
        <f>IFERROR(SUMIF(E27:AI27,"=Н",E28:AI28),0)</f>
        <v>0</v>
      </c>
      <c r="AT27" s="211">
        <f>IFERROR(SUMIF(E27:AI27,"=НА",E28:AI28),0)</f>
        <v>0</v>
      </c>
      <c r="AU27" s="211">
        <f>IFERROR(SUMIF(E27:AI27,"=ВП",E28:AI28),0)</f>
        <v>0</v>
      </c>
      <c r="AV27" s="211">
        <f>IFERROR(SUMIF(E27:AI27,"=ДД",E28:AI28),0)</f>
        <v>0</v>
      </c>
      <c r="AW27" s="202">
        <f>IFERROR(SUMIF(E27:AI27,"=ДО",E28:AI28),0)</f>
        <v>0</v>
      </c>
      <c r="AX27" s="211">
        <f>IFERROR(SUMIF(E27:AI27,"=ТН",E28:AI28),0)</f>
        <v>0</v>
      </c>
      <c r="AY27" s="211">
        <f>IFERROR(SUMIF(E27:AI27,"=ВД",E28:AI28),0)</f>
        <v>0</v>
      </c>
      <c r="AZ27" s="312">
        <f>IFERROR(SUMIF(E27:AI27,"=ІН",E28:AI28),0)+SUMIF(E27:AI27,"=НЗ",E28:AI28)</f>
        <v>0</v>
      </c>
    </row>
    <row r="28" spans="1:52" s="177" customFormat="1" ht="20.100000000000001" customHeight="1" thickBot="1" x14ac:dyDescent="0.25">
      <c r="A28" s="290"/>
      <c r="B28" s="229"/>
      <c r="C28" s="229"/>
      <c r="D28" s="229"/>
      <c r="E28" s="192">
        <v>8</v>
      </c>
      <c r="F28" s="192"/>
      <c r="G28" s="192">
        <v>8</v>
      </c>
      <c r="H28" s="192">
        <v>4</v>
      </c>
      <c r="I28" s="192">
        <v>8</v>
      </c>
      <c r="J28" s="192"/>
      <c r="K28" s="192">
        <v>12</v>
      </c>
      <c r="L28" s="192">
        <v>4</v>
      </c>
      <c r="M28" s="192">
        <v>8</v>
      </c>
      <c r="N28" s="192"/>
      <c r="O28" s="192">
        <v>12</v>
      </c>
      <c r="P28" s="192">
        <v>4</v>
      </c>
      <c r="Q28" s="192">
        <v>8</v>
      </c>
      <c r="R28" s="192"/>
      <c r="S28" s="192">
        <v>12</v>
      </c>
      <c r="T28" s="192">
        <v>4</v>
      </c>
      <c r="U28" s="192">
        <v>8</v>
      </c>
      <c r="V28" s="192"/>
      <c r="W28" s="192">
        <v>12</v>
      </c>
      <c r="X28" s="192">
        <v>4</v>
      </c>
      <c r="Y28" s="192">
        <v>8</v>
      </c>
      <c r="Z28" s="192"/>
      <c r="AA28" s="192">
        <v>12</v>
      </c>
      <c r="AB28" s="192">
        <v>4</v>
      </c>
      <c r="AC28" s="192">
        <v>8</v>
      </c>
      <c r="AD28" s="192"/>
      <c r="AE28" s="192">
        <v>12</v>
      </c>
      <c r="AF28" s="192">
        <v>4</v>
      </c>
      <c r="AG28" s="192" t="s">
        <v>491</v>
      </c>
      <c r="AH28" s="192" t="s">
        <v>492</v>
      </c>
      <c r="AI28" s="192" t="s">
        <v>493</v>
      </c>
      <c r="AJ28" s="314"/>
      <c r="AK28" s="212"/>
      <c r="AL28" s="212"/>
      <c r="AM28" s="212"/>
      <c r="AN28" s="212"/>
      <c r="AO28" s="212"/>
      <c r="AP28" s="212"/>
      <c r="AQ28" s="311"/>
      <c r="AR28" s="311"/>
      <c r="AS28" s="311"/>
      <c r="AT28" s="311"/>
      <c r="AU28" s="311"/>
      <c r="AV28" s="311"/>
      <c r="AW28" s="203"/>
      <c r="AX28" s="311"/>
      <c r="AY28" s="311"/>
      <c r="AZ28" s="313"/>
    </row>
    <row r="29" spans="1:52" s="177" customFormat="1" ht="15.75" customHeight="1" x14ac:dyDescent="0.2">
      <c r="A29" s="289">
        <f t="shared" ref="A29" si="4">A27+1</f>
        <v>7</v>
      </c>
      <c r="B29" s="228" t="s">
        <v>409</v>
      </c>
      <c r="C29" s="228">
        <v>2228</v>
      </c>
      <c r="D29" s="228" t="s">
        <v>72</v>
      </c>
      <c r="E29" s="191" t="s">
        <v>142</v>
      </c>
      <c r="F29" s="191" t="s">
        <v>4</v>
      </c>
      <c r="G29" s="191" t="s">
        <v>41</v>
      </c>
      <c r="H29" s="191" t="s">
        <v>43</v>
      </c>
      <c r="I29" s="191" t="s">
        <v>142</v>
      </c>
      <c r="J29" s="191" t="s">
        <v>4</v>
      </c>
      <c r="K29" s="191" t="s">
        <v>41</v>
      </c>
      <c r="L29" s="191" t="s">
        <v>43</v>
      </c>
      <c r="M29" s="191" t="s">
        <v>142</v>
      </c>
      <c r="N29" s="191" t="s">
        <v>4</v>
      </c>
      <c r="O29" s="191" t="s">
        <v>41</v>
      </c>
      <c r="P29" s="191" t="s">
        <v>43</v>
      </c>
      <c r="Q29" s="191" t="s">
        <v>142</v>
      </c>
      <c r="R29" s="191" t="s">
        <v>4</v>
      </c>
      <c r="S29" s="191" t="s">
        <v>41</v>
      </c>
      <c r="T29" s="191" t="s">
        <v>43</v>
      </c>
      <c r="U29" s="191" t="s">
        <v>142</v>
      </c>
      <c r="V29" s="191" t="s">
        <v>4</v>
      </c>
      <c r="W29" s="191" t="s">
        <v>41</v>
      </c>
      <c r="X29" s="191" t="s">
        <v>43</v>
      </c>
      <c r="Y29" s="191" t="s">
        <v>142</v>
      </c>
      <c r="Z29" s="191" t="s">
        <v>4</v>
      </c>
      <c r="AA29" s="191" t="s">
        <v>41</v>
      </c>
      <c r="AB29" s="191" t="s">
        <v>43</v>
      </c>
      <c r="AC29" s="191" t="s">
        <v>142</v>
      </c>
      <c r="AD29" s="191" t="s">
        <v>4</v>
      </c>
      <c r="AE29" s="191" t="s">
        <v>41</v>
      </c>
      <c r="AF29" s="191" t="s">
        <v>43</v>
      </c>
      <c r="AG29" s="191"/>
      <c r="AH29" s="191"/>
      <c r="AI29" s="191"/>
      <c r="AJ29" s="294">
        <f>IFERROR(COUNTIF(E29:AI29,"=Р")+COUNTIF(E29:AI29,"=Р1")+COUNTIF(E29:AI29,"=ВЧ")+COUNTIF(E29:AI29,"=РН")+COUNTIF(E29:AI29,"=Р2")+COUNTIF(E29:AI29,"=Р1/РВ")+COUNTIF(E29:AI29,"=Р2/РВ")+COUNTIF(E29:AI29,"=ВЧ/РВ")+COUNTIF(E29:AI29,"=РН/РВ"),0)</f>
        <v>21</v>
      </c>
      <c r="AK29" s="211">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164</v>
      </c>
      <c r="AL29" s="211">
        <f>IFERROR(SUMIF(E29:AI29,"=НУ",E30:AI30),0)</f>
        <v>0</v>
      </c>
      <c r="AM29" s="211">
        <f>IFERROR(SUMIF(E29:AI29,"=РН",E30:AI30)+SUMIF(E29:AI29,"=РН/РВ",E30:AI30)+SUMIFS(E30:AI30,E29:AI29,"=Р2",E30:AI30,"=8"),0)</f>
        <v>56</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28</v>
      </c>
      <c r="AO29" s="211">
        <f>IFERROR(SUMIF(E29:AI29,"=РВ",E30:AI30)+SUMIF(E29:AI29,"=ВЧ/РВ",E30:AI30)+SUMIF(E29:AI29,"=РН/РВ",E30:AI30)+SUMIF(E29:AI29,"=Р1/РВ",E30:AI30)+SUMIF(E29:AI29,"=ВЧ2/РВ",E30:AI30)+SUMIF(E29:AI29,"=Р2/РВ",E30:AI30),0)</f>
        <v>0</v>
      </c>
      <c r="AP29" s="211">
        <f>IFERROR(COUNTIF(E29:AI29,"=ВВ")+COUNTIF(E29:AI29,"=Р1/ВВ")+COUNTIF(E29:AI29,"=РН/ВВ")+COUNTIF(E29:AI29,"=ВЧ/ВВ"),0)</f>
        <v>7</v>
      </c>
      <c r="AQ29" s="211">
        <f>SUM(AR29:AZ29)</f>
        <v>0</v>
      </c>
      <c r="AR29" s="211">
        <f>IFERROR(SUMIF(E29:AI29,"=В",E30:AI30)+SUMIF(E29:AI29,"=Ч",E30:AI30)+SUMIF(E29:AI29,"=ВБ",E30:AI30),0)</f>
        <v>0</v>
      </c>
      <c r="AS29" s="211">
        <f>IFERROR(SUMIF(E29:AI29,"=Н",E30:AI30),0)</f>
        <v>0</v>
      </c>
      <c r="AT29" s="211">
        <f>IFERROR(SUMIF(E29:AI29,"=НА",E30:AI30),0)</f>
        <v>0</v>
      </c>
      <c r="AU29" s="211">
        <f>IFERROR(SUMIF(E29:AI29,"=ВП",E30:AI30),0)</f>
        <v>0</v>
      </c>
      <c r="AV29" s="211">
        <f>IFERROR(SUMIF(E29:AI29,"=ДД",E30:AI30),0)</f>
        <v>0</v>
      </c>
      <c r="AW29" s="202">
        <f>IFERROR(SUMIF(E29:AI29,"=ДО",E30:AI30),0)</f>
        <v>0</v>
      </c>
      <c r="AX29" s="211">
        <f>IFERROR(SUMIF(E29:AI29,"=ТН",E30:AI30),0)</f>
        <v>0</v>
      </c>
      <c r="AY29" s="211">
        <f>IFERROR(SUMIF(E29:AI29,"=ВД",E30:AI30),0)</f>
        <v>0</v>
      </c>
      <c r="AZ29" s="312">
        <f>IFERROR(SUMIF(E29:AI29,"=ІН",E30:AI30),0)+SUMIF(E29:AI29,"=НЗ",E30:AI30)</f>
        <v>0</v>
      </c>
    </row>
    <row r="30" spans="1:52" s="177" customFormat="1" ht="20.100000000000001" customHeight="1" thickBot="1" x14ac:dyDescent="0.25">
      <c r="A30" s="290"/>
      <c r="B30" s="229"/>
      <c r="C30" s="229"/>
      <c r="D30" s="229"/>
      <c r="E30" s="192"/>
      <c r="F30" s="192">
        <v>12</v>
      </c>
      <c r="G30" s="192">
        <v>4</v>
      </c>
      <c r="H30" s="192">
        <v>8</v>
      </c>
      <c r="I30" s="192"/>
      <c r="J30" s="192">
        <v>12</v>
      </c>
      <c r="K30" s="192">
        <v>4</v>
      </c>
      <c r="L30" s="192">
        <v>8</v>
      </c>
      <c r="M30" s="192"/>
      <c r="N30" s="192">
        <v>8</v>
      </c>
      <c r="O30" s="192">
        <v>4</v>
      </c>
      <c r="P30" s="192">
        <v>8</v>
      </c>
      <c r="Q30" s="192"/>
      <c r="R30" s="192">
        <v>12</v>
      </c>
      <c r="S30" s="192">
        <v>4</v>
      </c>
      <c r="T30" s="192">
        <v>8</v>
      </c>
      <c r="U30" s="192"/>
      <c r="V30" s="192">
        <v>12</v>
      </c>
      <c r="W30" s="192">
        <v>4</v>
      </c>
      <c r="X30" s="192">
        <v>8</v>
      </c>
      <c r="Y30" s="192"/>
      <c r="Z30" s="192">
        <v>12</v>
      </c>
      <c r="AA30" s="192">
        <v>4</v>
      </c>
      <c r="AB30" s="192">
        <v>8</v>
      </c>
      <c r="AC30" s="192"/>
      <c r="AD30" s="192">
        <v>12</v>
      </c>
      <c r="AE30" s="192">
        <v>4</v>
      </c>
      <c r="AF30" s="192">
        <v>8</v>
      </c>
      <c r="AG30" s="192" t="s">
        <v>491</v>
      </c>
      <c r="AH30" s="192" t="s">
        <v>492</v>
      </c>
      <c r="AI30" s="192" t="s">
        <v>493</v>
      </c>
      <c r="AJ30" s="314"/>
      <c r="AK30" s="212"/>
      <c r="AL30" s="212"/>
      <c r="AM30" s="212"/>
      <c r="AN30" s="212"/>
      <c r="AO30" s="212"/>
      <c r="AP30" s="212"/>
      <c r="AQ30" s="311"/>
      <c r="AR30" s="311"/>
      <c r="AS30" s="311"/>
      <c r="AT30" s="311"/>
      <c r="AU30" s="311"/>
      <c r="AV30" s="311"/>
      <c r="AW30" s="203"/>
      <c r="AX30" s="311"/>
      <c r="AY30" s="311"/>
      <c r="AZ30" s="313"/>
    </row>
    <row r="31" spans="1:52" ht="15.75" customHeight="1" x14ac:dyDescent="0.2">
      <c r="A31" s="289">
        <f t="shared" ref="A31" si="5">A29+1</f>
        <v>8</v>
      </c>
      <c r="B31" s="228" t="s">
        <v>264</v>
      </c>
      <c r="C31" s="228">
        <v>1752</v>
      </c>
      <c r="D31" s="228" t="s">
        <v>65</v>
      </c>
      <c r="E31" s="191" t="s">
        <v>142</v>
      </c>
      <c r="F31" s="191" t="s">
        <v>142</v>
      </c>
      <c r="G31" s="191" t="s">
        <v>4</v>
      </c>
      <c r="H31" s="191" t="s">
        <v>4</v>
      </c>
      <c r="I31" s="191" t="s">
        <v>4</v>
      </c>
      <c r="J31" s="191" t="s">
        <v>4</v>
      </c>
      <c r="K31" s="191" t="s">
        <v>4</v>
      </c>
      <c r="L31" s="191" t="s">
        <v>142</v>
      </c>
      <c r="M31" s="191" t="s">
        <v>142</v>
      </c>
      <c r="N31" s="191" t="s">
        <v>4</v>
      </c>
      <c r="O31" s="191" t="s">
        <v>4</v>
      </c>
      <c r="P31" s="191" t="s">
        <v>4</v>
      </c>
      <c r="Q31" s="191" t="s">
        <v>4</v>
      </c>
      <c r="R31" s="191" t="s">
        <v>4</v>
      </c>
      <c r="S31" s="191" t="s">
        <v>142</v>
      </c>
      <c r="T31" s="191" t="s">
        <v>142</v>
      </c>
      <c r="U31" s="191" t="s">
        <v>4</v>
      </c>
      <c r="V31" s="191" t="s">
        <v>4</v>
      </c>
      <c r="W31" s="191" t="s">
        <v>4</v>
      </c>
      <c r="X31" s="191" t="s">
        <v>4</v>
      </c>
      <c r="Y31" s="191" t="s">
        <v>4</v>
      </c>
      <c r="Z31" s="191" t="s">
        <v>142</v>
      </c>
      <c r="AA31" s="191" t="s">
        <v>142</v>
      </c>
      <c r="AB31" s="191" t="s">
        <v>4</v>
      </c>
      <c r="AC31" s="191" t="s">
        <v>4</v>
      </c>
      <c r="AD31" s="191" t="s">
        <v>4</v>
      </c>
      <c r="AE31" s="191" t="s">
        <v>4</v>
      </c>
      <c r="AF31" s="191" t="s">
        <v>4</v>
      </c>
      <c r="AG31" s="191" t="s">
        <v>142</v>
      </c>
      <c r="AH31" s="191" t="s">
        <v>142</v>
      </c>
      <c r="AI31" s="191" t="s">
        <v>4</v>
      </c>
      <c r="AJ31" s="294">
        <f>IFERROR(COUNTIF(E31:AI31,"=Р")+COUNTIF(E31:AI31,"=Р1")+COUNTIF(E31:AI31,"=ВЧ")+COUNTIF(E31:AI31,"=РН")+COUNTIF(E31:AI31,"=Р2")+COUNTIF(E31:AI31,"=Р1/РВ")+COUNTIF(E31:AI31,"=Р2/РВ")+COUNTIF(E31:AI31,"=ВЧ/РВ")+COUNTIF(E31:AI31,"=РН/РВ"),0)</f>
        <v>21</v>
      </c>
      <c r="AK31" s="211">
        <f>IFERROR(SUMIF(E31:AI31,"=Р2",E32:AI32)+SUMIF(E31:AI31,"=ВЧ/РВ",E32:AI32)+SUMIF(E31:AI31,"=РН/РВ",E32:AI32)+SUMIF(E31:AI31,"=Р1/РВ",E32:AI32)+SUMIF(E31:AI31,"=ВЧ2/РВ",E32:AI32)+SUMIF(E31:AI31,"=Р2/РВ",E32:AI32)+SUMIF(E31:AI31,"=Р",E32:AI32)+SUMIF(E31:AI31,"=Р1",E32:AI32)+SUMIF(E31:AI31,"=ВЧ1",E32:AI32)+SUMIF(E31:AI31,"=РН",E32:AI32)+SUMIF(E31:AI31,"=ВЧ",E32:AI32),0)+AL31</f>
        <v>167.99999999999997</v>
      </c>
      <c r="AL31" s="211">
        <f>IFERROR(SUMIF(E31:AI31,"=НУ",E32:AI32),0)</f>
        <v>0</v>
      </c>
      <c r="AM31" s="211">
        <f>IFERROR(SUMIF(E31:AI31,"=РН",E32:AI32)+SUMIF(E31:AI31,"=РН/РВ",E32:AI32)+SUMIFS(E32:AI32,E31:AI31,"=Р2",E32:AI32,"=8"),0)</f>
        <v>0</v>
      </c>
      <c r="AN31" s="211">
        <f>IFERROR(SUMIF(E31:AI31,"=ВЧ",E32:AI32)+SUMIF(E31:AI31,"=ВЧ/РВ",E32:AI32)+CEILING(COUNTIFS(E31:AI31,"=Р2",E32:AI32,"=7")*4,1)+CEILING(COUNTIFS(E31:AI31,"=Р2/РВ",E32:AI32,"=7")*4,1)+SUMIFS(E32:AI32,E31:AI31,"=Р1/РВ",E32:AI32,"=12")/6+SUMIFS(E32:AI32,E31:AI31,"=ВЧ2/РВ",E32:AI32,"=4")/2+SUMIFS(E32:AI32,E31:AI31,"=Р1",E32:AI32,"=12")/6+SUMIFS(E32:AI32,E31:AI31,"=Р1",E32:AI32,"=8")/4+SUMIF(E31:AI31,"=ВЧ1",E32:AI32)/2,0)</f>
        <v>0</v>
      </c>
      <c r="AO31" s="211">
        <f>IFERROR(SUMIF(E31:AI31,"=РВ",E32:AI32)+SUMIF(E31:AI31,"=ВЧ/РВ",E32:AI32)+SUMIF(E31:AI31,"=РН/РВ",E32:AI32)+SUMIF(E31:AI31,"=Р1/РВ",E32:AI32)+SUMIF(E31:AI31,"=ВЧ2/РВ",E32:AI32)+SUMIF(E31:AI31,"=Р2/РВ",E32:AI32),0)</f>
        <v>0</v>
      </c>
      <c r="AP31" s="211">
        <f>IFERROR(COUNTIF(E31:AI31,"=ВВ")+COUNTIF(E31:AI31,"=Р1/ВВ")+COUNTIF(E31:AI31,"=РН/ВВ")+COUNTIF(E31:AI31,"=ВЧ/ВВ"),0)</f>
        <v>10</v>
      </c>
      <c r="AQ31" s="211">
        <f>SUM(AR31:AZ31)</f>
        <v>0</v>
      </c>
      <c r="AR31" s="211">
        <f>IFERROR(SUMIF(E31:AI31,"=В",E32:AI32)+SUMIF(E31:AI31,"=Ч",E32:AI32)+SUMIF(E31:AI31,"=ВБ",E32:AI32),0)</f>
        <v>0</v>
      </c>
      <c r="AS31" s="211">
        <f>IFERROR(SUMIF(E31:AI31,"=Н",E32:AI32),0)</f>
        <v>0</v>
      </c>
      <c r="AT31" s="211">
        <f>IFERROR(SUMIF(E31:AI31,"=НА",E32:AI32),0)</f>
        <v>0</v>
      </c>
      <c r="AU31" s="211">
        <f>IFERROR(SUMIF(E31:AI31,"=ВП",E32:AI32),0)</f>
        <v>0</v>
      </c>
      <c r="AV31" s="211">
        <f>IFERROR(SUMIF(E31:AI31,"=ДД",E32:AI32),0)</f>
        <v>0</v>
      </c>
      <c r="AW31" s="202">
        <f>IFERROR(SUMIF(E31:AI31,"=ДО",E32:AI32),0)</f>
        <v>0</v>
      </c>
      <c r="AX31" s="211">
        <f>IFERROR(SUMIF(E31:AI31,"=ТН",E32:AI32),0)</f>
        <v>0</v>
      </c>
      <c r="AY31" s="211">
        <f>IFERROR(SUMIF(E31:AI31,"=ВД",E32:AI32),0)</f>
        <v>0</v>
      </c>
      <c r="AZ31" s="312">
        <f>IFERROR(SUMIF(E31:AI31,"=ІН",E32:AI32),0)+SUMIF(E31:AI31,"=НЗ",E32:AI32)</f>
        <v>0</v>
      </c>
    </row>
    <row r="32" spans="1:52" ht="20.100000000000001" customHeight="1" thickBot="1" x14ac:dyDescent="0.25">
      <c r="A32" s="290"/>
      <c r="B32" s="229"/>
      <c r="C32" s="229"/>
      <c r="D32" s="229"/>
      <c r="E32" s="192"/>
      <c r="F32" s="192"/>
      <c r="G32" s="192">
        <v>8.1999999999999993</v>
      </c>
      <c r="H32" s="192">
        <v>8.1999999999999993</v>
      </c>
      <c r="I32" s="192">
        <v>8.1999999999999993</v>
      </c>
      <c r="J32" s="192">
        <v>8.1999999999999993</v>
      </c>
      <c r="K32" s="192">
        <v>7</v>
      </c>
      <c r="L32" s="192"/>
      <c r="M32" s="192"/>
      <c r="N32" s="192">
        <v>8.1999999999999993</v>
      </c>
      <c r="O32" s="192">
        <v>8.1999999999999993</v>
      </c>
      <c r="P32" s="192">
        <v>8.1999999999999993</v>
      </c>
      <c r="Q32" s="192">
        <v>8.1999999999999993</v>
      </c>
      <c r="R32" s="192">
        <v>7.2</v>
      </c>
      <c r="S32" s="192"/>
      <c r="T32" s="192"/>
      <c r="U32" s="192">
        <v>8.1999999999999993</v>
      </c>
      <c r="V32" s="192">
        <v>8.1999999999999993</v>
      </c>
      <c r="W32" s="192">
        <v>8.1999999999999993</v>
      </c>
      <c r="X32" s="192">
        <v>8.1999999999999993</v>
      </c>
      <c r="Y32" s="192">
        <v>7.2</v>
      </c>
      <c r="Z32" s="192"/>
      <c r="AA32" s="192"/>
      <c r="AB32" s="192">
        <v>8.1999999999999993</v>
      </c>
      <c r="AC32" s="192">
        <v>8.1999999999999993</v>
      </c>
      <c r="AD32" s="192">
        <v>8.1999999999999993</v>
      </c>
      <c r="AE32" s="192">
        <v>8.1999999999999993</v>
      </c>
      <c r="AF32" s="192">
        <v>7.2</v>
      </c>
      <c r="AG32" s="192"/>
      <c r="AH32" s="192"/>
      <c r="AI32" s="192">
        <v>8.1999999999999993</v>
      </c>
      <c r="AJ32" s="314"/>
      <c r="AK32" s="212"/>
      <c r="AL32" s="212"/>
      <c r="AM32" s="212"/>
      <c r="AN32" s="212"/>
      <c r="AO32" s="212"/>
      <c r="AP32" s="212"/>
      <c r="AQ32" s="311"/>
      <c r="AR32" s="311"/>
      <c r="AS32" s="311"/>
      <c r="AT32" s="311"/>
      <c r="AU32" s="311"/>
      <c r="AV32" s="311"/>
      <c r="AW32" s="203"/>
      <c r="AX32" s="311"/>
      <c r="AY32" s="311"/>
      <c r="AZ32" s="313"/>
    </row>
    <row r="33" spans="1:52" s="177" customFormat="1" ht="15.75" customHeight="1" x14ac:dyDescent="0.2">
      <c r="A33" s="289">
        <f t="shared" ref="A33" si="6">A31+1</f>
        <v>9</v>
      </c>
      <c r="B33" s="228" t="s">
        <v>416</v>
      </c>
      <c r="C33" s="228">
        <v>1109</v>
      </c>
      <c r="D33" s="228" t="s">
        <v>72</v>
      </c>
      <c r="E33" s="191" t="s">
        <v>309</v>
      </c>
      <c r="F33" s="191" t="s">
        <v>43</v>
      </c>
      <c r="G33" s="191" t="s">
        <v>142</v>
      </c>
      <c r="H33" s="191" t="s">
        <v>4</v>
      </c>
      <c r="I33" s="191" t="s">
        <v>41</v>
      </c>
      <c r="J33" s="191" t="s">
        <v>43</v>
      </c>
      <c r="K33" s="191" t="s">
        <v>142</v>
      </c>
      <c r="L33" s="191" t="s">
        <v>4</v>
      </c>
      <c r="M33" s="191" t="s">
        <v>41</v>
      </c>
      <c r="N33" s="191" t="s">
        <v>43</v>
      </c>
      <c r="O33" s="191" t="s">
        <v>142</v>
      </c>
      <c r="P33" s="191" t="s">
        <v>4</v>
      </c>
      <c r="Q33" s="191" t="s">
        <v>41</v>
      </c>
      <c r="R33" s="191" t="s">
        <v>43</v>
      </c>
      <c r="S33" s="191" t="s">
        <v>142</v>
      </c>
      <c r="T33" s="191" t="s">
        <v>4</v>
      </c>
      <c r="U33" s="191" t="s">
        <v>41</v>
      </c>
      <c r="V33" s="191" t="s">
        <v>43</v>
      </c>
      <c r="W33" s="191" t="s">
        <v>142</v>
      </c>
      <c r="X33" s="191" t="s">
        <v>4</v>
      </c>
      <c r="Y33" s="191" t="s">
        <v>41</v>
      </c>
      <c r="Z33" s="191" t="s">
        <v>43</v>
      </c>
      <c r="AA33" s="191" t="s">
        <v>142</v>
      </c>
      <c r="AB33" s="191" t="s">
        <v>4</v>
      </c>
      <c r="AC33" s="191" t="s">
        <v>41</v>
      </c>
      <c r="AD33" s="191" t="s">
        <v>43</v>
      </c>
      <c r="AE33" s="191" t="s">
        <v>142</v>
      </c>
      <c r="AF33" s="191" t="s">
        <v>4</v>
      </c>
      <c r="AG33" s="191"/>
      <c r="AH33" s="191"/>
      <c r="AI33" s="191"/>
      <c r="AJ33" s="294">
        <f>IFERROR(COUNTIF(E33:AI33,"=Р")+COUNTIF(E33:AI33,"=Р1")+COUNTIF(E33:AI33,"=ВЧ")+COUNTIF(E33:AI33,"=РН")+COUNTIF(E33:AI33,"=Р2")+COUNTIF(E33:AI33,"=Р1/РВ")+COUNTIF(E33:AI33,"=Р2/РВ")+COUNTIF(E33:AI33,"=ВЧ/РВ")+COUNTIF(E33:AI33,"=РН/РВ"),0)</f>
        <v>20</v>
      </c>
      <c r="AK33" s="211">
        <f>IFERROR(SUMIF(E33:AI33,"=Р2",E34:AI34)+SUMIF(E33:AI33,"=ВЧ/РВ",E34:AI34)+SUMIF(E33:AI33,"=РН/РВ",E34:AI34)+SUMIF(E33:AI33,"=Р1/РВ",E34:AI34)+SUMIF(E33:AI33,"=ВЧ2/РВ",E34:AI34)+SUMIF(E33:AI33,"=Р2/РВ",E34:AI34)+SUMIF(E33:AI33,"=Р",E34:AI34)+SUMIF(E33:AI33,"=Р1",E34:AI34)+SUMIF(E33:AI33,"=ВЧ1",E34:AI34)+SUMIF(E33:AI33,"=РН",E34:AI34)+SUMIF(E33:AI33,"=ВЧ",E34:AI34),0)+AL33</f>
        <v>164</v>
      </c>
      <c r="AL33" s="211">
        <f>IFERROR(SUMIF(E33:AI33,"=НУ",E34:AI34),0)</f>
        <v>0</v>
      </c>
      <c r="AM33" s="211">
        <f>IFERROR(SUMIF(E33:AI33,"=РН",E34:AI34)+SUMIF(E33:AI33,"=РН/РВ",E34:AI34)+SUMIFS(E34:AI34,E33:AI33,"=Р2",E34:AI34,"=8"),0)</f>
        <v>56</v>
      </c>
      <c r="AN33" s="211">
        <f>IFERROR(SUMIF(E33:AI33,"=ВЧ",E34:AI34)+SUMIF(E33:AI33,"=ВЧ/РВ",E34:AI34)+CEILING(COUNTIFS(E33:AI33,"=Р2",E34:AI34,"=7")*4,1)+CEILING(COUNTIFS(E33:AI33,"=Р2/РВ",E34:AI34,"=7")*4,1)+SUMIFS(E34:AI34,E33:AI33,"=Р1/РВ",E34:AI34,"=12")/6+SUMIFS(E34:AI34,E33:AI33,"=ВЧ2/РВ",E34:AI34,"=4")/2+SUMIFS(E34:AI34,E33:AI33,"=Р1",E34:AI34,"=12")/6+SUMIFS(E34:AI34,E33:AI33,"=Р1",E34:AI34,"=8")/4+SUMIF(E33:AI33,"=ВЧ1",E34:AI34)/2,0)</f>
        <v>26</v>
      </c>
      <c r="AO33" s="211">
        <f>IFERROR(SUMIF(E33:AI33,"=РВ",E34:AI34)+SUMIF(E33:AI33,"=ВЧ/РВ",E34:AI34)+SUMIF(E33:AI33,"=РН/РВ",E34:AI34)+SUMIF(E33:AI33,"=Р1/РВ",E34:AI34)+SUMIF(E33:AI33,"=ВЧ2/РВ",E34:AI34)+SUMIF(E33:AI33,"=Р2/РВ",E34:AI34),0)</f>
        <v>0</v>
      </c>
      <c r="AP33" s="211">
        <f>IFERROR(COUNTIF(E33:AI33,"=ВВ")+COUNTIF(E33:AI33,"=Р1/ВВ")+COUNTIF(E33:AI33,"=РН/ВВ")+COUNTIF(E33:AI33,"=ВЧ/ВВ"),0)</f>
        <v>7</v>
      </c>
      <c r="AQ33" s="211">
        <f>SUM(AR33:AZ33)</f>
        <v>0</v>
      </c>
      <c r="AR33" s="211">
        <f>IFERROR(SUMIF(E33:AI33,"=В",E34:AI34)+SUMIF(E33:AI33,"=Ч",E34:AI34)+SUMIF(E33:AI33,"=ВБ",E34:AI34),0)</f>
        <v>0</v>
      </c>
      <c r="AS33" s="211">
        <f>IFERROR(SUMIF(E33:AI33,"=Н",E34:AI34),0)</f>
        <v>0</v>
      </c>
      <c r="AT33" s="211">
        <f>IFERROR(SUMIF(E33:AI33,"=НА",E34:AI34),0)</f>
        <v>0</v>
      </c>
      <c r="AU33" s="211">
        <f>IFERROR(SUMIF(E33:AI33,"=ВП",E34:AI34),0)</f>
        <v>0</v>
      </c>
      <c r="AV33" s="211">
        <f>IFERROR(SUMIF(E33:AI33,"=ДД",E34:AI34),0)</f>
        <v>0</v>
      </c>
      <c r="AW33" s="202">
        <f>IFERROR(SUMIF(E33:AI33,"=ДО",E34:AI34),0)</f>
        <v>0</v>
      </c>
      <c r="AX33" s="211">
        <f>IFERROR(SUMIF(E33:AI33,"=ТН",E34:AI34),0)</f>
        <v>0</v>
      </c>
      <c r="AY33" s="211">
        <f>IFERROR(SUMIF(E33:AI33,"=ВД",E34:AI34),0)</f>
        <v>0</v>
      </c>
      <c r="AZ33" s="312">
        <f>IFERROR(SUMIF(E33:AI33,"=ІН",E34:AI34),0)+SUMIF(E33:AI33,"=НЗ",E34:AI34)</f>
        <v>0</v>
      </c>
    </row>
    <row r="34" spans="1:52" s="177" customFormat="1" ht="20.100000000000001" customHeight="1" thickBot="1" x14ac:dyDescent="0.25">
      <c r="A34" s="290"/>
      <c r="B34" s="229"/>
      <c r="C34" s="229"/>
      <c r="D34" s="229"/>
      <c r="E34" s="192">
        <v>4</v>
      </c>
      <c r="F34" s="192">
        <v>8</v>
      </c>
      <c r="G34" s="192"/>
      <c r="H34" s="192">
        <v>12</v>
      </c>
      <c r="I34" s="192">
        <v>4</v>
      </c>
      <c r="J34" s="192">
        <v>8</v>
      </c>
      <c r="K34" s="192"/>
      <c r="L34" s="192">
        <v>12</v>
      </c>
      <c r="M34" s="192">
        <v>4</v>
      </c>
      <c r="N34" s="192">
        <v>8</v>
      </c>
      <c r="O34" s="192"/>
      <c r="P34" s="192">
        <v>12</v>
      </c>
      <c r="Q34" s="192">
        <v>4</v>
      </c>
      <c r="R34" s="192">
        <v>8</v>
      </c>
      <c r="S34" s="192"/>
      <c r="T34" s="192">
        <v>12</v>
      </c>
      <c r="U34" s="192">
        <v>4</v>
      </c>
      <c r="V34" s="192">
        <v>8</v>
      </c>
      <c r="W34" s="192"/>
      <c r="X34" s="192">
        <v>12</v>
      </c>
      <c r="Y34" s="192">
        <v>4</v>
      </c>
      <c r="Z34" s="192">
        <v>8</v>
      </c>
      <c r="AA34" s="192"/>
      <c r="AB34" s="192">
        <v>8</v>
      </c>
      <c r="AC34" s="192">
        <v>4</v>
      </c>
      <c r="AD34" s="192">
        <v>8</v>
      </c>
      <c r="AE34" s="192"/>
      <c r="AF34" s="192">
        <v>12</v>
      </c>
      <c r="AG34" s="192" t="s">
        <v>491</v>
      </c>
      <c r="AH34" s="192" t="s">
        <v>492</v>
      </c>
      <c r="AI34" s="192" t="s">
        <v>493</v>
      </c>
      <c r="AJ34" s="314"/>
      <c r="AK34" s="212"/>
      <c r="AL34" s="212"/>
      <c r="AM34" s="212"/>
      <c r="AN34" s="212"/>
      <c r="AO34" s="212"/>
      <c r="AP34" s="212"/>
      <c r="AQ34" s="311"/>
      <c r="AR34" s="311"/>
      <c r="AS34" s="311"/>
      <c r="AT34" s="311"/>
      <c r="AU34" s="311"/>
      <c r="AV34" s="311"/>
      <c r="AW34" s="203"/>
      <c r="AX34" s="311"/>
      <c r="AY34" s="311"/>
      <c r="AZ34" s="313"/>
    </row>
    <row r="35" spans="1:52" s="176" customFormat="1" ht="15.75" customHeight="1" x14ac:dyDescent="0.2">
      <c r="A35" s="289">
        <f t="shared" ref="A35" si="7">A33+1</f>
        <v>10</v>
      </c>
      <c r="B35" s="228" t="s">
        <v>358</v>
      </c>
      <c r="C35" s="228">
        <v>2220</v>
      </c>
      <c r="D35" s="228" t="s">
        <v>65</v>
      </c>
      <c r="E35" s="191" t="s">
        <v>43</v>
      </c>
      <c r="F35" s="191" t="s">
        <v>142</v>
      </c>
      <c r="G35" s="191" t="s">
        <v>4</v>
      </c>
      <c r="H35" s="191" t="s">
        <v>41</v>
      </c>
      <c r="I35" s="191" t="s">
        <v>43</v>
      </c>
      <c r="J35" s="191" t="s">
        <v>142</v>
      </c>
      <c r="K35" s="191" t="s">
        <v>4</v>
      </c>
      <c r="L35" s="191" t="s">
        <v>41</v>
      </c>
      <c r="M35" s="191" t="s">
        <v>43</v>
      </c>
      <c r="N35" s="191" t="s">
        <v>142</v>
      </c>
      <c r="O35" s="191" t="s">
        <v>4</v>
      </c>
      <c r="P35" s="191" t="s">
        <v>41</v>
      </c>
      <c r="Q35" s="191" t="s">
        <v>43</v>
      </c>
      <c r="R35" s="191" t="s">
        <v>142</v>
      </c>
      <c r="S35" s="191" t="s">
        <v>4</v>
      </c>
      <c r="T35" s="191" t="s">
        <v>41</v>
      </c>
      <c r="U35" s="191" t="s">
        <v>43</v>
      </c>
      <c r="V35" s="191" t="s">
        <v>45</v>
      </c>
      <c r="W35" s="191" t="s">
        <v>4</v>
      </c>
      <c r="X35" s="191" t="s">
        <v>41</v>
      </c>
      <c r="Y35" s="191" t="s">
        <v>43</v>
      </c>
      <c r="Z35" s="191" t="s">
        <v>142</v>
      </c>
      <c r="AA35" s="191" t="s">
        <v>4</v>
      </c>
      <c r="AB35" s="191" t="s">
        <v>41</v>
      </c>
      <c r="AC35" s="191" t="s">
        <v>43</v>
      </c>
      <c r="AD35" s="191" t="s">
        <v>142</v>
      </c>
      <c r="AE35" s="191" t="s">
        <v>4</v>
      </c>
      <c r="AF35" s="191" t="s">
        <v>41</v>
      </c>
      <c r="AG35" s="191" t="s">
        <v>43</v>
      </c>
      <c r="AH35" s="191" t="s">
        <v>142</v>
      </c>
      <c r="AI35" s="191" t="s">
        <v>263</v>
      </c>
      <c r="AJ35" s="294">
        <f>IFERROR(COUNTIF(E35:AI35,"=Р")+COUNTIF(E35:AI35,"=Р1")+COUNTIF(E35:AI35,"=ВЧ")+COUNTIF(E35:AI35,"=РН")+COUNTIF(E35:AI35,"=Р2")+COUNTIF(E35:AI35,"=Р1/РВ")+COUNTIF(E35:AI35,"=Р2/РВ")+COUNTIF(E35:AI35,"=ВЧ/РВ")+COUNTIF(E35:AI35,"=РН/РВ"),0)</f>
        <v>23</v>
      </c>
      <c r="AK35" s="211">
        <f>IFERROR(SUMIF(E35:AI35,"=Р2",E36:AI36)+SUMIF(E35:AI35,"=ВЧ/РВ",E36:AI36)+SUMIF(E35:AI35,"=РН/РВ",E36:AI36)+SUMIF(E35:AI35,"=Р1/РВ",E36:AI36)+SUMIF(E35:AI35,"=ВЧ2/РВ",E36:AI36)+SUMIF(E35:AI35,"=Р2/РВ",E36:AI36)+SUMIF(E35:AI35,"=Р",E36:AI36)+SUMIF(E35:AI35,"=Р1",E36:AI36)+SUMIF(E35:AI35,"=ВЧ1",E36:AI36)+SUMIF(E35:AI35,"=РН",E36:AI36)+SUMIF(E35:AI35,"=ВЧ",E36:AI36),0)+AL35</f>
        <v>188</v>
      </c>
      <c r="AL35" s="211">
        <f>IFERROR(SUMIF(E35:AI35,"=НУ",E36:AI36),0)</f>
        <v>20</v>
      </c>
      <c r="AM35" s="211">
        <f>IFERROR(SUMIF(E35:AI35,"=РН",E36:AI36)+SUMIF(E35:AI35,"=РН/РВ",E36:AI36)+SUMIFS(E36:AI36,E35:AI35,"=Р2",E36:AI36,"=8"),0)</f>
        <v>64</v>
      </c>
      <c r="AN35" s="211">
        <f>IFERROR(SUMIF(E35:AI35,"=ВЧ",E36:AI36)+SUMIF(E35:AI35,"=ВЧ/РВ",E36:AI36)+CEILING(COUNTIFS(E35:AI35,"=Р2",E36:AI36,"=7")*4,1)+CEILING(COUNTIFS(E35:AI35,"=Р2/РВ",E36:AI36,"=7")*4,1)+SUMIFS(E36:AI36,E35:AI35,"=Р1/РВ",E36:AI36,"=12")/6+SUMIFS(E36:AI36,E35:AI35,"=ВЧ2/РВ",E36:AI36,"=4")/2+SUMIFS(E36:AI36,E35:AI35,"=Р1",E36:AI36,"=12")/6+SUMIFS(E36:AI36,E35:AI35,"=Р1",E36:AI36,"=8")/4+SUMIF(E35:AI35,"=ВЧ1",E36:AI36)/2,0)</f>
        <v>30</v>
      </c>
      <c r="AO35" s="211">
        <f>IFERROR(SUMIF(E35:AI35,"=РВ",E36:AI36)+SUMIF(E35:AI35,"=ВЧ/РВ",E36:AI36)+SUMIF(E35:AI35,"=РН/РВ",E36:AI36)+SUMIF(E35:AI35,"=Р1/РВ",E36:AI36)+SUMIF(E35:AI35,"=ВЧ2/РВ",E36:AI36)+SUMIF(E35:AI35,"=Р2/РВ",E36:AI36),0)</f>
        <v>0</v>
      </c>
      <c r="AP35" s="211">
        <f>IFERROR(COUNTIF(E35:AI35,"=ВВ")+COUNTIF(E35:AI35,"=Р1/ВВ")+COUNTIF(E35:AI35,"=РН/ВВ")+COUNTIF(E35:AI35,"=ВЧ/ВВ"),0)</f>
        <v>7</v>
      </c>
      <c r="AQ35" s="211">
        <f>SUM(AR35:AZ35)</f>
        <v>0</v>
      </c>
      <c r="AR35" s="211">
        <f>IFERROR(SUMIF(E35:AI35,"=В",E36:AI36)+SUMIF(E35:AI35,"=Ч",E36:AI36)+SUMIF(E35:AI35,"=ВБ",E36:AI36),0)</f>
        <v>0</v>
      </c>
      <c r="AS35" s="211">
        <f>IFERROR(SUMIF(E35:AI35,"=Н",E36:AI36),0)</f>
        <v>0</v>
      </c>
      <c r="AT35" s="211">
        <f>IFERROR(SUMIF(E35:AI35,"=НА",E36:AI36),0)</f>
        <v>0</v>
      </c>
      <c r="AU35" s="211">
        <f>IFERROR(SUMIF(E35:AI35,"=ВП",E36:AI36),0)</f>
        <v>0</v>
      </c>
      <c r="AV35" s="211">
        <f>IFERROR(SUMIF(E35:AI35,"=ДД",E36:AI36),0)</f>
        <v>0</v>
      </c>
      <c r="AW35" s="202">
        <f>IFERROR(SUMIF(E35:AI35,"=ДО",E36:AI36),0)</f>
        <v>0</v>
      </c>
      <c r="AX35" s="211">
        <f>IFERROR(SUMIF(E35:AI35,"=ТН",E36:AI36),0)</f>
        <v>0</v>
      </c>
      <c r="AY35" s="211">
        <f>IFERROR(SUMIF(E35:AI35,"=ВД",E36:AI36),0)</f>
        <v>0</v>
      </c>
      <c r="AZ35" s="312">
        <f>IFERROR(SUMIF(E35:AI35,"=ІН",E36:AI36),0)+SUMIF(E35:AI35,"=НЗ",E36:AI36)</f>
        <v>0</v>
      </c>
    </row>
    <row r="36" spans="1:52" s="176" customFormat="1" ht="20.100000000000001" customHeight="1" thickBot="1" x14ac:dyDescent="0.25">
      <c r="A36" s="290"/>
      <c r="B36" s="229"/>
      <c r="C36" s="229"/>
      <c r="D36" s="229"/>
      <c r="E36" s="192">
        <v>8</v>
      </c>
      <c r="F36" s="192"/>
      <c r="G36" s="192">
        <v>6</v>
      </c>
      <c r="H36" s="192">
        <v>4</v>
      </c>
      <c r="I36" s="192">
        <v>8</v>
      </c>
      <c r="J36" s="192"/>
      <c r="K36" s="192">
        <v>6</v>
      </c>
      <c r="L36" s="192">
        <v>4</v>
      </c>
      <c r="M36" s="192">
        <v>8</v>
      </c>
      <c r="N36" s="192"/>
      <c r="O36" s="192">
        <v>8</v>
      </c>
      <c r="P36" s="192">
        <v>4</v>
      </c>
      <c r="Q36" s="192">
        <v>8</v>
      </c>
      <c r="R36" s="192"/>
      <c r="S36" s="192">
        <v>12</v>
      </c>
      <c r="T36" s="192">
        <v>4</v>
      </c>
      <c r="U36" s="192">
        <v>8</v>
      </c>
      <c r="V36" s="192">
        <v>20</v>
      </c>
      <c r="W36" s="192">
        <v>12</v>
      </c>
      <c r="X36" s="192">
        <v>4</v>
      </c>
      <c r="Y36" s="192">
        <v>8</v>
      </c>
      <c r="Z36" s="192"/>
      <c r="AA36" s="192">
        <v>8</v>
      </c>
      <c r="AB36" s="192">
        <v>4</v>
      </c>
      <c r="AC36" s="192">
        <v>8</v>
      </c>
      <c r="AD36" s="192"/>
      <c r="AE36" s="192">
        <v>12</v>
      </c>
      <c r="AF36" s="192">
        <v>4</v>
      </c>
      <c r="AG36" s="192">
        <v>8</v>
      </c>
      <c r="AH36" s="192"/>
      <c r="AI36" s="192">
        <v>12</v>
      </c>
      <c r="AJ36" s="314"/>
      <c r="AK36" s="212"/>
      <c r="AL36" s="212"/>
      <c r="AM36" s="212"/>
      <c r="AN36" s="212"/>
      <c r="AO36" s="212"/>
      <c r="AP36" s="212"/>
      <c r="AQ36" s="311"/>
      <c r="AR36" s="311"/>
      <c r="AS36" s="311"/>
      <c r="AT36" s="311"/>
      <c r="AU36" s="311"/>
      <c r="AV36" s="311"/>
      <c r="AW36" s="203"/>
      <c r="AX36" s="311"/>
      <c r="AY36" s="311"/>
      <c r="AZ36" s="313"/>
    </row>
    <row r="37" spans="1:52" s="176" customFormat="1" ht="15.75" customHeight="1" x14ac:dyDescent="0.2">
      <c r="A37" s="289">
        <f t="shared" ref="A37" si="8">A35+1</f>
        <v>11</v>
      </c>
      <c r="B37" s="228" t="s">
        <v>363</v>
      </c>
      <c r="C37" s="228">
        <v>226</v>
      </c>
      <c r="D37" s="228" t="s">
        <v>72</v>
      </c>
      <c r="E37" s="191" t="s">
        <v>142</v>
      </c>
      <c r="F37" s="191" t="s">
        <v>4</v>
      </c>
      <c r="G37" s="191" t="s">
        <v>41</v>
      </c>
      <c r="H37" s="191" t="s">
        <v>43</v>
      </c>
      <c r="I37" s="191" t="s">
        <v>142</v>
      </c>
      <c r="J37" s="191" t="s">
        <v>4</v>
      </c>
      <c r="K37" s="191" t="s">
        <v>41</v>
      </c>
      <c r="L37" s="191" t="s">
        <v>43</v>
      </c>
      <c r="M37" s="191" t="s">
        <v>142</v>
      </c>
      <c r="N37" s="191" t="s">
        <v>4</v>
      </c>
      <c r="O37" s="191" t="s">
        <v>41</v>
      </c>
      <c r="P37" s="191" t="s">
        <v>43</v>
      </c>
      <c r="Q37" s="191" t="s">
        <v>142</v>
      </c>
      <c r="R37" s="191" t="s">
        <v>4</v>
      </c>
      <c r="S37" s="191" t="s">
        <v>41</v>
      </c>
      <c r="T37" s="191" t="s">
        <v>43</v>
      </c>
      <c r="U37" s="191" t="s">
        <v>45</v>
      </c>
      <c r="V37" s="191" t="s">
        <v>4</v>
      </c>
      <c r="W37" s="191" t="s">
        <v>41</v>
      </c>
      <c r="X37" s="191" t="s">
        <v>43</v>
      </c>
      <c r="Y37" s="191" t="s">
        <v>142</v>
      </c>
      <c r="Z37" s="191" t="s">
        <v>4</v>
      </c>
      <c r="AA37" s="191" t="s">
        <v>41</v>
      </c>
      <c r="AB37" s="191" t="s">
        <v>43</v>
      </c>
      <c r="AC37" s="191" t="s">
        <v>142</v>
      </c>
      <c r="AD37" s="191" t="s">
        <v>4</v>
      </c>
      <c r="AE37" s="191" t="s">
        <v>41</v>
      </c>
      <c r="AF37" s="191" t="s">
        <v>43</v>
      </c>
      <c r="AG37" s="191" t="s">
        <v>142</v>
      </c>
      <c r="AH37" s="191" t="s">
        <v>4</v>
      </c>
      <c r="AI37" s="191" t="s">
        <v>41</v>
      </c>
      <c r="AJ37" s="294">
        <f>IFERROR(COUNTIF(E37:AI37,"=Р")+COUNTIF(E37:AI37,"=Р1")+COUNTIF(E37:AI37,"=ВЧ")+COUNTIF(E37:AI37,"=РН")+COUNTIF(E37:AI37,"=Р2")+COUNTIF(E37:AI37,"=Р1/РВ")+COUNTIF(E37:AI37,"=Р2/РВ")+COUNTIF(E37:AI37,"=ВЧ/РВ")+COUNTIF(E37:AI37,"=РН/РВ"),0)</f>
        <v>23</v>
      </c>
      <c r="AK37" s="211">
        <f>IFERROR(SUMIF(E37:AI37,"=Р2",E38:AI38)+SUMIF(E37:AI37,"=ВЧ/РВ",E38:AI38)+SUMIF(E37:AI37,"=РН/РВ",E38:AI38)+SUMIF(E37:AI37,"=Р1/РВ",E38:AI38)+SUMIF(E37:AI37,"=ВЧ2/РВ",E38:AI38)+SUMIF(E37:AI37,"=Р2/РВ",E38:AI38)+SUMIF(E37:AI37,"=Р",E38:AI38)+SUMIF(E37:AI37,"=Р1",E38:AI38)+SUMIF(E37:AI37,"=ВЧ1",E38:AI38)+SUMIF(E37:AI37,"=РН",E38:AI38)+SUMIF(E37:AI37,"=ВЧ",E38:AI38),0)+AL37</f>
        <v>184</v>
      </c>
      <c r="AL37" s="211">
        <f>IFERROR(SUMIF(E37:AI37,"=НУ",E38:AI38),0)</f>
        <v>16</v>
      </c>
      <c r="AM37" s="211">
        <f>IFERROR(SUMIF(E37:AI37,"=РН",E38:AI38)+SUMIF(E37:AI37,"=РН/РВ",E38:AI38)+SUMIFS(E38:AI38,E37:AI37,"=Р2",E38:AI38,"=8"),0)</f>
        <v>56</v>
      </c>
      <c r="AN37" s="211">
        <f>IFERROR(SUMIF(E37:AI37,"=ВЧ",E38:AI38)+SUMIF(E37:AI37,"=ВЧ/РВ",E38:AI38)+CEILING(COUNTIFS(E37:AI37,"=Р2",E38:AI38,"=7")*4,1)+CEILING(COUNTIFS(E37:AI37,"=Р2/РВ",E38:AI38,"=7")*4,1)+SUMIFS(E38:AI38,E37:AI37,"=Р1/РВ",E38:AI38,"=12")/6+SUMIFS(E38:AI38,E37:AI37,"=ВЧ2/РВ",E38:AI38,"=4")/2+SUMIFS(E38:AI38,E37:AI37,"=Р1",E38:AI38,"=12")/6+SUMIFS(E38:AI38,E37:AI37,"=Р1",E38:AI38,"=8")/4+SUMIF(E37:AI37,"=ВЧ1",E38:AI38)/2,0)</f>
        <v>32</v>
      </c>
      <c r="AO37" s="211">
        <f>IFERROR(SUMIF(E37:AI37,"=РВ",E38:AI38)+SUMIF(E37:AI37,"=ВЧ/РВ",E38:AI38)+SUMIF(E37:AI37,"=РН/РВ",E38:AI38)+SUMIF(E37:AI37,"=Р1/РВ",E38:AI38)+SUMIF(E37:AI37,"=ВЧ2/РВ",E38:AI38)+SUMIF(E37:AI37,"=Р2/РВ",E38:AI38),0)</f>
        <v>0</v>
      </c>
      <c r="AP37" s="211">
        <f>IFERROR(COUNTIF(E37:AI37,"=ВВ")+COUNTIF(E37:AI37,"=Р1/ВВ")+COUNTIF(E37:AI37,"=РН/ВВ")+COUNTIF(E37:AI37,"=ВЧ/ВВ"),0)</f>
        <v>7</v>
      </c>
      <c r="AQ37" s="211">
        <f>SUM(AR37:AZ37)</f>
        <v>0</v>
      </c>
      <c r="AR37" s="211">
        <f>IFERROR(SUMIF(E37:AI37,"=В",E38:AI38)+SUMIF(E37:AI37,"=Ч",E38:AI38)+SUMIF(E37:AI37,"=ВБ",E38:AI38),0)</f>
        <v>0</v>
      </c>
      <c r="AS37" s="211">
        <f>IFERROR(SUMIF(E37:AI37,"=Н",E38:AI38),0)</f>
        <v>0</v>
      </c>
      <c r="AT37" s="211">
        <f>IFERROR(SUMIF(E37:AI37,"=НА",E38:AI38),0)</f>
        <v>0</v>
      </c>
      <c r="AU37" s="211">
        <f>IFERROR(SUMIF(E37:AI37,"=ВП",E38:AI38),0)</f>
        <v>0</v>
      </c>
      <c r="AV37" s="211">
        <f>IFERROR(SUMIF(E37:AI37,"=ДД",E38:AI38),0)</f>
        <v>0</v>
      </c>
      <c r="AW37" s="202">
        <f>IFERROR(SUMIF(E37:AI37,"=ДО",E38:AI38),0)</f>
        <v>0</v>
      </c>
      <c r="AX37" s="211">
        <f>IFERROR(SUMIF(E37:AI37,"=ТН",E38:AI38),0)</f>
        <v>0</v>
      </c>
      <c r="AY37" s="211">
        <f>IFERROR(SUMIF(E37:AI37,"=ВД",E38:AI38),0)</f>
        <v>0</v>
      </c>
      <c r="AZ37" s="312">
        <f>IFERROR(SUMIF(E37:AI37,"=ІН",E38:AI38),0)+SUMIF(E37:AI37,"=НЗ",E38:AI38)</f>
        <v>0</v>
      </c>
    </row>
    <row r="38" spans="1:52" s="176" customFormat="1" ht="20.100000000000001" customHeight="1" thickBot="1" x14ac:dyDescent="0.25">
      <c r="A38" s="290"/>
      <c r="B38" s="229"/>
      <c r="C38" s="229"/>
      <c r="D38" s="229"/>
      <c r="E38" s="192"/>
      <c r="F38" s="192">
        <v>12</v>
      </c>
      <c r="G38" s="192">
        <v>4</v>
      </c>
      <c r="H38" s="192">
        <v>8</v>
      </c>
      <c r="I38" s="192"/>
      <c r="J38" s="192">
        <v>6</v>
      </c>
      <c r="K38" s="192">
        <v>4</v>
      </c>
      <c r="L38" s="192">
        <v>8</v>
      </c>
      <c r="M38" s="192"/>
      <c r="N38" s="192">
        <v>6</v>
      </c>
      <c r="O38" s="192">
        <v>4</v>
      </c>
      <c r="P38" s="192">
        <v>8</v>
      </c>
      <c r="Q38" s="192"/>
      <c r="R38" s="192">
        <v>12</v>
      </c>
      <c r="S38" s="192">
        <v>4</v>
      </c>
      <c r="T38" s="192">
        <v>8</v>
      </c>
      <c r="U38" s="192">
        <v>16</v>
      </c>
      <c r="V38" s="192">
        <v>12</v>
      </c>
      <c r="W38" s="192">
        <v>4</v>
      </c>
      <c r="X38" s="192">
        <v>8</v>
      </c>
      <c r="Y38" s="192"/>
      <c r="Z38" s="192">
        <v>8</v>
      </c>
      <c r="AA38" s="192">
        <v>4</v>
      </c>
      <c r="AB38" s="192">
        <v>8</v>
      </c>
      <c r="AC38" s="192"/>
      <c r="AD38" s="192">
        <v>12</v>
      </c>
      <c r="AE38" s="192">
        <v>4</v>
      </c>
      <c r="AF38" s="192">
        <v>8</v>
      </c>
      <c r="AG38" s="192"/>
      <c r="AH38" s="192">
        <v>12</v>
      </c>
      <c r="AI38" s="192">
        <v>4</v>
      </c>
      <c r="AJ38" s="314"/>
      <c r="AK38" s="212"/>
      <c r="AL38" s="212"/>
      <c r="AM38" s="212"/>
      <c r="AN38" s="212"/>
      <c r="AO38" s="212"/>
      <c r="AP38" s="212"/>
      <c r="AQ38" s="311"/>
      <c r="AR38" s="311"/>
      <c r="AS38" s="311"/>
      <c r="AT38" s="311"/>
      <c r="AU38" s="311"/>
      <c r="AV38" s="311"/>
      <c r="AW38" s="203"/>
      <c r="AX38" s="311"/>
      <c r="AY38" s="311"/>
      <c r="AZ38" s="313"/>
    </row>
    <row r="39" spans="1:52" s="177" customFormat="1" ht="15.75" customHeight="1" x14ac:dyDescent="0.2">
      <c r="A39" s="289">
        <f t="shared" ref="A39" si="9">A37+1</f>
        <v>12</v>
      </c>
      <c r="B39" s="228" t="s">
        <v>432</v>
      </c>
      <c r="C39" s="228">
        <v>1360</v>
      </c>
      <c r="D39" s="228" t="s">
        <v>65</v>
      </c>
      <c r="E39" s="191" t="s">
        <v>4</v>
      </c>
      <c r="F39" s="191" t="s">
        <v>41</v>
      </c>
      <c r="G39" s="191" t="s">
        <v>43</v>
      </c>
      <c r="H39" s="191" t="s">
        <v>142</v>
      </c>
      <c r="I39" s="191" t="s">
        <v>4</v>
      </c>
      <c r="J39" s="191" t="s">
        <v>41</v>
      </c>
      <c r="K39" s="191" t="s">
        <v>43</v>
      </c>
      <c r="L39" s="191" t="s">
        <v>142</v>
      </c>
      <c r="M39" s="191" t="s">
        <v>4</v>
      </c>
      <c r="N39" s="191" t="s">
        <v>41</v>
      </c>
      <c r="O39" s="191" t="s">
        <v>43</v>
      </c>
      <c r="P39" s="191" t="s">
        <v>142</v>
      </c>
      <c r="Q39" s="191" t="s">
        <v>4</v>
      </c>
      <c r="R39" s="191" t="s">
        <v>41</v>
      </c>
      <c r="S39" s="191" t="s">
        <v>43</v>
      </c>
      <c r="T39" s="191" t="s">
        <v>142</v>
      </c>
      <c r="U39" s="191" t="s">
        <v>4</v>
      </c>
      <c r="V39" s="191" t="s">
        <v>41</v>
      </c>
      <c r="W39" s="191" t="s">
        <v>43</v>
      </c>
      <c r="X39" s="191" t="s">
        <v>142</v>
      </c>
      <c r="Y39" s="191" t="s">
        <v>4</v>
      </c>
      <c r="Z39" s="191" t="s">
        <v>41</v>
      </c>
      <c r="AA39" s="191" t="s">
        <v>43</v>
      </c>
      <c r="AB39" s="191" t="s">
        <v>142</v>
      </c>
      <c r="AC39" s="191" t="s">
        <v>4</v>
      </c>
      <c r="AD39" s="191" t="s">
        <v>41</v>
      </c>
      <c r="AE39" s="191" t="s">
        <v>43</v>
      </c>
      <c r="AF39" s="191" t="s">
        <v>142</v>
      </c>
      <c r="AG39" s="191"/>
      <c r="AH39" s="191"/>
      <c r="AI39" s="191"/>
      <c r="AJ39" s="294">
        <f>IFERROR(COUNTIF(E39:AI39,"=Р")+COUNTIF(E39:AI39,"=Р1")+COUNTIF(E39:AI39,"=ВЧ")+COUNTIF(E39:AI39,"=РН")+COUNTIF(E39:AI39,"=Р2")+COUNTIF(E39:AI39,"=Р1/РВ")+COUNTIF(E39:AI39,"=Р2/РВ")+COUNTIF(E39:AI39,"=ВЧ/РВ")+COUNTIF(E39:AI39,"=РН/РВ"),0)</f>
        <v>21</v>
      </c>
      <c r="AK39" s="211">
        <f>IFERROR(SUMIF(E39:AI39,"=Р2",E40:AI40)+SUMIF(E39:AI39,"=ВЧ/РВ",E40:AI40)+SUMIF(E39:AI39,"=РН/РВ",E40:AI40)+SUMIF(E39:AI39,"=Р1/РВ",E40:AI40)+SUMIF(E39:AI39,"=ВЧ2/РВ",E40:AI40)+SUMIF(E39:AI39,"=Р2/РВ",E40:AI40)+SUMIF(E39:AI39,"=Р",E40:AI40)+SUMIF(E39:AI39,"=Р1",E40:AI40)+SUMIF(E39:AI39,"=ВЧ1",E40:AI40)+SUMIF(E39:AI39,"=РН",E40:AI40)+SUMIF(E39:AI39,"=ВЧ",E40:AI40),0)+AL39</f>
        <v>164</v>
      </c>
      <c r="AL39" s="211">
        <f>IFERROR(SUMIF(E39:AI39,"=НУ",E40:AI40),0)</f>
        <v>0</v>
      </c>
      <c r="AM39" s="211">
        <f>IFERROR(SUMIF(E39:AI39,"=РН",E40:AI40)+SUMIF(E39:AI39,"=РН/РВ",E40:AI40)+SUMIFS(E40:AI40,E39:AI39,"=Р2",E40:AI40,"=8"),0)</f>
        <v>56</v>
      </c>
      <c r="AN39" s="211">
        <f>IFERROR(SUMIF(E39:AI39,"=ВЧ",E40:AI40)+SUMIF(E39:AI39,"=ВЧ/РВ",E40:AI40)+CEILING(COUNTIFS(E39:AI39,"=Р2",E40:AI40,"=7")*4,1)+CEILING(COUNTIFS(E39:AI39,"=Р2/РВ",E40:AI40,"=7")*4,1)+SUMIFS(E40:AI40,E39:AI39,"=Р1/РВ",E40:AI40,"=12")/6+SUMIFS(E40:AI40,E39:AI39,"=ВЧ2/РВ",E40:AI40,"=4")/2+SUMIFS(E40:AI40,E39:AI39,"=Р1",E40:AI40,"=12")/6+SUMIFS(E40:AI40,E39:AI39,"=Р1",E40:AI40,"=8")/4+SUMIF(E39:AI39,"=ВЧ1",E40:AI40)/2,0)</f>
        <v>28</v>
      </c>
      <c r="AO39" s="211">
        <f>IFERROR(SUMIF(E39:AI39,"=РВ",E40:AI40)+SUMIF(E39:AI39,"=ВЧ/РВ",E40:AI40)+SUMIF(E39:AI39,"=РН/РВ",E40:AI40)+SUMIF(E39:AI39,"=Р1/РВ",E40:AI40)+SUMIF(E39:AI39,"=ВЧ2/РВ",E40:AI40)+SUMIF(E39:AI39,"=Р2/РВ",E40:AI40),0)</f>
        <v>0</v>
      </c>
      <c r="AP39" s="211">
        <f>IFERROR(COUNTIF(E39:AI39,"=ВВ")+COUNTIF(E39:AI39,"=Р1/ВВ")+COUNTIF(E39:AI39,"=РН/ВВ")+COUNTIF(E39:AI39,"=ВЧ/ВВ"),0)</f>
        <v>7</v>
      </c>
      <c r="AQ39" s="211">
        <f>SUM(AR39:AZ39)</f>
        <v>0</v>
      </c>
      <c r="AR39" s="211">
        <f>IFERROR(SUMIF(E39:AI39,"=В",E40:AI40)+SUMIF(E39:AI39,"=Ч",E40:AI40)+SUMIF(E39:AI39,"=ВБ",E40:AI40),0)</f>
        <v>0</v>
      </c>
      <c r="AS39" s="211">
        <f>IFERROR(SUMIF(E39:AI39,"=Н",E40:AI40),0)</f>
        <v>0</v>
      </c>
      <c r="AT39" s="211">
        <f>IFERROR(SUMIF(E39:AI39,"=НА",E40:AI40),0)</f>
        <v>0</v>
      </c>
      <c r="AU39" s="211">
        <f>IFERROR(SUMIF(E39:AI39,"=ВП",E40:AI40),0)</f>
        <v>0</v>
      </c>
      <c r="AV39" s="211">
        <f>IFERROR(SUMIF(E39:AI39,"=ДД",E40:AI40),0)</f>
        <v>0</v>
      </c>
      <c r="AW39" s="202">
        <f>IFERROR(SUMIF(E39:AI39,"=ДО",E40:AI40),0)</f>
        <v>0</v>
      </c>
      <c r="AX39" s="211">
        <f>IFERROR(SUMIF(E39:AI39,"=ТН",E40:AI40),0)</f>
        <v>0</v>
      </c>
      <c r="AY39" s="211">
        <f>IFERROR(SUMIF(E39:AI39,"=ВД",E40:AI40),0)</f>
        <v>0</v>
      </c>
      <c r="AZ39" s="312">
        <f>IFERROR(SUMIF(E39:AI39,"=ІН",E40:AI40),0)+SUMIF(E39:AI39,"=НЗ",E40:AI40)</f>
        <v>0</v>
      </c>
    </row>
    <row r="40" spans="1:52" s="177" customFormat="1" ht="20.100000000000001" customHeight="1" thickBot="1" x14ac:dyDescent="0.25">
      <c r="A40" s="290"/>
      <c r="B40" s="229"/>
      <c r="C40" s="229"/>
      <c r="D40" s="229"/>
      <c r="E40" s="192">
        <v>12</v>
      </c>
      <c r="F40" s="192">
        <v>4</v>
      </c>
      <c r="G40" s="192">
        <v>8</v>
      </c>
      <c r="H40" s="192"/>
      <c r="I40" s="192">
        <v>12</v>
      </c>
      <c r="J40" s="192">
        <v>4</v>
      </c>
      <c r="K40" s="192">
        <v>8</v>
      </c>
      <c r="L40" s="192"/>
      <c r="M40" s="192">
        <v>12</v>
      </c>
      <c r="N40" s="192">
        <v>4</v>
      </c>
      <c r="O40" s="192">
        <v>8</v>
      </c>
      <c r="P40" s="192"/>
      <c r="Q40" s="192">
        <v>12</v>
      </c>
      <c r="R40" s="192">
        <v>4</v>
      </c>
      <c r="S40" s="192">
        <v>8</v>
      </c>
      <c r="T40" s="192"/>
      <c r="U40" s="192">
        <v>12</v>
      </c>
      <c r="V40" s="192">
        <v>4</v>
      </c>
      <c r="W40" s="192">
        <v>8</v>
      </c>
      <c r="X40" s="192"/>
      <c r="Y40" s="192">
        <v>8</v>
      </c>
      <c r="Z40" s="192">
        <v>4</v>
      </c>
      <c r="AA40" s="192">
        <v>8</v>
      </c>
      <c r="AB40" s="192"/>
      <c r="AC40" s="192">
        <v>12</v>
      </c>
      <c r="AD40" s="192">
        <v>4</v>
      </c>
      <c r="AE40" s="192">
        <v>8</v>
      </c>
      <c r="AF40" s="192"/>
      <c r="AG40" s="192" t="s">
        <v>491</v>
      </c>
      <c r="AH40" s="192" t="s">
        <v>492</v>
      </c>
      <c r="AI40" s="192" t="s">
        <v>493</v>
      </c>
      <c r="AJ40" s="314"/>
      <c r="AK40" s="212"/>
      <c r="AL40" s="212"/>
      <c r="AM40" s="212"/>
      <c r="AN40" s="212"/>
      <c r="AO40" s="212"/>
      <c r="AP40" s="212"/>
      <c r="AQ40" s="311"/>
      <c r="AR40" s="311"/>
      <c r="AS40" s="311"/>
      <c r="AT40" s="311"/>
      <c r="AU40" s="311"/>
      <c r="AV40" s="311"/>
      <c r="AW40" s="203"/>
      <c r="AX40" s="311"/>
      <c r="AY40" s="311"/>
      <c r="AZ40" s="313"/>
    </row>
    <row r="41" spans="1:52" s="176" customFormat="1" ht="15.75" customHeight="1" x14ac:dyDescent="0.2">
      <c r="A41" s="289">
        <f t="shared" ref="A41" si="10">A39+1</f>
        <v>13</v>
      </c>
      <c r="B41" s="228" t="s">
        <v>360</v>
      </c>
      <c r="C41" s="228">
        <v>472</v>
      </c>
      <c r="D41" s="228" t="s">
        <v>72</v>
      </c>
      <c r="E41" s="191" t="s">
        <v>309</v>
      </c>
      <c r="F41" s="191" t="s">
        <v>43</v>
      </c>
      <c r="G41" s="191" t="s">
        <v>142</v>
      </c>
      <c r="H41" s="191" t="s">
        <v>4</v>
      </c>
      <c r="I41" s="191" t="s">
        <v>41</v>
      </c>
      <c r="J41" s="191" t="s">
        <v>43</v>
      </c>
      <c r="K41" s="191" t="s">
        <v>142</v>
      </c>
      <c r="L41" s="191" t="s">
        <v>4</v>
      </c>
      <c r="M41" s="191" t="s">
        <v>41</v>
      </c>
      <c r="N41" s="191" t="s">
        <v>43</v>
      </c>
      <c r="O41" s="191" t="s">
        <v>142</v>
      </c>
      <c r="P41" s="191" t="s">
        <v>4</v>
      </c>
      <c r="Q41" s="191" t="s">
        <v>41</v>
      </c>
      <c r="R41" s="191" t="s">
        <v>43</v>
      </c>
      <c r="S41" s="191" t="s">
        <v>142</v>
      </c>
      <c r="T41" s="191" t="s">
        <v>4</v>
      </c>
      <c r="U41" s="191" t="s">
        <v>41</v>
      </c>
      <c r="V41" s="191" t="s">
        <v>43</v>
      </c>
      <c r="W41" s="191" t="s">
        <v>142</v>
      </c>
      <c r="X41" s="191" t="s">
        <v>4</v>
      </c>
      <c r="Y41" s="191" t="s">
        <v>41</v>
      </c>
      <c r="Z41" s="191" t="s">
        <v>43</v>
      </c>
      <c r="AA41" s="191" t="s">
        <v>142</v>
      </c>
      <c r="AB41" s="191" t="s">
        <v>4</v>
      </c>
      <c r="AC41" s="191" t="s">
        <v>41</v>
      </c>
      <c r="AD41" s="191" t="s">
        <v>43</v>
      </c>
      <c r="AE41" s="191" t="s">
        <v>142</v>
      </c>
      <c r="AF41" s="191" t="s">
        <v>4</v>
      </c>
      <c r="AG41" s="191"/>
      <c r="AH41" s="191"/>
      <c r="AI41" s="191"/>
      <c r="AJ41" s="294">
        <f>IFERROR(COUNTIF(E41:AI41,"=Р")+COUNTIF(E41:AI41,"=Р1")+COUNTIF(E41:AI41,"=ВЧ")+COUNTIF(E41:AI41,"=РН")+COUNTIF(E41:AI41,"=Р2")+COUNTIF(E41:AI41,"=Р1/РВ")+COUNTIF(E41:AI41,"=Р2/РВ")+COUNTIF(E41:AI41,"=ВЧ/РВ")+COUNTIF(E41:AI41,"=РН/РВ"),0)</f>
        <v>20</v>
      </c>
      <c r="AK41" s="211">
        <f>IFERROR(SUMIF(E41:AI41,"=Р2",E42:AI42)+SUMIF(E41:AI41,"=ВЧ/РВ",E42:AI42)+SUMIF(E41:AI41,"=РН/РВ",E42:AI42)+SUMIF(E41:AI41,"=Р1/РВ",E42:AI42)+SUMIF(E41:AI41,"=ВЧ2/РВ",E42:AI42)+SUMIF(E41:AI41,"=Р2/РВ",E42:AI42)+SUMIF(E41:AI41,"=Р",E42:AI42)+SUMIF(E41:AI41,"=Р1",E42:AI42)+SUMIF(E41:AI41,"=ВЧ1",E42:AI42)+SUMIF(E41:AI41,"=РН",E42:AI42)+SUMIF(E41:AI41,"=ВЧ",E42:AI42),0)+AL41</f>
        <v>164</v>
      </c>
      <c r="AL41" s="211">
        <f>IFERROR(SUMIF(E41:AI41,"=НУ",E42:AI42),0)</f>
        <v>0</v>
      </c>
      <c r="AM41" s="211">
        <f>IFERROR(SUMIF(E41:AI41,"=РН",E42:AI42)+SUMIF(E41:AI41,"=РН/РВ",E42:AI42)+SUMIFS(E42:AI42,E41:AI41,"=Р2",E42:AI42,"=8"),0)</f>
        <v>56</v>
      </c>
      <c r="AN41" s="211">
        <f>IFERROR(SUMIF(E41:AI41,"=ВЧ",E42:AI42)+SUMIF(E41:AI41,"=ВЧ/РВ",E42:AI42)+CEILING(COUNTIFS(E41:AI41,"=Р2",E42:AI42,"=7")*4,1)+CEILING(COUNTIFS(E41:AI41,"=Р2/РВ",E42:AI42,"=7")*4,1)+SUMIFS(E42:AI42,E41:AI41,"=Р1/РВ",E42:AI42,"=12")/6+SUMIFS(E42:AI42,E41:AI41,"=ВЧ2/РВ",E42:AI42,"=4")/2+SUMIFS(E42:AI42,E41:AI41,"=Р1",E42:AI42,"=12")/6+SUMIFS(E42:AI42,E41:AI41,"=Р1",E42:AI42,"=8")/4+SUMIF(E41:AI41,"=ВЧ1",E42:AI42)/2,0)</f>
        <v>26</v>
      </c>
      <c r="AO41" s="211">
        <f>IFERROR(SUMIF(E41:AI41,"=РВ",E42:AI42)+SUMIF(E41:AI41,"=ВЧ/РВ",E42:AI42)+SUMIF(E41:AI41,"=РН/РВ",E42:AI42)+SUMIF(E41:AI41,"=Р1/РВ",E42:AI42)+SUMIF(E41:AI41,"=ВЧ2/РВ",E42:AI42)+SUMIF(E41:AI41,"=Р2/РВ",E42:AI42),0)</f>
        <v>0</v>
      </c>
      <c r="AP41" s="211">
        <f>IFERROR(COUNTIF(E41:AI41,"=ВВ")+COUNTIF(E41:AI41,"=Р1/ВВ")+COUNTIF(E41:AI41,"=РН/ВВ")+COUNTIF(E41:AI41,"=ВЧ/ВВ"),0)</f>
        <v>7</v>
      </c>
      <c r="AQ41" s="211">
        <f>SUM(AR41:AZ41)</f>
        <v>0</v>
      </c>
      <c r="AR41" s="211">
        <f>IFERROR(SUMIF(E41:AI41,"=В",E42:AI42)+SUMIF(E41:AI41,"=Ч",E42:AI42)+SUMIF(E41:AI41,"=ВБ",E42:AI42),0)</f>
        <v>0</v>
      </c>
      <c r="AS41" s="211">
        <f>IFERROR(SUMIF(E41:AI41,"=Н",E42:AI42),0)</f>
        <v>0</v>
      </c>
      <c r="AT41" s="211">
        <f>IFERROR(SUMIF(E41:AI41,"=НА",E42:AI42),0)</f>
        <v>0</v>
      </c>
      <c r="AU41" s="211">
        <f>IFERROR(SUMIF(E41:AI41,"=ВП",E42:AI42),0)</f>
        <v>0</v>
      </c>
      <c r="AV41" s="211">
        <f>IFERROR(SUMIF(E41:AI41,"=ДД",E42:AI42),0)</f>
        <v>0</v>
      </c>
      <c r="AW41" s="202">
        <f>IFERROR(SUMIF(E41:AI41,"=ДО",E42:AI42),0)</f>
        <v>0</v>
      </c>
      <c r="AX41" s="211">
        <f>IFERROR(SUMIF(E41:AI41,"=ТН",E42:AI42),0)</f>
        <v>0</v>
      </c>
      <c r="AY41" s="211">
        <f>IFERROR(SUMIF(E41:AI41,"=ВД",E42:AI42),0)</f>
        <v>0</v>
      </c>
      <c r="AZ41" s="312">
        <f>IFERROR(SUMIF(E41:AI41,"=ІН",E42:AI42),0)+SUMIF(E41:AI41,"=НЗ",E42:AI42)</f>
        <v>0</v>
      </c>
    </row>
    <row r="42" spans="1:52" s="176" customFormat="1" ht="20.100000000000001" customHeight="1" thickBot="1" x14ac:dyDescent="0.25">
      <c r="A42" s="290"/>
      <c r="B42" s="229"/>
      <c r="C42" s="229"/>
      <c r="D42" s="229"/>
      <c r="E42" s="192">
        <v>4</v>
      </c>
      <c r="F42" s="192">
        <v>8</v>
      </c>
      <c r="G42" s="192"/>
      <c r="H42" s="192">
        <v>12</v>
      </c>
      <c r="I42" s="192">
        <v>4</v>
      </c>
      <c r="J42" s="192">
        <v>8</v>
      </c>
      <c r="K42" s="192"/>
      <c r="L42" s="192">
        <v>12</v>
      </c>
      <c r="M42" s="192">
        <v>4</v>
      </c>
      <c r="N42" s="192">
        <v>8</v>
      </c>
      <c r="O42" s="192"/>
      <c r="P42" s="192">
        <v>12</v>
      </c>
      <c r="Q42" s="192">
        <v>4</v>
      </c>
      <c r="R42" s="192">
        <v>8</v>
      </c>
      <c r="S42" s="192"/>
      <c r="T42" s="192">
        <v>12</v>
      </c>
      <c r="U42" s="192">
        <v>4</v>
      </c>
      <c r="V42" s="192">
        <v>8</v>
      </c>
      <c r="W42" s="192"/>
      <c r="X42" s="192">
        <v>12</v>
      </c>
      <c r="Y42" s="192">
        <v>4</v>
      </c>
      <c r="Z42" s="192">
        <v>8</v>
      </c>
      <c r="AA42" s="192"/>
      <c r="AB42" s="192">
        <v>8</v>
      </c>
      <c r="AC42" s="192">
        <v>4</v>
      </c>
      <c r="AD42" s="192">
        <v>8</v>
      </c>
      <c r="AE42" s="192"/>
      <c r="AF42" s="192">
        <v>12</v>
      </c>
      <c r="AG42" s="192" t="s">
        <v>491</v>
      </c>
      <c r="AH42" s="192" t="s">
        <v>492</v>
      </c>
      <c r="AI42" s="192" t="s">
        <v>493</v>
      </c>
      <c r="AJ42" s="314"/>
      <c r="AK42" s="212"/>
      <c r="AL42" s="212"/>
      <c r="AM42" s="212"/>
      <c r="AN42" s="212"/>
      <c r="AO42" s="212"/>
      <c r="AP42" s="212"/>
      <c r="AQ42" s="311"/>
      <c r="AR42" s="311"/>
      <c r="AS42" s="311"/>
      <c r="AT42" s="311"/>
      <c r="AU42" s="311"/>
      <c r="AV42" s="311"/>
      <c r="AW42" s="203"/>
      <c r="AX42" s="311"/>
      <c r="AY42" s="311"/>
      <c r="AZ42" s="313"/>
    </row>
    <row r="43" spans="1:52" s="177" customFormat="1" ht="15.75" customHeight="1" x14ac:dyDescent="0.2">
      <c r="A43" s="289">
        <f t="shared" ref="A43" si="11">A41+1</f>
        <v>14</v>
      </c>
      <c r="B43" s="228" t="s">
        <v>440</v>
      </c>
      <c r="C43" s="228">
        <v>1032</v>
      </c>
      <c r="D43" s="228" t="s">
        <v>72</v>
      </c>
      <c r="E43" s="191" t="s">
        <v>4</v>
      </c>
      <c r="F43" s="191" t="s">
        <v>41</v>
      </c>
      <c r="G43" s="191" t="s">
        <v>43</v>
      </c>
      <c r="H43" s="191" t="s">
        <v>142</v>
      </c>
      <c r="I43" s="191" t="s">
        <v>4</v>
      </c>
      <c r="J43" s="191" t="s">
        <v>41</v>
      </c>
      <c r="K43" s="191" t="s">
        <v>43</v>
      </c>
      <c r="L43" s="191" t="s">
        <v>142</v>
      </c>
      <c r="M43" s="191" t="s">
        <v>4</v>
      </c>
      <c r="N43" s="191" t="s">
        <v>41</v>
      </c>
      <c r="O43" s="191" t="s">
        <v>43</v>
      </c>
      <c r="P43" s="191" t="s">
        <v>142</v>
      </c>
      <c r="Q43" s="191" t="s">
        <v>4</v>
      </c>
      <c r="R43" s="191" t="s">
        <v>41</v>
      </c>
      <c r="S43" s="191" t="s">
        <v>43</v>
      </c>
      <c r="T43" s="191" t="s">
        <v>142</v>
      </c>
      <c r="U43" s="191" t="s">
        <v>4</v>
      </c>
      <c r="V43" s="191" t="s">
        <v>41</v>
      </c>
      <c r="W43" s="191" t="s">
        <v>43</v>
      </c>
      <c r="X43" s="191" t="s">
        <v>142</v>
      </c>
      <c r="Y43" s="191" t="s">
        <v>4</v>
      </c>
      <c r="Z43" s="191" t="s">
        <v>41</v>
      </c>
      <c r="AA43" s="191" t="s">
        <v>43</v>
      </c>
      <c r="AB43" s="191" t="s">
        <v>142</v>
      </c>
      <c r="AC43" s="191" t="s">
        <v>4</v>
      </c>
      <c r="AD43" s="191" t="s">
        <v>41</v>
      </c>
      <c r="AE43" s="191" t="s">
        <v>43</v>
      </c>
      <c r="AF43" s="191" t="s">
        <v>142</v>
      </c>
      <c r="AG43" s="191"/>
      <c r="AH43" s="191"/>
      <c r="AI43" s="191"/>
      <c r="AJ43" s="294">
        <f>IFERROR(COUNTIF(E43:AI43,"=Р")+COUNTIF(E43:AI43,"=Р1")+COUNTIF(E43:AI43,"=ВЧ")+COUNTIF(E43:AI43,"=РН")+COUNTIF(E43:AI43,"=Р2")+COUNTIF(E43:AI43,"=Р1/РВ")+COUNTIF(E43:AI43,"=Р2/РВ")+COUNTIF(E43:AI43,"=ВЧ/РВ")+COUNTIF(E43:AI43,"=РН/РВ"),0)</f>
        <v>21</v>
      </c>
      <c r="AK43" s="211">
        <f>IFERROR(SUMIF(E43:AI43,"=Р2",E44:AI44)+SUMIF(E43:AI43,"=ВЧ/РВ",E44:AI44)+SUMIF(E43:AI43,"=РН/РВ",E44:AI44)+SUMIF(E43:AI43,"=Р1/РВ",E44:AI44)+SUMIF(E43:AI43,"=ВЧ2/РВ",E44:AI44)+SUMIF(E43:AI43,"=Р2/РВ",E44:AI44)+SUMIF(E43:AI43,"=Р",E44:AI44)+SUMIF(E43:AI43,"=Р1",E44:AI44)+SUMIF(E43:AI43,"=ВЧ1",E44:AI44)+SUMIF(E43:AI43,"=РН",E44:AI44)+SUMIF(E43:AI43,"=ВЧ",E44:AI44),0)+AL43</f>
        <v>164</v>
      </c>
      <c r="AL43" s="211">
        <f>IFERROR(SUMIF(E43:AI43,"=НУ",E44:AI44),0)</f>
        <v>0</v>
      </c>
      <c r="AM43" s="211">
        <f>IFERROR(SUMIF(E43:AI43,"=РН",E44:AI44)+SUMIF(E43:AI43,"=РН/РВ",E44:AI44)+SUMIFS(E44:AI44,E43:AI43,"=Р2",E44:AI44,"=8"),0)</f>
        <v>56</v>
      </c>
      <c r="AN43" s="211">
        <f>IFERROR(SUMIF(E43:AI43,"=ВЧ",E44:AI44)+SUMIF(E43:AI43,"=ВЧ/РВ",E44:AI44)+CEILING(COUNTIFS(E43:AI43,"=Р2",E44:AI44,"=7")*4,1)+CEILING(COUNTIFS(E43:AI43,"=Р2/РВ",E44:AI44,"=7")*4,1)+SUMIFS(E44:AI44,E43:AI43,"=Р1/РВ",E44:AI44,"=12")/6+SUMIFS(E44:AI44,E43:AI43,"=ВЧ2/РВ",E44:AI44,"=4")/2+SUMIFS(E44:AI44,E43:AI43,"=Р1",E44:AI44,"=12")/6+SUMIFS(E44:AI44,E43:AI43,"=Р1",E44:AI44,"=8")/4+SUMIF(E43:AI43,"=ВЧ1",E44:AI44)/2,0)</f>
        <v>28</v>
      </c>
      <c r="AO43" s="211">
        <f>IFERROR(SUMIF(E43:AI43,"=РВ",E44:AI44)+SUMIF(E43:AI43,"=ВЧ/РВ",E44:AI44)+SUMIF(E43:AI43,"=РН/РВ",E44:AI44)+SUMIF(E43:AI43,"=Р1/РВ",E44:AI44)+SUMIF(E43:AI43,"=ВЧ2/РВ",E44:AI44)+SUMIF(E43:AI43,"=Р2/РВ",E44:AI44),0)</f>
        <v>0</v>
      </c>
      <c r="AP43" s="211">
        <f>IFERROR(COUNTIF(E43:AI43,"=ВВ")+COUNTIF(E43:AI43,"=Р1/ВВ")+COUNTIF(E43:AI43,"=РН/ВВ")+COUNTIF(E43:AI43,"=ВЧ/ВВ"),0)</f>
        <v>7</v>
      </c>
      <c r="AQ43" s="211">
        <f>SUM(AR43:AZ43)</f>
        <v>0</v>
      </c>
      <c r="AR43" s="211">
        <f>IFERROR(SUMIF(E43:AI43,"=В",E44:AI44)+SUMIF(E43:AI43,"=Ч",E44:AI44)+SUMIF(E43:AI43,"=ВБ",E44:AI44),0)</f>
        <v>0</v>
      </c>
      <c r="AS43" s="211">
        <f>IFERROR(SUMIF(E43:AI43,"=Н",E44:AI44),0)</f>
        <v>0</v>
      </c>
      <c r="AT43" s="211">
        <f>IFERROR(SUMIF(E43:AI43,"=НА",E44:AI44),0)</f>
        <v>0</v>
      </c>
      <c r="AU43" s="211">
        <f>IFERROR(SUMIF(E43:AI43,"=ВП",E44:AI44),0)</f>
        <v>0</v>
      </c>
      <c r="AV43" s="211">
        <f>IFERROR(SUMIF(E43:AI43,"=ДД",E44:AI44),0)</f>
        <v>0</v>
      </c>
      <c r="AW43" s="202">
        <f>IFERROR(SUMIF(E43:AI43,"=ДО",E44:AI44),0)</f>
        <v>0</v>
      </c>
      <c r="AX43" s="211">
        <f>IFERROR(SUMIF(E43:AI43,"=ТН",E44:AI44),0)</f>
        <v>0</v>
      </c>
      <c r="AY43" s="211">
        <f>IFERROR(SUMIF(E43:AI43,"=ВД",E44:AI44),0)</f>
        <v>0</v>
      </c>
      <c r="AZ43" s="312">
        <f>IFERROR(SUMIF(E43:AI43,"=ІН",E44:AI44),0)+SUMIF(E43:AI43,"=НЗ",E44:AI44)</f>
        <v>0</v>
      </c>
    </row>
    <row r="44" spans="1:52" s="177" customFormat="1" ht="20.100000000000001" customHeight="1" thickBot="1" x14ac:dyDescent="0.25">
      <c r="A44" s="290"/>
      <c r="B44" s="229"/>
      <c r="C44" s="229"/>
      <c r="D44" s="229"/>
      <c r="E44" s="192">
        <v>12</v>
      </c>
      <c r="F44" s="192">
        <v>4</v>
      </c>
      <c r="G44" s="192">
        <v>8</v>
      </c>
      <c r="H44" s="192"/>
      <c r="I44" s="192">
        <v>12</v>
      </c>
      <c r="J44" s="192">
        <v>4</v>
      </c>
      <c r="K44" s="192">
        <v>8</v>
      </c>
      <c r="L44" s="192"/>
      <c r="M44" s="192">
        <v>12</v>
      </c>
      <c r="N44" s="192">
        <v>4</v>
      </c>
      <c r="O44" s="192">
        <v>8</v>
      </c>
      <c r="P44" s="192"/>
      <c r="Q44" s="192">
        <v>12</v>
      </c>
      <c r="R44" s="192">
        <v>4</v>
      </c>
      <c r="S44" s="192">
        <v>8</v>
      </c>
      <c r="T44" s="192"/>
      <c r="U44" s="192">
        <v>12</v>
      </c>
      <c r="V44" s="192">
        <v>4</v>
      </c>
      <c r="W44" s="192">
        <v>8</v>
      </c>
      <c r="X44" s="192"/>
      <c r="Y44" s="192">
        <v>8</v>
      </c>
      <c r="Z44" s="192">
        <v>4</v>
      </c>
      <c r="AA44" s="192">
        <v>8</v>
      </c>
      <c r="AB44" s="192"/>
      <c r="AC44" s="192">
        <v>12</v>
      </c>
      <c r="AD44" s="192">
        <v>4</v>
      </c>
      <c r="AE44" s="192">
        <v>8</v>
      </c>
      <c r="AF44" s="192"/>
      <c r="AG44" s="192" t="s">
        <v>491</v>
      </c>
      <c r="AH44" s="192" t="s">
        <v>492</v>
      </c>
      <c r="AI44" s="192" t="s">
        <v>493</v>
      </c>
      <c r="AJ44" s="314"/>
      <c r="AK44" s="212"/>
      <c r="AL44" s="212"/>
      <c r="AM44" s="212"/>
      <c r="AN44" s="212"/>
      <c r="AO44" s="212"/>
      <c r="AP44" s="212"/>
      <c r="AQ44" s="311"/>
      <c r="AR44" s="311"/>
      <c r="AS44" s="311"/>
      <c r="AT44" s="311"/>
      <c r="AU44" s="311"/>
      <c r="AV44" s="311"/>
      <c r="AW44" s="203"/>
      <c r="AX44" s="311"/>
      <c r="AY44" s="311"/>
      <c r="AZ44" s="313"/>
    </row>
    <row r="45" spans="1:52" s="176" customFormat="1" ht="15.75" customHeight="1" x14ac:dyDescent="0.2">
      <c r="A45" s="289">
        <f t="shared" ref="A45" si="12">A43+1</f>
        <v>15</v>
      </c>
      <c r="B45" s="228" t="s">
        <v>359</v>
      </c>
      <c r="C45" s="228">
        <v>2063</v>
      </c>
      <c r="D45" s="228" t="s">
        <v>72</v>
      </c>
      <c r="E45" s="191" t="s">
        <v>309</v>
      </c>
      <c r="F45" s="191" t="s">
        <v>43</v>
      </c>
      <c r="G45" s="191" t="s">
        <v>142</v>
      </c>
      <c r="H45" s="191" t="s">
        <v>4</v>
      </c>
      <c r="I45" s="191" t="s">
        <v>41</v>
      </c>
      <c r="J45" s="191" t="s">
        <v>43</v>
      </c>
      <c r="K45" s="191" t="s">
        <v>142</v>
      </c>
      <c r="L45" s="191" t="s">
        <v>4</v>
      </c>
      <c r="M45" s="191" t="s">
        <v>41</v>
      </c>
      <c r="N45" s="191" t="s">
        <v>43</v>
      </c>
      <c r="O45" s="191" t="s">
        <v>142</v>
      </c>
      <c r="P45" s="191" t="s">
        <v>4</v>
      </c>
      <c r="Q45" s="191" t="s">
        <v>41</v>
      </c>
      <c r="R45" s="191" t="s">
        <v>43</v>
      </c>
      <c r="S45" s="191" t="s">
        <v>142</v>
      </c>
      <c r="T45" s="191" t="s">
        <v>4</v>
      </c>
      <c r="U45" s="191" t="s">
        <v>41</v>
      </c>
      <c r="V45" s="191" t="s">
        <v>43</v>
      </c>
      <c r="W45" s="191" t="s">
        <v>45</v>
      </c>
      <c r="X45" s="191" t="s">
        <v>4</v>
      </c>
      <c r="Y45" s="191" t="s">
        <v>41</v>
      </c>
      <c r="Z45" s="191" t="s">
        <v>43</v>
      </c>
      <c r="AA45" s="191" t="s">
        <v>142</v>
      </c>
      <c r="AB45" s="191" t="s">
        <v>4</v>
      </c>
      <c r="AC45" s="191" t="s">
        <v>41</v>
      </c>
      <c r="AD45" s="191" t="s">
        <v>43</v>
      </c>
      <c r="AE45" s="191" t="s">
        <v>142</v>
      </c>
      <c r="AF45" s="191" t="s">
        <v>4</v>
      </c>
      <c r="AG45" s="191" t="s">
        <v>41</v>
      </c>
      <c r="AH45" s="191" t="s">
        <v>43</v>
      </c>
      <c r="AI45" s="191" t="s">
        <v>142</v>
      </c>
      <c r="AJ45" s="294">
        <f>IFERROR(COUNTIF(E45:AI45,"=Р")+COUNTIF(E45:AI45,"=Р1")+COUNTIF(E45:AI45,"=ВЧ")+COUNTIF(E45:AI45,"=РН")+COUNTIF(E45:AI45,"=Р2")+COUNTIF(E45:AI45,"=Р1/РВ")+COUNTIF(E45:AI45,"=Р2/РВ")+COUNTIF(E45:AI45,"=ВЧ/РВ")+COUNTIF(E45:AI45,"=РН/РВ"),0)</f>
        <v>22</v>
      </c>
      <c r="AK45" s="211">
        <f>IFERROR(SUMIF(E45:AI45,"=Р2",E46:AI46)+SUMIF(E45:AI45,"=ВЧ/РВ",E46:AI46)+SUMIF(E45:AI45,"=РН/РВ",E46:AI46)+SUMIF(E45:AI45,"=Р1/РВ",E46:AI46)+SUMIF(E45:AI45,"=ВЧ2/РВ",E46:AI46)+SUMIF(E45:AI45,"=Р2/РВ",E46:AI46)+SUMIF(E45:AI45,"=Р",E46:AI46)+SUMIF(E45:AI45,"=Р1",E46:AI46)+SUMIF(E45:AI45,"=ВЧ1",E46:AI46)+SUMIF(E45:AI45,"=РН",E46:AI46)+SUMIF(E45:AI45,"=ВЧ",E46:AI46),0)+AL45</f>
        <v>180</v>
      </c>
      <c r="AL45" s="211">
        <f>IFERROR(SUMIF(E45:AI45,"=НУ",E46:AI46),0)</f>
        <v>12</v>
      </c>
      <c r="AM45" s="211">
        <f>IFERROR(SUMIF(E45:AI45,"=РН",E46:AI46)+SUMIF(E45:AI45,"=РН/РВ",E46:AI46)+SUMIFS(E46:AI46,E45:AI45,"=Р2",E46:AI46,"=8"),0)</f>
        <v>64</v>
      </c>
      <c r="AN45" s="211">
        <f>IFERROR(SUMIF(E45:AI45,"=ВЧ",E46:AI46)+SUMIF(E45:AI45,"=ВЧ/РВ",E46:AI46)+CEILING(COUNTIFS(E45:AI45,"=Р2",E46:AI46,"=7")*4,1)+CEILING(COUNTIFS(E45:AI45,"=Р2/РВ",E46:AI46,"=7")*4,1)+SUMIFS(E46:AI46,E45:AI45,"=Р1/РВ",E46:AI46,"=12")/6+SUMIFS(E46:AI46,E45:AI45,"=ВЧ2/РВ",E46:AI46,"=4")/2+SUMIFS(E46:AI46,E45:AI45,"=Р1",E46:AI46,"=12")/6+SUMIFS(E46:AI46,E45:AI45,"=Р1",E46:AI46,"=8")/4+SUMIF(E45:AI45,"=ВЧ1",E46:AI46)/2,0)</f>
        <v>30</v>
      </c>
      <c r="AO45" s="211">
        <f>IFERROR(SUMIF(E45:AI45,"=РВ",E46:AI46)+SUMIF(E45:AI45,"=ВЧ/РВ",E46:AI46)+SUMIF(E45:AI45,"=РН/РВ",E46:AI46)+SUMIF(E45:AI45,"=Р1/РВ",E46:AI46)+SUMIF(E45:AI45,"=ВЧ2/РВ",E46:AI46)+SUMIF(E45:AI45,"=Р2/РВ",E46:AI46),0)</f>
        <v>0</v>
      </c>
      <c r="AP45" s="211">
        <f>IFERROR(COUNTIF(E45:AI45,"=ВВ")+COUNTIF(E45:AI45,"=Р1/ВВ")+COUNTIF(E45:AI45,"=РН/ВВ")+COUNTIF(E45:AI45,"=ВЧ/ВВ"),0)</f>
        <v>7</v>
      </c>
      <c r="AQ45" s="211">
        <f>SUM(AR45:AZ45)</f>
        <v>0</v>
      </c>
      <c r="AR45" s="211">
        <f>IFERROR(SUMIF(E45:AI45,"=В",E46:AI46)+SUMIF(E45:AI45,"=Ч",E46:AI46)+SUMIF(E45:AI45,"=ВБ",E46:AI46),0)</f>
        <v>0</v>
      </c>
      <c r="AS45" s="211">
        <f>IFERROR(SUMIF(E45:AI45,"=Н",E46:AI46),0)</f>
        <v>0</v>
      </c>
      <c r="AT45" s="211">
        <f>IFERROR(SUMIF(E45:AI45,"=НА",E46:AI46),0)</f>
        <v>0</v>
      </c>
      <c r="AU45" s="211">
        <f>IFERROR(SUMIF(E45:AI45,"=ВП",E46:AI46),0)</f>
        <v>0</v>
      </c>
      <c r="AV45" s="211">
        <f>IFERROR(SUMIF(E45:AI45,"=ДД",E46:AI46),0)</f>
        <v>0</v>
      </c>
      <c r="AW45" s="202">
        <f>IFERROR(SUMIF(E45:AI45,"=ДО",E46:AI46),0)</f>
        <v>0</v>
      </c>
      <c r="AX45" s="211">
        <f>IFERROR(SUMIF(E45:AI45,"=ТН",E46:AI46),0)</f>
        <v>0</v>
      </c>
      <c r="AY45" s="211">
        <f>IFERROR(SUMIF(E45:AI45,"=ВД",E46:AI46),0)</f>
        <v>0</v>
      </c>
      <c r="AZ45" s="312">
        <f>IFERROR(SUMIF(E45:AI45,"=ІН",E46:AI46),0)+SUMIF(E45:AI45,"=НЗ",E46:AI46)</f>
        <v>0</v>
      </c>
    </row>
    <row r="46" spans="1:52" s="176" customFormat="1" ht="20.100000000000001" customHeight="1" thickBot="1" x14ac:dyDescent="0.25">
      <c r="A46" s="290"/>
      <c r="B46" s="229"/>
      <c r="C46" s="229"/>
      <c r="D46" s="229"/>
      <c r="E46" s="192">
        <v>4</v>
      </c>
      <c r="F46" s="192">
        <v>8</v>
      </c>
      <c r="G46" s="192"/>
      <c r="H46" s="192">
        <v>12</v>
      </c>
      <c r="I46" s="192">
        <v>4</v>
      </c>
      <c r="J46" s="192">
        <v>8</v>
      </c>
      <c r="K46" s="192"/>
      <c r="L46" s="192">
        <v>6</v>
      </c>
      <c r="M46" s="192">
        <v>4</v>
      </c>
      <c r="N46" s="192">
        <v>8</v>
      </c>
      <c r="O46" s="192"/>
      <c r="P46" s="192">
        <v>6</v>
      </c>
      <c r="Q46" s="192">
        <v>4</v>
      </c>
      <c r="R46" s="192">
        <v>8</v>
      </c>
      <c r="S46" s="192"/>
      <c r="T46" s="192">
        <v>12</v>
      </c>
      <c r="U46" s="192">
        <v>4</v>
      </c>
      <c r="V46" s="192">
        <v>8</v>
      </c>
      <c r="W46" s="192">
        <v>12</v>
      </c>
      <c r="X46" s="192">
        <v>12</v>
      </c>
      <c r="Y46" s="192">
        <v>4</v>
      </c>
      <c r="Z46" s="192">
        <v>8</v>
      </c>
      <c r="AA46" s="192"/>
      <c r="AB46" s="192">
        <v>12</v>
      </c>
      <c r="AC46" s="192">
        <v>4</v>
      </c>
      <c r="AD46" s="192">
        <v>8</v>
      </c>
      <c r="AE46" s="192"/>
      <c r="AF46" s="192">
        <v>12</v>
      </c>
      <c r="AG46" s="192">
        <v>4</v>
      </c>
      <c r="AH46" s="192">
        <v>8</v>
      </c>
      <c r="AI46" s="192"/>
      <c r="AJ46" s="314"/>
      <c r="AK46" s="212"/>
      <c r="AL46" s="212"/>
      <c r="AM46" s="212"/>
      <c r="AN46" s="212"/>
      <c r="AO46" s="212"/>
      <c r="AP46" s="212"/>
      <c r="AQ46" s="311"/>
      <c r="AR46" s="311"/>
      <c r="AS46" s="311"/>
      <c r="AT46" s="311"/>
      <c r="AU46" s="311"/>
      <c r="AV46" s="311"/>
      <c r="AW46" s="203"/>
      <c r="AX46" s="311"/>
      <c r="AY46" s="311"/>
      <c r="AZ46" s="313"/>
    </row>
    <row r="47" spans="1:52" s="176" customFormat="1" ht="15.75" customHeight="1" x14ac:dyDescent="0.2">
      <c r="A47" s="289">
        <f t="shared" ref="A47" si="13">A45+1</f>
        <v>16</v>
      </c>
      <c r="B47" s="228" t="s">
        <v>364</v>
      </c>
      <c r="C47" s="228">
        <v>2221</v>
      </c>
      <c r="D47" s="228" t="s">
        <v>72</v>
      </c>
      <c r="E47" s="191" t="s">
        <v>4</v>
      </c>
      <c r="F47" s="191" t="s">
        <v>41</v>
      </c>
      <c r="G47" s="191" t="s">
        <v>43</v>
      </c>
      <c r="H47" s="191" t="s">
        <v>142</v>
      </c>
      <c r="I47" s="191" t="s">
        <v>4</v>
      </c>
      <c r="J47" s="191" t="s">
        <v>41</v>
      </c>
      <c r="K47" s="191" t="s">
        <v>43</v>
      </c>
      <c r="L47" s="191" t="s">
        <v>142</v>
      </c>
      <c r="M47" s="191" t="s">
        <v>4</v>
      </c>
      <c r="N47" s="191" t="s">
        <v>41</v>
      </c>
      <c r="O47" s="191" t="s">
        <v>43</v>
      </c>
      <c r="P47" s="191" t="s">
        <v>142</v>
      </c>
      <c r="Q47" s="191" t="s">
        <v>4</v>
      </c>
      <c r="R47" s="191" t="s">
        <v>41</v>
      </c>
      <c r="S47" s="191" t="s">
        <v>43</v>
      </c>
      <c r="T47" s="191" t="s">
        <v>45</v>
      </c>
      <c r="U47" s="191" t="s">
        <v>4</v>
      </c>
      <c r="V47" s="191" t="s">
        <v>41</v>
      </c>
      <c r="W47" s="191" t="s">
        <v>43</v>
      </c>
      <c r="X47" s="191" t="s">
        <v>142</v>
      </c>
      <c r="Y47" s="191" t="s">
        <v>4</v>
      </c>
      <c r="Z47" s="191" t="s">
        <v>41</v>
      </c>
      <c r="AA47" s="191" t="s">
        <v>43</v>
      </c>
      <c r="AB47" s="191" t="s">
        <v>142</v>
      </c>
      <c r="AC47" s="191" t="s">
        <v>4</v>
      </c>
      <c r="AD47" s="191" t="s">
        <v>41</v>
      </c>
      <c r="AE47" s="191" t="s">
        <v>43</v>
      </c>
      <c r="AF47" s="191" t="s">
        <v>142</v>
      </c>
      <c r="AG47" s="191" t="s">
        <v>4</v>
      </c>
      <c r="AH47" s="191" t="s">
        <v>41</v>
      </c>
      <c r="AI47" s="191" t="s">
        <v>43</v>
      </c>
      <c r="AJ47" s="294">
        <f>IFERROR(COUNTIF(E47:AI47,"=Р")+COUNTIF(E47:AI47,"=Р1")+COUNTIF(E47:AI47,"=ВЧ")+COUNTIF(E47:AI47,"=РН")+COUNTIF(E47:AI47,"=Р2")+COUNTIF(E47:AI47,"=Р1/РВ")+COUNTIF(E47:AI47,"=Р2/РВ")+COUNTIF(E47:AI47,"=ВЧ/РВ")+COUNTIF(E47:AI47,"=РН/РВ"),0)</f>
        <v>24</v>
      </c>
      <c r="AK47" s="211">
        <f>IFERROR(SUMIF(E47:AI47,"=Р2",E48:AI48)+SUMIF(E47:AI47,"=ВЧ/РВ",E48:AI48)+SUMIF(E47:AI47,"=РН/РВ",E48:AI48)+SUMIF(E47:AI47,"=Р1/РВ",E48:AI48)+SUMIF(E47:AI47,"=ВЧ2/РВ",E48:AI48)+SUMIF(E47:AI47,"=Р2/РВ",E48:AI48)+SUMIF(E47:AI47,"=Р",E48:AI48)+SUMIF(E47:AI47,"=Р1",E48:AI48)+SUMIF(E47:AI47,"=ВЧ1",E48:AI48)+SUMIF(E47:AI47,"=РН",E48:AI48)+SUMIF(E47:AI47,"=ВЧ",E48:AI48),0)+AL47</f>
        <v>192</v>
      </c>
      <c r="AL47" s="211">
        <f>IFERROR(SUMIF(E47:AI47,"=НУ",E48:AI48),0)</f>
        <v>24</v>
      </c>
      <c r="AM47" s="211">
        <f>IFERROR(SUMIF(E47:AI47,"=РН",E48:AI48)+SUMIF(E47:AI47,"=РН/РВ",E48:AI48)+SUMIFS(E48:AI48,E47:AI47,"=Р2",E48:AI48,"=8"),0)</f>
        <v>64</v>
      </c>
      <c r="AN47" s="211">
        <f>IFERROR(SUMIF(E47:AI47,"=ВЧ",E48:AI48)+SUMIF(E47:AI47,"=ВЧ/РВ",E48:AI48)+CEILING(COUNTIFS(E47:AI47,"=Р2",E48:AI48,"=7")*4,1)+CEILING(COUNTIFS(E47:AI47,"=Р2/РВ",E48:AI48,"=7")*4,1)+SUMIFS(E48:AI48,E47:AI47,"=Р1/РВ",E48:AI48,"=12")/6+SUMIFS(E48:AI48,E47:AI47,"=ВЧ2/РВ",E48:AI48,"=4")/2+SUMIFS(E48:AI48,E47:AI47,"=Р1",E48:AI48,"=12")/6+SUMIFS(E48:AI48,E47:AI47,"=Р1",E48:AI48,"=8")/4+SUMIF(E47:AI47,"=ВЧ1",E48:AI48)/2,0)</f>
        <v>32</v>
      </c>
      <c r="AO47" s="211">
        <f>IFERROR(SUMIF(E47:AI47,"=РВ",E48:AI48)+SUMIF(E47:AI47,"=ВЧ/РВ",E48:AI48)+SUMIF(E47:AI47,"=РН/РВ",E48:AI48)+SUMIF(E47:AI47,"=Р1/РВ",E48:AI48)+SUMIF(E47:AI47,"=ВЧ2/РВ",E48:AI48)+SUMIF(E47:AI47,"=Р2/РВ",E48:AI48),0)</f>
        <v>0</v>
      </c>
      <c r="AP47" s="211">
        <f>IFERROR(COUNTIF(E47:AI47,"=ВВ")+COUNTIF(E47:AI47,"=Р1/ВВ")+COUNTIF(E47:AI47,"=РН/ВВ")+COUNTIF(E47:AI47,"=ВЧ/ВВ"),0)</f>
        <v>6</v>
      </c>
      <c r="AQ47" s="211">
        <f>SUM(AR47:AZ47)</f>
        <v>0</v>
      </c>
      <c r="AR47" s="211">
        <f>IFERROR(SUMIF(E47:AI47,"=В",E48:AI48)+SUMIF(E47:AI47,"=Ч",E48:AI48)+SUMIF(E47:AI47,"=ВБ",E48:AI48),0)</f>
        <v>0</v>
      </c>
      <c r="AS47" s="211">
        <f>IFERROR(SUMIF(E47:AI47,"=Н",E48:AI48),0)</f>
        <v>0</v>
      </c>
      <c r="AT47" s="211">
        <f>IFERROR(SUMIF(E47:AI47,"=НА",E48:AI48),0)</f>
        <v>0</v>
      </c>
      <c r="AU47" s="211">
        <f>IFERROR(SUMIF(E47:AI47,"=ВП",E48:AI48),0)</f>
        <v>0</v>
      </c>
      <c r="AV47" s="211">
        <f>IFERROR(SUMIF(E47:AI47,"=ДД",E48:AI48),0)</f>
        <v>0</v>
      </c>
      <c r="AW47" s="202">
        <f>IFERROR(SUMIF(E47:AI47,"=ДО",E48:AI48),0)</f>
        <v>0</v>
      </c>
      <c r="AX47" s="211">
        <f>IFERROR(SUMIF(E47:AI47,"=ТН",E48:AI48),0)</f>
        <v>0</v>
      </c>
      <c r="AY47" s="211">
        <f>IFERROR(SUMIF(E47:AI47,"=ВД",E48:AI48),0)</f>
        <v>0</v>
      </c>
      <c r="AZ47" s="312">
        <f>IFERROR(SUMIF(E47:AI47,"=ІН",E48:AI48),0)+SUMIF(E47:AI47,"=НЗ",E48:AI48)</f>
        <v>0</v>
      </c>
    </row>
    <row r="48" spans="1:52" s="176" customFormat="1" ht="20.100000000000001" customHeight="1" thickBot="1" x14ac:dyDescent="0.25">
      <c r="A48" s="290"/>
      <c r="B48" s="229"/>
      <c r="C48" s="229"/>
      <c r="D48" s="229"/>
      <c r="E48" s="192">
        <v>6</v>
      </c>
      <c r="F48" s="192">
        <v>4</v>
      </c>
      <c r="G48" s="192">
        <v>8</v>
      </c>
      <c r="H48" s="192"/>
      <c r="I48" s="192">
        <v>6</v>
      </c>
      <c r="J48" s="192">
        <v>4</v>
      </c>
      <c r="K48" s="192">
        <v>8</v>
      </c>
      <c r="L48" s="192"/>
      <c r="M48" s="192">
        <v>6</v>
      </c>
      <c r="N48" s="192">
        <v>4</v>
      </c>
      <c r="O48" s="192">
        <v>8</v>
      </c>
      <c r="P48" s="192"/>
      <c r="Q48" s="192">
        <v>12</v>
      </c>
      <c r="R48" s="192">
        <v>4</v>
      </c>
      <c r="S48" s="192">
        <v>8</v>
      </c>
      <c r="T48" s="192">
        <v>24</v>
      </c>
      <c r="U48" s="192">
        <v>12</v>
      </c>
      <c r="V48" s="192">
        <v>4</v>
      </c>
      <c r="W48" s="192">
        <v>8</v>
      </c>
      <c r="X48" s="192"/>
      <c r="Y48" s="192">
        <v>6</v>
      </c>
      <c r="Z48" s="192">
        <v>4</v>
      </c>
      <c r="AA48" s="192">
        <v>8</v>
      </c>
      <c r="AB48" s="192"/>
      <c r="AC48" s="192">
        <v>12</v>
      </c>
      <c r="AD48" s="192">
        <v>4</v>
      </c>
      <c r="AE48" s="192">
        <v>8</v>
      </c>
      <c r="AF48" s="192"/>
      <c r="AG48" s="192">
        <v>12</v>
      </c>
      <c r="AH48" s="192">
        <v>4</v>
      </c>
      <c r="AI48" s="192">
        <v>8</v>
      </c>
      <c r="AJ48" s="314"/>
      <c r="AK48" s="212"/>
      <c r="AL48" s="212"/>
      <c r="AM48" s="212"/>
      <c r="AN48" s="212"/>
      <c r="AO48" s="212"/>
      <c r="AP48" s="212"/>
      <c r="AQ48" s="311"/>
      <c r="AR48" s="311"/>
      <c r="AS48" s="311"/>
      <c r="AT48" s="311"/>
      <c r="AU48" s="311"/>
      <c r="AV48" s="311"/>
      <c r="AW48" s="203"/>
      <c r="AX48" s="311"/>
      <c r="AY48" s="311"/>
      <c r="AZ48" s="313"/>
    </row>
    <row r="49" spans="1:52" ht="20.100000000000001" customHeight="1" x14ac:dyDescent="0.2">
      <c r="A49" s="289">
        <v>0</v>
      </c>
      <c r="B49" s="228" t="s">
        <v>74</v>
      </c>
      <c r="C49" s="228">
        <v>0</v>
      </c>
      <c r="D49" s="228">
        <v>0</v>
      </c>
      <c r="E49" s="65">
        <v>0</v>
      </c>
      <c r="F49" s="65">
        <v>0</v>
      </c>
      <c r="G49" s="65">
        <v>0</v>
      </c>
      <c r="H49" s="65">
        <v>0</v>
      </c>
      <c r="I49" s="65">
        <v>0</v>
      </c>
      <c r="J49" s="65">
        <v>0</v>
      </c>
      <c r="K49" s="65">
        <v>0</v>
      </c>
      <c r="L49" s="65">
        <v>0</v>
      </c>
      <c r="M49" s="65">
        <v>0</v>
      </c>
      <c r="N49" s="65">
        <v>0</v>
      </c>
      <c r="O49" s="65">
        <v>0</v>
      </c>
      <c r="P49" s="65">
        <v>0</v>
      </c>
      <c r="Q49" s="65">
        <v>0</v>
      </c>
      <c r="R49" s="65">
        <v>0</v>
      </c>
      <c r="S49" s="65">
        <v>0</v>
      </c>
      <c r="T49" s="65"/>
      <c r="U49" s="65"/>
      <c r="V49" s="65"/>
      <c r="W49" s="65"/>
      <c r="X49" s="65"/>
      <c r="Y49" s="65"/>
      <c r="Z49" s="65"/>
      <c r="AA49" s="65"/>
      <c r="AB49" s="65"/>
      <c r="AC49" s="65"/>
      <c r="AD49" s="65"/>
      <c r="AE49" s="65"/>
      <c r="AF49" s="65"/>
      <c r="AG49" s="65"/>
      <c r="AH49" s="65"/>
      <c r="AI49" s="65"/>
      <c r="AJ49" s="320">
        <f t="shared" ref="AJ49:AZ49" si="14">SUM(AJ17:AJ48)</f>
        <v>317</v>
      </c>
      <c r="AK49" s="315">
        <f t="shared" si="14"/>
        <v>2528.1999999999998</v>
      </c>
      <c r="AL49" s="315">
        <f t="shared" si="14"/>
        <v>72</v>
      </c>
      <c r="AM49" s="315">
        <f t="shared" si="14"/>
        <v>696</v>
      </c>
      <c r="AN49" s="315">
        <f t="shared" si="14"/>
        <v>344</v>
      </c>
      <c r="AO49" s="315">
        <f t="shared" si="14"/>
        <v>0</v>
      </c>
      <c r="AP49" s="315">
        <f t="shared" si="14"/>
        <v>115</v>
      </c>
      <c r="AQ49" s="315">
        <f t="shared" si="14"/>
        <v>40</v>
      </c>
      <c r="AR49" s="315">
        <f t="shared" si="14"/>
        <v>0</v>
      </c>
      <c r="AS49" s="315">
        <f t="shared" si="14"/>
        <v>0</v>
      </c>
      <c r="AT49" s="315">
        <f t="shared" si="14"/>
        <v>0</v>
      </c>
      <c r="AU49" s="315">
        <f t="shared" si="14"/>
        <v>0</v>
      </c>
      <c r="AV49" s="315">
        <f t="shared" si="14"/>
        <v>0</v>
      </c>
      <c r="AW49" s="315">
        <f t="shared" si="14"/>
        <v>0</v>
      </c>
      <c r="AX49" s="315">
        <f t="shared" si="14"/>
        <v>40</v>
      </c>
      <c r="AY49" s="315">
        <f t="shared" si="14"/>
        <v>0</v>
      </c>
      <c r="AZ49" s="315">
        <f t="shared" si="14"/>
        <v>0</v>
      </c>
    </row>
    <row r="50" spans="1:52" ht="20.100000000000001" customHeight="1" thickBot="1" x14ac:dyDescent="0.25">
      <c r="A50" s="290"/>
      <c r="B50" s="229"/>
      <c r="C50" s="229"/>
      <c r="D50" s="229"/>
      <c r="E50" s="38">
        <v>0</v>
      </c>
      <c r="F50" s="38">
        <v>0</v>
      </c>
      <c r="G50" s="38">
        <v>0</v>
      </c>
      <c r="H50" s="38">
        <v>0</v>
      </c>
      <c r="I50" s="38">
        <v>0</v>
      </c>
      <c r="J50" s="38">
        <v>0</v>
      </c>
      <c r="K50" s="38">
        <v>0</v>
      </c>
      <c r="L50" s="38">
        <v>0</v>
      </c>
      <c r="M50" s="38">
        <v>0</v>
      </c>
      <c r="N50" s="38">
        <v>0</v>
      </c>
      <c r="O50" s="38">
        <v>0</v>
      </c>
      <c r="P50" s="38">
        <v>0</v>
      </c>
      <c r="Q50" s="38">
        <v>0</v>
      </c>
      <c r="R50" s="38">
        <v>0</v>
      </c>
      <c r="S50" s="38">
        <v>0</v>
      </c>
      <c r="T50" s="38"/>
      <c r="U50" s="38" t="s">
        <v>273</v>
      </c>
      <c r="V50" s="38"/>
      <c r="W50" s="38"/>
      <c r="X50" s="38"/>
      <c r="Y50" s="38"/>
      <c r="Z50" s="38"/>
      <c r="AA50" s="38"/>
      <c r="AB50" s="38"/>
      <c r="AC50" s="38"/>
      <c r="AD50" s="38"/>
      <c r="AE50" s="38"/>
      <c r="AF50" s="38"/>
      <c r="AG50" s="38"/>
      <c r="AH50" s="38"/>
      <c r="AI50" s="38"/>
      <c r="AJ50" s="321"/>
      <c r="AK50" s="316"/>
      <c r="AL50" s="316"/>
      <c r="AM50" s="316"/>
      <c r="AN50" s="316"/>
      <c r="AO50" s="316"/>
      <c r="AP50" s="316"/>
      <c r="AQ50" s="317"/>
      <c r="AR50" s="317"/>
      <c r="AS50" s="317"/>
      <c r="AT50" s="317"/>
      <c r="AU50" s="317"/>
      <c r="AV50" s="317"/>
      <c r="AW50" s="317"/>
      <c r="AX50" s="317"/>
      <c r="AY50" s="317"/>
      <c r="AZ50" s="317"/>
    </row>
    <row r="51" spans="1:52" ht="20.25" customHeight="1" x14ac:dyDescent="0.2">
      <c r="A51" s="52"/>
      <c r="B51" s="52"/>
      <c r="C51" s="52"/>
      <c r="D51" s="52"/>
      <c r="E51" s="53"/>
      <c r="F51" s="53"/>
      <c r="G51" s="53"/>
      <c r="H51" s="53"/>
      <c r="I51" s="53"/>
      <c r="J51" s="53"/>
      <c r="K51" s="53"/>
      <c r="L51" s="53"/>
      <c r="M51" s="53"/>
      <c r="N51" s="53"/>
      <c r="O51" s="53"/>
      <c r="P51" s="53"/>
      <c r="Q51" s="53"/>
      <c r="R51" s="53"/>
      <c r="S51" s="53"/>
      <c r="T51" s="53"/>
      <c r="U51" s="53"/>
      <c r="V51" s="53"/>
      <c r="W51" s="53"/>
      <c r="X51" s="53"/>
      <c r="Y51" s="53"/>
      <c r="Z51" s="53"/>
      <c r="AA51" s="53"/>
      <c r="AB51" s="53"/>
      <c r="AC51" s="53"/>
      <c r="AD51" s="53"/>
      <c r="AE51" s="53"/>
      <c r="AF51" s="53"/>
      <c r="AG51" s="53"/>
      <c r="AH51" s="53"/>
      <c r="AI51" s="53"/>
      <c r="AJ51" s="57"/>
      <c r="AK51" s="57"/>
      <c r="AL51" s="57"/>
      <c r="AM51" s="57"/>
      <c r="AN51" s="57"/>
      <c r="AO51" s="57"/>
      <c r="AP51" s="57"/>
      <c r="AQ51" s="57"/>
      <c r="AR51" s="57"/>
      <c r="AS51" s="57"/>
      <c r="AT51" s="57"/>
      <c r="AU51" s="57"/>
      <c r="AV51" s="57"/>
      <c r="AW51" s="130"/>
      <c r="AX51" s="57"/>
      <c r="AY51" s="57"/>
      <c r="AZ51" s="57"/>
    </row>
    <row r="52" spans="1:52" ht="12.75" customHeight="1" x14ac:dyDescent="0.2">
      <c r="A52" s="226" t="s">
        <v>32</v>
      </c>
      <c r="B52" s="226"/>
      <c r="C52" s="226"/>
      <c r="D52" s="227" t="s">
        <v>81</v>
      </c>
      <c r="E52" s="227"/>
      <c r="F52" s="227"/>
      <c r="G52" s="227"/>
      <c r="H52" s="227"/>
      <c r="I52" s="227"/>
      <c r="J52" s="69"/>
      <c r="K52" s="224"/>
      <c r="L52" s="224"/>
      <c r="M52" s="224"/>
      <c r="N52" s="69"/>
      <c r="O52" s="225" t="s">
        <v>278</v>
      </c>
      <c r="P52" s="225"/>
      <c r="Q52" s="225"/>
      <c r="R52" s="225"/>
      <c r="S52" s="225"/>
      <c r="T52" s="9"/>
      <c r="U52" s="283">
        <v>45747</v>
      </c>
      <c r="V52" s="283"/>
      <c r="W52" s="283"/>
      <c r="X52" s="283"/>
      <c r="Y52" s="283"/>
      <c r="Z52" s="283"/>
      <c r="AA52" s="69"/>
      <c r="AB52" s="69"/>
      <c r="AC52" s="69"/>
      <c r="AD52" s="69"/>
      <c r="AE52" s="69"/>
      <c r="AF52" s="69"/>
      <c r="AG52" s="69"/>
      <c r="AH52" s="69"/>
      <c r="AI52" s="69"/>
      <c r="AJ52" s="69"/>
      <c r="AK52" s="69"/>
      <c r="AL52" s="69"/>
      <c r="AM52" s="69"/>
      <c r="AN52" s="69"/>
      <c r="AO52" s="69"/>
      <c r="AP52" s="69"/>
      <c r="AQ52" s="69"/>
      <c r="AR52" s="69"/>
      <c r="AS52" s="69"/>
      <c r="AT52" s="69"/>
    </row>
    <row r="53" spans="1:52" x14ac:dyDescent="0.15">
      <c r="A53" s="13"/>
      <c r="B53" s="16"/>
      <c r="D53" s="222" t="s">
        <v>34</v>
      </c>
      <c r="E53" s="222"/>
      <c r="F53" s="222"/>
      <c r="G53" s="222"/>
      <c r="H53" s="222"/>
      <c r="I53" s="222"/>
      <c r="J53" s="13"/>
      <c r="K53" s="222" t="s">
        <v>35</v>
      </c>
      <c r="L53" s="222"/>
      <c r="M53" s="222"/>
      <c r="N53" s="13"/>
      <c r="O53" s="222" t="s">
        <v>36</v>
      </c>
      <c r="P53" s="222"/>
      <c r="Q53" s="222"/>
      <c r="R53" s="222"/>
      <c r="S53" s="222"/>
      <c r="T53" s="13"/>
      <c r="U53" s="13"/>
      <c r="V53" s="31"/>
      <c r="W53" s="13"/>
      <c r="X53" s="17"/>
      <c r="Y53" s="17"/>
      <c r="Z53" s="17"/>
      <c r="AA53" s="13"/>
      <c r="AB53" s="13"/>
      <c r="AC53" s="13"/>
      <c r="AD53" s="13"/>
      <c r="AE53" s="13"/>
      <c r="AF53" s="13"/>
      <c r="AG53" s="13"/>
      <c r="AH53" s="13"/>
      <c r="AI53" s="13"/>
      <c r="AJ53" s="13"/>
      <c r="AK53" s="13"/>
      <c r="AL53" s="13"/>
      <c r="AM53" s="13"/>
      <c r="AN53" s="13"/>
      <c r="AO53" s="13"/>
      <c r="AP53" s="13"/>
      <c r="AQ53" s="13"/>
      <c r="AR53" s="13"/>
      <c r="AS53" s="13"/>
      <c r="AT53" s="13"/>
    </row>
    <row r="54" spans="1:52" ht="12.75" customHeight="1" x14ac:dyDescent="0.2">
      <c r="A54" s="32" t="s">
        <v>33</v>
      </c>
      <c r="B54" s="32"/>
      <c r="C54" s="69"/>
      <c r="D54" s="223" t="s">
        <v>277</v>
      </c>
      <c r="E54" s="223"/>
      <c r="F54" s="223"/>
      <c r="G54" s="223"/>
      <c r="H54" s="223"/>
      <c r="I54" s="223"/>
      <c r="J54" s="69"/>
      <c r="K54" s="224"/>
      <c r="L54" s="224"/>
      <c r="M54" s="224"/>
      <c r="N54" s="69"/>
      <c r="O54" s="225" t="s">
        <v>279</v>
      </c>
      <c r="P54" s="225"/>
      <c r="Q54" s="225"/>
      <c r="R54" s="225"/>
      <c r="S54" s="225"/>
      <c r="T54" s="9"/>
      <c r="U54" s="283">
        <f>U52</f>
        <v>45747</v>
      </c>
      <c r="V54" s="283"/>
      <c r="W54" s="283"/>
      <c r="X54" s="283"/>
      <c r="Y54" s="283"/>
      <c r="Z54" s="283"/>
      <c r="AA54" s="69"/>
      <c r="AB54" s="69"/>
      <c r="AC54" s="69"/>
      <c r="AD54" s="69"/>
      <c r="AE54" s="69"/>
      <c r="AF54" s="69"/>
      <c r="AG54" s="69"/>
      <c r="AH54" s="69"/>
      <c r="AI54" s="69"/>
      <c r="AJ54" s="69"/>
      <c r="AK54" s="69"/>
      <c r="AL54" s="69"/>
      <c r="AM54" s="69"/>
      <c r="AN54" s="69"/>
      <c r="AO54" s="69"/>
      <c r="AP54" s="69"/>
      <c r="AQ54" s="69"/>
      <c r="AR54" s="69"/>
      <c r="AS54" s="69"/>
      <c r="AT54" s="69"/>
    </row>
    <row r="55" spans="1:52" x14ac:dyDescent="0.2">
      <c r="A55" s="13"/>
      <c r="B55" s="13"/>
      <c r="D55" s="222" t="s">
        <v>34</v>
      </c>
      <c r="E55" s="222"/>
      <c r="F55" s="222"/>
      <c r="G55" s="222"/>
      <c r="H55" s="222"/>
      <c r="I55" s="222"/>
      <c r="J55" s="13"/>
      <c r="K55" s="222" t="s">
        <v>35</v>
      </c>
      <c r="L55" s="222"/>
      <c r="M55" s="222"/>
      <c r="N55" s="13"/>
      <c r="O55" s="222" t="s">
        <v>36</v>
      </c>
      <c r="P55" s="222"/>
      <c r="Q55" s="222"/>
      <c r="R55" s="222"/>
      <c r="S55" s="222"/>
      <c r="T55" s="17"/>
      <c r="U55" s="17"/>
      <c r="V55" s="13"/>
      <c r="W55" s="17"/>
      <c r="X55" s="17"/>
      <c r="Y55" s="17"/>
      <c r="Z55" s="69"/>
      <c r="AA55" s="69"/>
      <c r="AB55" s="69"/>
      <c r="AC55" s="69"/>
      <c r="AD55" s="69"/>
      <c r="AE55" s="69"/>
      <c r="AF55" s="69"/>
      <c r="AG55" s="69"/>
      <c r="AH55" s="69"/>
      <c r="AI55" s="69"/>
      <c r="AJ55" s="69"/>
      <c r="AK55" s="69"/>
      <c r="AL55" s="69"/>
      <c r="AM55" s="69"/>
      <c r="AN55" s="69"/>
      <c r="AO55" s="69"/>
      <c r="AP55" s="69"/>
      <c r="AQ55" s="69"/>
      <c r="AR55" s="69"/>
      <c r="AS55" s="69"/>
      <c r="AT55" s="69"/>
    </row>
    <row r="56" spans="1:52" x14ac:dyDescent="0.2">
      <c r="A56" s="69"/>
      <c r="B56" s="69"/>
      <c r="C56" s="33" t="s">
        <v>39</v>
      </c>
      <c r="D56" s="70"/>
      <c r="E56" s="70"/>
      <c r="F56" s="70"/>
      <c r="G56" s="70"/>
      <c r="H56" s="70"/>
      <c r="I56" s="70"/>
      <c r="J56" s="70"/>
      <c r="K56" s="70"/>
      <c r="L56" s="70"/>
      <c r="M56" s="70"/>
      <c r="N56" s="70"/>
      <c r="O56" s="70"/>
      <c r="P56" s="70"/>
      <c r="Q56" s="70"/>
      <c r="R56" s="69"/>
      <c r="S56" s="69"/>
      <c r="T56" s="69"/>
      <c r="U56" s="69"/>
      <c r="V56" s="69"/>
      <c r="W56" s="69"/>
      <c r="X56" s="69"/>
      <c r="Y56" s="69"/>
      <c r="Z56" s="69"/>
      <c r="AA56" s="69"/>
      <c r="AB56" s="69"/>
      <c r="AC56" s="69"/>
      <c r="AD56" s="69"/>
      <c r="AE56" s="69"/>
      <c r="AF56" s="69"/>
      <c r="AG56" s="69"/>
      <c r="AH56" s="69"/>
      <c r="AI56" s="69"/>
      <c r="AJ56" s="69"/>
      <c r="AK56" s="69"/>
      <c r="AL56" s="69"/>
      <c r="AM56" s="69"/>
      <c r="AN56" s="69"/>
      <c r="AO56" s="69"/>
      <c r="AP56" s="69"/>
      <c r="AQ56" s="69"/>
      <c r="AR56" s="69"/>
      <c r="AS56" s="69"/>
      <c r="AT56" s="69"/>
    </row>
    <row r="57" spans="1:52" x14ac:dyDescent="0.2">
      <c r="A57" s="69"/>
      <c r="B57" s="69"/>
      <c r="C57" s="34" t="s">
        <v>4</v>
      </c>
      <c r="D57" s="35" t="s">
        <v>49</v>
      </c>
      <c r="E57" t="s">
        <v>5</v>
      </c>
      <c r="F57"/>
      <c r="G57"/>
      <c r="H57"/>
      <c r="I57"/>
      <c r="J57"/>
      <c r="K57"/>
      <c r="L57"/>
      <c r="M57"/>
      <c r="N57" s="36"/>
      <c r="O57" s="3"/>
      <c r="P57" s="37"/>
      <c r="Q57" s="37"/>
      <c r="R57" s="69"/>
      <c r="S57" s="69"/>
      <c r="T57" s="69"/>
      <c r="U57" s="21" t="s">
        <v>2</v>
      </c>
      <c r="V57" s="15" t="s">
        <v>49</v>
      </c>
      <c r="W57" t="s">
        <v>61</v>
      </c>
      <c r="X57"/>
      <c r="Y57" s="69"/>
      <c r="Z57" s="69"/>
      <c r="AA57" s="69"/>
      <c r="AB57" s="69"/>
      <c r="AC57" s="69"/>
      <c r="AD57" s="69"/>
      <c r="AE57" s="69"/>
      <c r="AF57" s="69"/>
      <c r="AG57" s="69"/>
      <c r="AH57" s="69"/>
      <c r="AI57" s="69"/>
      <c r="AJ57" s="69"/>
      <c r="AK57" s="69"/>
      <c r="AL57" s="69"/>
      <c r="AM57" s="69"/>
      <c r="AN57" s="69"/>
      <c r="AO57" s="69"/>
      <c r="AP57" s="69"/>
      <c r="AQ57" s="69"/>
      <c r="AR57" s="69"/>
      <c r="AS57" s="69"/>
      <c r="AT57" s="69"/>
    </row>
    <row r="58" spans="1:52" x14ac:dyDescent="0.2">
      <c r="A58" s="69"/>
      <c r="B58" s="69"/>
      <c r="C58" s="34" t="s">
        <v>41</v>
      </c>
      <c r="D58" s="35" t="s">
        <v>49</v>
      </c>
      <c r="E58" t="s">
        <v>40</v>
      </c>
      <c r="F58"/>
      <c r="G58"/>
      <c r="H58"/>
      <c r="I58"/>
      <c r="J58"/>
      <c r="K58"/>
      <c r="L58"/>
      <c r="M58"/>
      <c r="N58" s="36"/>
      <c r="O58" s="3"/>
      <c r="P58" s="37"/>
      <c r="Q58" s="37"/>
      <c r="R58" s="69"/>
      <c r="S58" s="69"/>
      <c r="T58" s="69"/>
      <c r="U58" s="21" t="s">
        <v>50</v>
      </c>
      <c r="V58" s="15" t="s">
        <v>49</v>
      </c>
      <c r="W58" t="s">
        <v>62</v>
      </c>
      <c r="X58"/>
      <c r="Y58" s="69"/>
      <c r="Z58" s="69"/>
      <c r="AA58" s="69"/>
      <c r="AB58" s="69"/>
      <c r="AC58" s="69"/>
      <c r="AD58" s="69"/>
      <c r="AE58" s="69"/>
      <c r="AF58" s="69"/>
      <c r="AG58" s="69"/>
      <c r="AH58" s="69"/>
      <c r="AI58" s="69"/>
      <c r="AJ58" s="69"/>
      <c r="AK58" s="69"/>
      <c r="AL58" s="69"/>
      <c r="AM58" s="69"/>
      <c r="AN58" s="69"/>
      <c r="AO58" s="69"/>
      <c r="AP58" s="69"/>
      <c r="AQ58" s="69"/>
      <c r="AR58" s="69"/>
      <c r="AS58" s="69"/>
      <c r="AT58" s="69"/>
    </row>
    <row r="59" spans="1:52" x14ac:dyDescent="0.2">
      <c r="A59" s="69"/>
      <c r="B59" s="69"/>
      <c r="C59" s="34" t="s">
        <v>43</v>
      </c>
      <c r="D59" s="35" t="s">
        <v>49</v>
      </c>
      <c r="E59" t="s">
        <v>42</v>
      </c>
      <c r="F59"/>
      <c r="G59"/>
      <c r="H59"/>
      <c r="I59"/>
      <c r="J59"/>
      <c r="K59"/>
      <c r="L59"/>
      <c r="M59"/>
      <c r="N59" s="36"/>
      <c r="O59" s="3"/>
      <c r="P59" s="37"/>
      <c r="Q59" s="37"/>
      <c r="R59" s="69"/>
      <c r="S59" s="69"/>
      <c r="T59" s="69"/>
      <c r="U59" s="21" t="s">
        <v>51</v>
      </c>
      <c r="V59" s="15" t="s">
        <v>49</v>
      </c>
      <c r="W59" t="s">
        <v>53</v>
      </c>
      <c r="X59"/>
      <c r="Y59" s="69"/>
      <c r="Z59" s="69"/>
      <c r="AA59" s="69"/>
      <c r="AB59" s="69"/>
      <c r="AC59" s="69"/>
      <c r="AD59" s="69"/>
      <c r="AE59" s="69"/>
      <c r="AF59" s="69"/>
      <c r="AG59" s="69"/>
      <c r="AH59" s="69"/>
      <c r="AI59" s="69"/>
      <c r="AJ59" s="69"/>
      <c r="AK59" s="69"/>
      <c r="AL59" s="69"/>
      <c r="AM59" s="69"/>
      <c r="AN59" s="69"/>
      <c r="AO59" s="69"/>
      <c r="AP59" s="69"/>
      <c r="AQ59" s="69"/>
      <c r="AR59" s="69"/>
      <c r="AS59" s="69"/>
      <c r="AT59" s="69"/>
    </row>
    <row r="60" spans="1:52" x14ac:dyDescent="0.2">
      <c r="A60" s="69"/>
      <c r="B60" s="69"/>
      <c r="C60" s="34" t="s">
        <v>45</v>
      </c>
      <c r="D60" s="35" t="s">
        <v>49</v>
      </c>
      <c r="E60" t="s">
        <v>44</v>
      </c>
      <c r="F60"/>
      <c r="G60"/>
      <c r="H60"/>
      <c r="I60"/>
      <c r="J60"/>
      <c r="K60"/>
      <c r="L60"/>
      <c r="M60"/>
      <c r="N60" s="3"/>
      <c r="O60" s="3"/>
      <c r="P60" s="37"/>
      <c r="Q60" s="37"/>
      <c r="R60" s="69"/>
      <c r="S60" s="69"/>
      <c r="T60" s="69"/>
      <c r="U60" s="15" t="s">
        <v>63</v>
      </c>
      <c r="V60" s="15" t="s">
        <v>49</v>
      </c>
      <c r="W60" t="s">
        <v>64</v>
      </c>
      <c r="X60"/>
      <c r="Y60" s="69"/>
      <c r="Z60" s="69"/>
      <c r="AA60" s="69"/>
      <c r="AB60" s="69"/>
      <c r="AC60" s="69"/>
      <c r="AD60" s="69"/>
      <c r="AE60" s="69"/>
      <c r="AF60" s="69"/>
      <c r="AG60" s="69"/>
      <c r="AH60" s="69"/>
      <c r="AI60" s="69"/>
      <c r="AJ60" s="69"/>
      <c r="AK60" s="69"/>
      <c r="AL60" s="69"/>
      <c r="AM60" s="69"/>
      <c r="AN60" s="69"/>
      <c r="AO60" s="69"/>
      <c r="AP60" s="69"/>
      <c r="AQ60" s="69"/>
      <c r="AR60" s="69"/>
      <c r="AS60" s="69"/>
      <c r="AT60" s="69"/>
    </row>
    <row r="61" spans="1:52" x14ac:dyDescent="0.2">
      <c r="A61" s="69"/>
      <c r="B61" s="69"/>
      <c r="C61" s="34" t="s">
        <v>47</v>
      </c>
      <c r="D61" s="35" t="s">
        <v>49</v>
      </c>
      <c r="E61" t="s">
        <v>46</v>
      </c>
      <c r="F61"/>
      <c r="G61"/>
      <c r="H61"/>
      <c r="I61"/>
      <c r="J61"/>
      <c r="K61"/>
      <c r="L61"/>
      <c r="M61"/>
      <c r="N61" s="3"/>
      <c r="O61" s="3"/>
      <c r="P61" s="37"/>
      <c r="Q61" s="37"/>
      <c r="R61" s="69"/>
      <c r="S61" s="69"/>
      <c r="T61" s="69"/>
      <c r="U61" s="15" t="s">
        <v>65</v>
      </c>
      <c r="V61" s="15" t="s">
        <v>49</v>
      </c>
      <c r="W61" t="s">
        <v>66</v>
      </c>
      <c r="X61"/>
      <c r="Y61" s="69"/>
      <c r="Z61" s="69"/>
      <c r="AA61" s="69"/>
      <c r="AB61" s="69"/>
      <c r="AC61" s="69"/>
      <c r="AD61" s="69"/>
      <c r="AE61" s="69"/>
      <c r="AF61" s="69"/>
      <c r="AG61" s="69"/>
      <c r="AH61" s="69"/>
      <c r="AI61" s="69"/>
      <c r="AJ61" s="69"/>
      <c r="AK61" s="69"/>
      <c r="AL61" s="69"/>
      <c r="AM61" s="69"/>
      <c r="AN61" s="69"/>
      <c r="AO61" s="69"/>
      <c r="AP61" s="69"/>
      <c r="AQ61" s="69"/>
      <c r="AR61" s="69"/>
      <c r="AS61" s="69"/>
      <c r="AT61" s="69"/>
    </row>
    <row r="62" spans="1:52" x14ac:dyDescent="0.2">
      <c r="A62" s="69"/>
      <c r="B62" s="69"/>
      <c r="C62" s="34" t="s">
        <v>48</v>
      </c>
      <c r="D62" s="35" t="s">
        <v>49</v>
      </c>
      <c r="E62" t="s">
        <v>29</v>
      </c>
      <c r="F62"/>
      <c r="G62"/>
      <c r="H62"/>
      <c r="I62"/>
      <c r="J62"/>
      <c r="K62"/>
      <c r="L62"/>
      <c r="M62"/>
      <c r="N62" s="36"/>
      <c r="O62" s="3"/>
      <c r="P62" s="37"/>
      <c r="Q62" s="37"/>
      <c r="R62" s="69"/>
      <c r="S62" s="69"/>
      <c r="T62" s="69"/>
      <c r="U62" s="21" t="s">
        <v>52</v>
      </c>
      <c r="V62" s="15" t="s">
        <v>49</v>
      </c>
      <c r="W62" t="s">
        <v>54</v>
      </c>
      <c r="X62"/>
      <c r="Y62" s="69"/>
      <c r="Z62" s="69"/>
      <c r="AA62" s="69"/>
      <c r="AB62" s="69"/>
      <c r="AC62" s="69"/>
      <c r="AD62" s="69"/>
      <c r="AE62" s="69"/>
      <c r="AF62" s="69"/>
      <c r="AG62" s="69"/>
      <c r="AH62" s="69"/>
      <c r="AI62" s="69"/>
      <c r="AJ62" s="69"/>
      <c r="AK62" s="69"/>
      <c r="AL62" s="69"/>
      <c r="AM62" s="69"/>
      <c r="AN62" s="69"/>
      <c r="AO62" s="69"/>
      <c r="AP62" s="69"/>
      <c r="AQ62" s="69"/>
      <c r="AR62" s="69"/>
      <c r="AS62" s="69"/>
      <c r="AT62" s="69"/>
    </row>
    <row r="63" spans="1:52" x14ac:dyDescent="0.2">
      <c r="A63" s="69"/>
      <c r="B63" s="69"/>
      <c r="C63" s="34" t="s">
        <v>3</v>
      </c>
      <c r="D63" s="35" t="s">
        <v>49</v>
      </c>
      <c r="E63" t="s">
        <v>67</v>
      </c>
      <c r="F63"/>
      <c r="G63"/>
      <c r="H63"/>
      <c r="I63"/>
      <c r="J63"/>
      <c r="K63"/>
      <c r="L63"/>
      <c r="M63"/>
      <c r="N63" s="36"/>
      <c r="O63" s="3"/>
      <c r="P63" s="37"/>
      <c r="Q63" s="37"/>
      <c r="R63" s="69"/>
      <c r="S63" s="69"/>
      <c r="T63" s="69"/>
      <c r="U63" s="21" t="s">
        <v>68</v>
      </c>
      <c r="V63" s="15" t="s">
        <v>49</v>
      </c>
      <c r="W63" t="s">
        <v>31</v>
      </c>
      <c r="X63"/>
      <c r="Y63" s="69"/>
      <c r="Z63" s="69"/>
      <c r="AA63" s="69"/>
      <c r="AB63" s="69"/>
      <c r="AC63" s="69"/>
      <c r="AD63" s="69"/>
      <c r="AE63" s="69"/>
      <c r="AF63" s="69"/>
      <c r="AG63" s="69"/>
      <c r="AH63" s="69"/>
      <c r="AI63" s="69"/>
      <c r="AJ63" s="69"/>
      <c r="AK63" s="69"/>
      <c r="AL63" s="69"/>
      <c r="AM63" s="69"/>
      <c r="AN63" s="69"/>
      <c r="AO63" s="69"/>
      <c r="AP63" s="69"/>
      <c r="AQ63" s="69"/>
      <c r="AR63" s="69"/>
      <c r="AS63" s="69"/>
      <c r="AT63" s="69"/>
    </row>
    <row r="64" spans="1:52" x14ac:dyDescent="0.2">
      <c r="A64" s="69"/>
      <c r="B64" s="69"/>
      <c r="C64" s="34" t="s">
        <v>73</v>
      </c>
      <c r="D64" s="35" t="s">
        <v>49</v>
      </c>
      <c r="E64" s="219" t="s">
        <v>75</v>
      </c>
      <c r="F64" s="220"/>
      <c r="G64" s="220"/>
      <c r="H64" s="220"/>
      <c r="I64" s="220"/>
      <c r="J64" s="220"/>
      <c r="K64" s="220"/>
      <c r="L64" s="220"/>
      <c r="M64" s="220"/>
      <c r="N64" s="220"/>
      <c r="O64" s="220"/>
      <c r="P64" s="220"/>
      <c r="Q64" s="220"/>
      <c r="R64" s="69"/>
      <c r="S64" s="69"/>
      <c r="T64" s="69"/>
      <c r="U64" s="21" t="s">
        <v>76</v>
      </c>
      <c r="V64" s="15" t="s">
        <v>49</v>
      </c>
      <c r="W64" t="s">
        <v>77</v>
      </c>
      <c r="X64" s="69"/>
      <c r="Y64" s="69"/>
      <c r="Z64" s="69"/>
      <c r="AA64" s="69"/>
      <c r="AB64" s="69"/>
      <c r="AC64" s="69"/>
      <c r="AD64" s="69"/>
      <c r="AE64" s="69"/>
      <c r="AF64" s="69"/>
      <c r="AG64" s="69"/>
      <c r="AH64" s="69"/>
      <c r="AI64" s="69"/>
      <c r="AJ64" s="69"/>
      <c r="AK64" s="69"/>
      <c r="AL64" s="69"/>
      <c r="AM64" s="69"/>
      <c r="AN64" s="69"/>
      <c r="AO64" s="69"/>
      <c r="AP64" s="69"/>
      <c r="AQ64" s="69"/>
      <c r="AR64" s="69"/>
      <c r="AS64" s="69"/>
      <c r="AT64" s="69"/>
    </row>
    <row r="65" spans="1:46" x14ac:dyDescent="0.2">
      <c r="A65" s="69"/>
      <c r="B65" s="69"/>
      <c r="C65" s="34" t="s">
        <v>142</v>
      </c>
      <c r="D65" s="35" t="s">
        <v>49</v>
      </c>
      <c r="E65" s="219" t="s">
        <v>143</v>
      </c>
      <c r="F65" s="220"/>
      <c r="G65" s="220"/>
      <c r="H65" s="220"/>
      <c r="I65" s="220"/>
      <c r="J65" s="220"/>
      <c r="K65" s="220"/>
      <c r="L65" s="220"/>
      <c r="M65" s="220"/>
      <c r="N65" s="220"/>
      <c r="O65" s="220"/>
      <c r="P65" s="220"/>
      <c r="Q65" s="220"/>
      <c r="R65" s="69"/>
      <c r="S65" s="69"/>
      <c r="T65" s="69"/>
      <c r="U65" s="69"/>
      <c r="V65" s="69"/>
      <c r="W65" s="69"/>
      <c r="X65" s="69"/>
      <c r="Y65" s="69"/>
      <c r="Z65" s="69"/>
      <c r="AA65" s="69"/>
      <c r="AB65" s="69"/>
      <c r="AC65" s="69"/>
      <c r="AD65" s="69"/>
      <c r="AE65" s="69"/>
      <c r="AF65" s="69"/>
      <c r="AG65" s="69"/>
      <c r="AH65" s="69"/>
      <c r="AI65" s="69"/>
      <c r="AJ65" s="69"/>
      <c r="AK65" s="69"/>
      <c r="AL65" s="69"/>
      <c r="AM65" s="69"/>
      <c r="AN65" s="69"/>
      <c r="AO65" s="69"/>
      <c r="AP65" s="69"/>
      <c r="AQ65" s="69"/>
      <c r="AR65" s="69"/>
      <c r="AS65" s="69"/>
      <c r="AT65" s="69"/>
    </row>
    <row r="77" spans="1:46" ht="19.5" customHeight="1" x14ac:dyDescent="0.2"/>
  </sheetData>
  <sheetProtection insertColumns="0" insertRows="0" deleteColumns="0" deleteRows="0" autoFilter="0"/>
  <mergeCells count="444">
    <mergeCell ref="AX47:AX48"/>
    <mergeCell ref="AY47:AY48"/>
    <mergeCell ref="AZ47:AZ48"/>
    <mergeCell ref="AW41:AW42"/>
    <mergeCell ref="AX41:AX42"/>
    <mergeCell ref="AO47:AO48"/>
    <mergeCell ref="AP47:AP48"/>
    <mergeCell ref="AQ47:AQ48"/>
    <mergeCell ref="AR47:AR48"/>
    <mergeCell ref="AS47:AS48"/>
    <mergeCell ref="AT47:AT48"/>
    <mergeCell ref="AU47:AU48"/>
    <mergeCell ref="AV47:AV48"/>
    <mergeCell ref="AW47:AW48"/>
    <mergeCell ref="AY41:AY42"/>
    <mergeCell ref="AZ41:AZ42"/>
    <mergeCell ref="AO41:AO42"/>
    <mergeCell ref="AP41:AP42"/>
    <mergeCell ref="AQ41:AQ42"/>
    <mergeCell ref="AR41:AR42"/>
    <mergeCell ref="AS41:AS42"/>
    <mergeCell ref="AZ45:AZ46"/>
    <mergeCell ref="AT41:AT42"/>
    <mergeCell ref="AU41:AU42"/>
    <mergeCell ref="AL37:AL38"/>
    <mergeCell ref="AM37:AM38"/>
    <mergeCell ref="AN37:AN38"/>
    <mergeCell ref="A47:A48"/>
    <mergeCell ref="B47:B48"/>
    <mergeCell ref="C47:C48"/>
    <mergeCell ref="D47:D48"/>
    <mergeCell ref="AJ47:AJ48"/>
    <mergeCell ref="AK47:AK48"/>
    <mergeCell ref="AL47:AL48"/>
    <mergeCell ref="AM47:AM48"/>
    <mergeCell ref="AN47:AN48"/>
    <mergeCell ref="A43:A44"/>
    <mergeCell ref="B43:B44"/>
    <mergeCell ref="C43:C44"/>
    <mergeCell ref="D43:D44"/>
    <mergeCell ref="AJ43:AJ44"/>
    <mergeCell ref="AK43:AK44"/>
    <mergeCell ref="AL43:AL44"/>
    <mergeCell ref="AM43:AM44"/>
    <mergeCell ref="AN43:AN44"/>
    <mergeCell ref="AV41:AV42"/>
    <mergeCell ref="AO37:AO38"/>
    <mergeCell ref="AP37:AP38"/>
    <mergeCell ref="AQ37:AQ38"/>
    <mergeCell ref="AR37:AR38"/>
    <mergeCell ref="AS37:AS38"/>
    <mergeCell ref="AT37:AT38"/>
    <mergeCell ref="AU37:AU38"/>
    <mergeCell ref="AV37:AV38"/>
    <mergeCell ref="AW37:AW38"/>
    <mergeCell ref="AY35:AY36"/>
    <mergeCell ref="AZ35:AZ36"/>
    <mergeCell ref="AK45:AK46"/>
    <mergeCell ref="AL45:AL46"/>
    <mergeCell ref="AM45:AM46"/>
    <mergeCell ref="AN45:AN46"/>
    <mergeCell ref="AO45:AO46"/>
    <mergeCell ref="AP45:AP46"/>
    <mergeCell ref="AQ45:AQ46"/>
    <mergeCell ref="AR45:AR46"/>
    <mergeCell ref="AS45:AS46"/>
    <mergeCell ref="AK41:AK42"/>
    <mergeCell ref="AL41:AL42"/>
    <mergeCell ref="AM41:AM42"/>
    <mergeCell ref="AN41:AN42"/>
    <mergeCell ref="AX37:AX38"/>
    <mergeCell ref="AY37:AY38"/>
    <mergeCell ref="AZ37:AZ38"/>
    <mergeCell ref="AT45:AT46"/>
    <mergeCell ref="AU45:AU46"/>
    <mergeCell ref="AV45:AV46"/>
    <mergeCell ref="AW45:AW46"/>
    <mergeCell ref="AX45:AX46"/>
    <mergeCell ref="AY45:AY46"/>
    <mergeCell ref="D23:D24"/>
    <mergeCell ref="AJ23:AJ24"/>
    <mergeCell ref="AK23:AK24"/>
    <mergeCell ref="AL23:AL24"/>
    <mergeCell ref="AM23:AM24"/>
    <mergeCell ref="AN23:AN24"/>
    <mergeCell ref="AX23:AX24"/>
    <mergeCell ref="AY23:AY24"/>
    <mergeCell ref="D25:D26"/>
    <mergeCell ref="AJ25:AJ26"/>
    <mergeCell ref="AK25:AK26"/>
    <mergeCell ref="AL25:AL26"/>
    <mergeCell ref="AM25:AM26"/>
    <mergeCell ref="AN25:AN26"/>
    <mergeCell ref="AX25:AX26"/>
    <mergeCell ref="AY25:AY26"/>
    <mergeCell ref="D27:D28"/>
    <mergeCell ref="AJ27:AJ28"/>
    <mergeCell ref="AK27:AK28"/>
    <mergeCell ref="AL27:AL28"/>
    <mergeCell ref="AM27:AM28"/>
    <mergeCell ref="AN27:AN28"/>
    <mergeCell ref="AO27:AO28"/>
    <mergeCell ref="AZ23:AZ24"/>
    <mergeCell ref="AO23:AO24"/>
    <mergeCell ref="AP23:AP24"/>
    <mergeCell ref="AQ23:AQ24"/>
    <mergeCell ref="AR23:AR24"/>
    <mergeCell ref="AS23:AS24"/>
    <mergeCell ref="AT23:AT24"/>
    <mergeCell ref="AU23:AU24"/>
    <mergeCell ref="AV23:AV24"/>
    <mergeCell ref="AW23:AW24"/>
    <mergeCell ref="AZ25:AZ26"/>
    <mergeCell ref="AO25:AO26"/>
    <mergeCell ref="AP25:AP26"/>
    <mergeCell ref="AQ25:AQ26"/>
    <mergeCell ref="AR25:AR26"/>
    <mergeCell ref="AS25:AS26"/>
    <mergeCell ref="AT25:AT26"/>
    <mergeCell ref="AU25:AU26"/>
    <mergeCell ref="AV25:AV26"/>
    <mergeCell ref="AW25:AW26"/>
    <mergeCell ref="AQ49:AQ50"/>
    <mergeCell ref="D31:D32"/>
    <mergeCell ref="AM31:AM32"/>
    <mergeCell ref="AN31:AN32"/>
    <mergeCell ref="AK31:AK32"/>
    <mergeCell ref="AJ31:AJ32"/>
    <mergeCell ref="AL31:AL32"/>
    <mergeCell ref="AO31:AO32"/>
    <mergeCell ref="AP31:AP32"/>
    <mergeCell ref="AQ31:AQ32"/>
    <mergeCell ref="D35:D36"/>
    <mergeCell ref="AJ35:AJ36"/>
    <mergeCell ref="AK35:AK36"/>
    <mergeCell ref="AL35:AL36"/>
    <mergeCell ref="AM35:AM36"/>
    <mergeCell ref="AN35:AN36"/>
    <mergeCell ref="AO35:AO36"/>
    <mergeCell ref="AP35:AP36"/>
    <mergeCell ref="AQ35:AQ36"/>
    <mergeCell ref="D45:D46"/>
    <mergeCell ref="AJ45:AJ46"/>
    <mergeCell ref="D41:D42"/>
    <mergeCell ref="AJ41:AJ42"/>
    <mergeCell ref="D37:D38"/>
    <mergeCell ref="A35:A36"/>
    <mergeCell ref="B35:B36"/>
    <mergeCell ref="C35:C36"/>
    <mergeCell ref="A45:A46"/>
    <mergeCell ref="B45:B46"/>
    <mergeCell ref="C45:C46"/>
    <mergeCell ref="AR31:AR32"/>
    <mergeCell ref="AV31:AV32"/>
    <mergeCell ref="AX31:AX32"/>
    <mergeCell ref="AR35:AR36"/>
    <mergeCell ref="AS35:AS36"/>
    <mergeCell ref="AT35:AT36"/>
    <mergeCell ref="AU35:AU36"/>
    <mergeCell ref="AV35:AV36"/>
    <mergeCell ref="AW35:AW36"/>
    <mergeCell ref="AX35:AX36"/>
    <mergeCell ref="A41:A42"/>
    <mergeCell ref="B41:B42"/>
    <mergeCell ref="C41:C42"/>
    <mergeCell ref="A37:A38"/>
    <mergeCell ref="B37:B38"/>
    <mergeCell ref="C37:C38"/>
    <mergeCell ref="AJ37:AJ38"/>
    <mergeCell ref="AK37:AK38"/>
    <mergeCell ref="A31:A32"/>
    <mergeCell ref="B31:B32"/>
    <mergeCell ref="C31:C32"/>
    <mergeCell ref="A17:A18"/>
    <mergeCell ref="B17:B18"/>
    <mergeCell ref="C17:C18"/>
    <mergeCell ref="A25:A26"/>
    <mergeCell ref="B25:B26"/>
    <mergeCell ref="C25:C26"/>
    <mergeCell ref="A23:A24"/>
    <mergeCell ref="B23:B24"/>
    <mergeCell ref="C23:C24"/>
    <mergeCell ref="A19:A20"/>
    <mergeCell ref="B19:B20"/>
    <mergeCell ref="C19:C20"/>
    <mergeCell ref="A27:A28"/>
    <mergeCell ref="B27:B28"/>
    <mergeCell ref="C27:C28"/>
    <mergeCell ref="A21:A22"/>
    <mergeCell ref="B21:B22"/>
    <mergeCell ref="C21:C22"/>
    <mergeCell ref="A52:C52"/>
    <mergeCell ref="D52:I52"/>
    <mergeCell ref="K52:M52"/>
    <mergeCell ref="O52:S52"/>
    <mergeCell ref="K55:M55"/>
    <mergeCell ref="O55:S55"/>
    <mergeCell ref="K54:M54"/>
    <mergeCell ref="O54:S54"/>
    <mergeCell ref="A49:A50"/>
    <mergeCell ref="B49:B50"/>
    <mergeCell ref="C49:C50"/>
    <mergeCell ref="D49:D50"/>
    <mergeCell ref="D54:I54"/>
    <mergeCell ref="AZ49:AZ50"/>
    <mergeCell ref="AX49:AX50"/>
    <mergeCell ref="AY49:AY50"/>
    <mergeCell ref="AS49:AS50"/>
    <mergeCell ref="AT49:AT50"/>
    <mergeCell ref="AV49:AV50"/>
    <mergeCell ref="AW49:AW50"/>
    <mergeCell ref="E64:Q64"/>
    <mergeCell ref="E65:Q65"/>
    <mergeCell ref="D53:I53"/>
    <mergeCell ref="K53:M53"/>
    <mergeCell ref="O53:S53"/>
    <mergeCell ref="D55:I55"/>
    <mergeCell ref="AR49:AR50"/>
    <mergeCell ref="U52:Z52"/>
    <mergeCell ref="U54:Z54"/>
    <mergeCell ref="AU49:AU50"/>
    <mergeCell ref="AL49:AL50"/>
    <mergeCell ref="AJ49:AJ50"/>
    <mergeCell ref="AK49:AK50"/>
    <mergeCell ref="AM49:AM50"/>
    <mergeCell ref="AN49:AN50"/>
    <mergeCell ref="AO49:AO50"/>
    <mergeCell ref="AP49:AP50"/>
    <mergeCell ref="AZ31:AZ32"/>
    <mergeCell ref="AS31:AS32"/>
    <mergeCell ref="AT31:AT32"/>
    <mergeCell ref="AU31:AU32"/>
    <mergeCell ref="AY31:AY32"/>
    <mergeCell ref="AW31:AW32"/>
    <mergeCell ref="AJ12:AO12"/>
    <mergeCell ref="AP12:AP15"/>
    <mergeCell ref="AQ12:AQ15"/>
    <mergeCell ref="AZ17:AZ18"/>
    <mergeCell ref="AO17:AO18"/>
    <mergeCell ref="AP17:AP18"/>
    <mergeCell ref="AQ17:AQ18"/>
    <mergeCell ref="AY13:AY15"/>
    <mergeCell ref="AR13:AR15"/>
    <mergeCell ref="AZ13:AZ15"/>
    <mergeCell ref="AL17:AL18"/>
    <mergeCell ref="AM17:AM18"/>
    <mergeCell ref="AN17:AN18"/>
    <mergeCell ref="AJ13:AJ15"/>
    <mergeCell ref="AK13:AO13"/>
    <mergeCell ref="AJ17:AJ18"/>
    <mergeCell ref="AK17:AK18"/>
    <mergeCell ref="AS13:AS15"/>
    <mergeCell ref="AR17:AR18"/>
    <mergeCell ref="AS17:AS18"/>
    <mergeCell ref="AT17:AT18"/>
    <mergeCell ref="AU17:AU18"/>
    <mergeCell ref="AV17:AV18"/>
    <mergeCell ref="AX13:AX15"/>
    <mergeCell ref="AW13:AW15"/>
    <mergeCell ref="AC13:AC15"/>
    <mergeCell ref="AD13:AD15"/>
    <mergeCell ref="AG13:AG15"/>
    <mergeCell ref="AH13:AH15"/>
    <mergeCell ref="AI13:AI15"/>
    <mergeCell ref="AW17:AW18"/>
    <mergeCell ref="E13:E15"/>
    <mergeCell ref="F13:F15"/>
    <mergeCell ref="H9:S9"/>
    <mergeCell ref="D10:P10"/>
    <mergeCell ref="O13:O15"/>
    <mergeCell ref="D17:D18"/>
    <mergeCell ref="R13:R15"/>
    <mergeCell ref="S13:S15"/>
    <mergeCell ref="K13:K15"/>
    <mergeCell ref="C8:F8"/>
    <mergeCell ref="W8:Y8"/>
    <mergeCell ref="Z8:AB8"/>
    <mergeCell ref="Z6:AB7"/>
    <mergeCell ref="AT13:AT15"/>
    <mergeCell ref="AU13:AU15"/>
    <mergeCell ref="AV13:AV15"/>
    <mergeCell ref="AY17:AY18"/>
    <mergeCell ref="AE13:AE15"/>
    <mergeCell ref="AF13:AF15"/>
    <mergeCell ref="AK14:AK15"/>
    <mergeCell ref="AL14:AO14"/>
    <mergeCell ref="G13:G15"/>
    <mergeCell ref="U13:U15"/>
    <mergeCell ref="V13:V15"/>
    <mergeCell ref="W13:W15"/>
    <mergeCell ref="Z13:Z15"/>
    <mergeCell ref="J13:J15"/>
    <mergeCell ref="P13:P15"/>
    <mergeCell ref="Q13:Q15"/>
    <mergeCell ref="Y13:Y15"/>
    <mergeCell ref="AK16:AO16"/>
    <mergeCell ref="AX17:AX18"/>
    <mergeCell ref="E16:AI16"/>
    <mergeCell ref="A2:N2"/>
    <mergeCell ref="W2:AB2"/>
    <mergeCell ref="W3:Y3"/>
    <mergeCell ref="Z3:AB3"/>
    <mergeCell ref="W4:Y4"/>
    <mergeCell ref="Z4:AB4"/>
    <mergeCell ref="A12:A15"/>
    <mergeCell ref="B12:B15"/>
    <mergeCell ref="C12:C15"/>
    <mergeCell ref="D12:D15"/>
    <mergeCell ref="E12:AI12"/>
    <mergeCell ref="L13:L15"/>
    <mergeCell ref="M13:M15"/>
    <mergeCell ref="N13:N15"/>
    <mergeCell ref="A5:N5"/>
    <mergeCell ref="A6:N6"/>
    <mergeCell ref="W6:Y7"/>
    <mergeCell ref="T13:T15"/>
    <mergeCell ref="H13:H15"/>
    <mergeCell ref="I13:I15"/>
    <mergeCell ref="AA13:AA15"/>
    <mergeCell ref="AB13:AB15"/>
    <mergeCell ref="X13:X15"/>
    <mergeCell ref="A8:B8"/>
    <mergeCell ref="AY19:AY20"/>
    <mergeCell ref="AZ19:AZ20"/>
    <mergeCell ref="D19:D20"/>
    <mergeCell ref="AJ19:AJ20"/>
    <mergeCell ref="AK19:AK20"/>
    <mergeCell ref="AL19:AL20"/>
    <mergeCell ref="AM19:AM20"/>
    <mergeCell ref="AN19:AN20"/>
    <mergeCell ref="AO19:AO20"/>
    <mergeCell ref="AP19:AP20"/>
    <mergeCell ref="AQ19:AQ20"/>
    <mergeCell ref="AQ27:AQ28"/>
    <mergeCell ref="AR27:AR28"/>
    <mergeCell ref="AS27:AS28"/>
    <mergeCell ref="AT27:AT28"/>
    <mergeCell ref="AU27:AU28"/>
    <mergeCell ref="AV27:AV28"/>
    <mergeCell ref="AW27:AW28"/>
    <mergeCell ref="AX27:AX28"/>
    <mergeCell ref="AR19:AR20"/>
    <mergeCell ref="AS19:AS20"/>
    <mergeCell ref="AT19:AT20"/>
    <mergeCell ref="AU19:AU20"/>
    <mergeCell ref="AV19:AV20"/>
    <mergeCell ref="AW19:AW20"/>
    <mergeCell ref="AX19:AX20"/>
    <mergeCell ref="AR21:AR22"/>
    <mergeCell ref="AS21:AS22"/>
    <mergeCell ref="AT21:AT22"/>
    <mergeCell ref="AU21:AU22"/>
    <mergeCell ref="AV21:AV22"/>
    <mergeCell ref="AW21:AW22"/>
    <mergeCell ref="AX21:AX22"/>
    <mergeCell ref="AY27:AY28"/>
    <mergeCell ref="AZ27:AZ28"/>
    <mergeCell ref="A29:A30"/>
    <mergeCell ref="B29:B30"/>
    <mergeCell ref="C29:C30"/>
    <mergeCell ref="D29:D30"/>
    <mergeCell ref="AJ29:AJ30"/>
    <mergeCell ref="AK29:AK30"/>
    <mergeCell ref="AL29:AL30"/>
    <mergeCell ref="AM29:AM30"/>
    <mergeCell ref="AN29:AN30"/>
    <mergeCell ref="AO29:AO30"/>
    <mergeCell ref="AP29:AP30"/>
    <mergeCell ref="AQ29:AQ30"/>
    <mergeCell ref="AR29:AR30"/>
    <mergeCell ref="AS29:AS30"/>
    <mergeCell ref="AT29:AT30"/>
    <mergeCell ref="AU29:AU30"/>
    <mergeCell ref="AV29:AV30"/>
    <mergeCell ref="AW29:AW30"/>
    <mergeCell ref="AX29:AX30"/>
    <mergeCell ref="AY29:AY30"/>
    <mergeCell ref="AZ29:AZ30"/>
    <mergeCell ref="AP27:AP28"/>
    <mergeCell ref="A33:A34"/>
    <mergeCell ref="B33:B34"/>
    <mergeCell ref="C33:C34"/>
    <mergeCell ref="D33:D34"/>
    <mergeCell ref="AJ33:AJ34"/>
    <mergeCell ref="AK33:AK34"/>
    <mergeCell ref="AL33:AL34"/>
    <mergeCell ref="AM33:AM34"/>
    <mergeCell ref="AN33:AN34"/>
    <mergeCell ref="AO33:AO34"/>
    <mergeCell ref="AP33:AP34"/>
    <mergeCell ref="AQ33:AQ34"/>
    <mergeCell ref="AR33:AR34"/>
    <mergeCell ref="AS33:AS34"/>
    <mergeCell ref="AT33:AT34"/>
    <mergeCell ref="AU33:AU34"/>
    <mergeCell ref="AV33:AV34"/>
    <mergeCell ref="AW33:AW34"/>
    <mergeCell ref="AX33:AX34"/>
    <mergeCell ref="AY33:AY34"/>
    <mergeCell ref="AZ33:AZ34"/>
    <mergeCell ref="A39:A40"/>
    <mergeCell ref="B39:B40"/>
    <mergeCell ref="C39:C40"/>
    <mergeCell ref="D39:D40"/>
    <mergeCell ref="AJ39:AJ40"/>
    <mergeCell ref="AK39:AK40"/>
    <mergeCell ref="AL39:AL40"/>
    <mergeCell ref="AM39:AM40"/>
    <mergeCell ref="AN39:AN40"/>
    <mergeCell ref="AO39:AO40"/>
    <mergeCell ref="AP39:AP40"/>
    <mergeCell ref="AQ39:AQ40"/>
    <mergeCell ref="AR39:AR40"/>
    <mergeCell ref="AS39:AS40"/>
    <mergeCell ref="AT39:AT40"/>
    <mergeCell ref="AU39:AU40"/>
    <mergeCell ref="AV39:AV40"/>
    <mergeCell ref="AW39:AW40"/>
    <mergeCell ref="AX39:AX40"/>
    <mergeCell ref="AY39:AY40"/>
    <mergeCell ref="AZ39:AZ40"/>
    <mergeCell ref="AX43:AX44"/>
    <mergeCell ref="AY43:AY44"/>
    <mergeCell ref="AZ43:AZ44"/>
    <mergeCell ref="AO43:AO44"/>
    <mergeCell ref="AP43:AP44"/>
    <mergeCell ref="AQ43:AQ44"/>
    <mergeCell ref="AR43:AR44"/>
    <mergeCell ref="AS43:AS44"/>
    <mergeCell ref="AT43:AT44"/>
    <mergeCell ref="AU43:AU44"/>
    <mergeCell ref="AV43:AV44"/>
    <mergeCell ref="AW43:AW44"/>
    <mergeCell ref="AY21:AY22"/>
    <mergeCell ref="AZ21:AZ22"/>
    <mergeCell ref="D21:D22"/>
    <mergeCell ref="AJ21:AJ22"/>
    <mergeCell ref="AK21:AK22"/>
    <mergeCell ref="AL21:AL22"/>
    <mergeCell ref="AM21:AM22"/>
    <mergeCell ref="AN21:AN22"/>
    <mergeCell ref="AO21:AO22"/>
    <mergeCell ref="AP21:AP22"/>
    <mergeCell ref="AQ21:AQ22"/>
  </mergeCells>
  <conditionalFormatting sqref="E17">
    <cfRule type="expression" dxfId="746" priority="73" stopIfTrue="1">
      <formula>(E17="Р")</formula>
    </cfRule>
    <cfRule type="expression" dxfId="745" priority="74" stopIfTrue="1">
      <formula>(E17="ВЧ")</formula>
    </cfRule>
    <cfRule type="expression" dxfId="744" priority="75" stopIfTrue="1">
      <formula>(E17="ВЧ1")</formula>
    </cfRule>
    <cfRule type="expression" dxfId="743" priority="76" stopIfTrue="1">
      <formula>(E17="ВЧ2")</formula>
    </cfRule>
    <cfRule type="expression" dxfId="742" priority="77" stopIfTrue="1">
      <formula>(E17="РН")</formula>
    </cfRule>
    <cfRule type="expression" dxfId="741" priority="78" stopIfTrue="1">
      <formula>(E17="НУ")</formula>
    </cfRule>
    <cfRule type="expression" dxfId="740" priority="79" stopIfTrue="1">
      <formula>(E17="Р1")</formula>
    </cfRule>
    <cfRule type="expression" dxfId="739" priority="80" stopIfTrue="1">
      <formula>(E17="Р2")</formula>
    </cfRule>
    <cfRule type="expression" dxfId="738" priority="81" stopIfTrue="1">
      <formula>(E17="Р1/РВ")</formula>
    </cfRule>
    <cfRule type="expression" dxfId="737" priority="82" stopIfTrue="1">
      <formula>(E17="Р2/РВ")</formula>
    </cfRule>
    <cfRule type="expression" dxfId="736" priority="83" stopIfTrue="1">
      <formula>(E17="ВЧ/РВ")</formula>
    </cfRule>
    <cfRule type="expression" priority="84" stopIfTrue="1">
      <formula>(E17="РН/РВ")</formula>
    </cfRule>
  </conditionalFormatting>
  <conditionalFormatting sqref="F17:AI17">
    <cfRule type="expression" dxfId="735" priority="61" stopIfTrue="1">
      <formula>(F17="Р")</formula>
    </cfRule>
    <cfRule type="expression" dxfId="734" priority="62" stopIfTrue="1">
      <formula>(F17="ВЧ")</formula>
    </cfRule>
    <cfRule type="expression" dxfId="733" priority="63" stopIfTrue="1">
      <formula>(F17="ВЧ1")</formula>
    </cfRule>
    <cfRule type="expression" dxfId="732" priority="64" stopIfTrue="1">
      <formula>(F17="ВЧ2")</formula>
    </cfRule>
    <cfRule type="expression" dxfId="731" priority="65" stopIfTrue="1">
      <formula>(F17="РН")</formula>
    </cfRule>
    <cfRule type="expression" dxfId="730" priority="66" stopIfTrue="1">
      <formula>(F17="НУ")</formula>
    </cfRule>
    <cfRule type="expression" dxfId="729" priority="67" stopIfTrue="1">
      <formula>(F17="Р1")</formula>
    </cfRule>
    <cfRule type="expression" dxfId="728" priority="68" stopIfTrue="1">
      <formula>(F17="Р2")</formula>
    </cfRule>
    <cfRule type="expression" dxfId="727" priority="69" stopIfTrue="1">
      <formula>(F17="Р1/РВ")</formula>
    </cfRule>
    <cfRule type="expression" dxfId="726" priority="70" stopIfTrue="1">
      <formula>(F17="Р2/РВ")</formula>
    </cfRule>
    <cfRule type="expression" dxfId="725" priority="71" stopIfTrue="1">
      <formula>(F17="ВЧ/РВ")</formula>
    </cfRule>
    <cfRule type="expression" priority="72" stopIfTrue="1">
      <formula>(F17="РН/РВ")</formula>
    </cfRule>
  </conditionalFormatting>
  <conditionalFormatting sqref="E18">
    <cfRule type="expression" dxfId="724" priority="85" stopIfTrue="1">
      <formula>(E17="ВД")</formula>
    </cfRule>
    <cfRule type="expression" dxfId="723" priority="86" stopIfTrue="1">
      <formula>(E17="В")</formula>
    </cfRule>
    <cfRule type="expression" dxfId="722" priority="87" stopIfTrue="1">
      <formula>(E17="ВП")</formula>
    </cfRule>
    <cfRule type="expression" dxfId="721" priority="88" stopIfTrue="1">
      <formula>(E17="ДД")</formula>
    </cfRule>
    <cfRule type="expression" dxfId="720" priority="89" stopIfTrue="1">
      <formula>(E17="НА")</formula>
    </cfRule>
    <cfRule type="expression" dxfId="719" priority="90" stopIfTrue="1">
      <formula>(E17="Ч")</formula>
    </cfRule>
    <cfRule type="expression" dxfId="718" priority="91" stopIfTrue="1">
      <formula>(E17="Н")</formula>
    </cfRule>
    <cfRule type="expression" dxfId="717" priority="92" stopIfTrue="1">
      <formula>(E17="ТН")</formula>
    </cfRule>
    <cfRule type="expression" dxfId="716" priority="93" stopIfTrue="1">
      <formula>(E17="ДО")</formula>
    </cfRule>
    <cfRule type="expression" dxfId="715" priority="94" stopIfTrue="1">
      <formula>(E17="ІН")</formula>
    </cfRule>
    <cfRule type="expression" dxfId="714" priority="95" stopIfTrue="1">
      <formula>(E17="РВ")</formula>
    </cfRule>
    <cfRule type="expression" dxfId="713" priority="96" stopIfTrue="1">
      <formula>(E17="ВБ")</formula>
    </cfRule>
  </conditionalFormatting>
  <conditionalFormatting sqref="F18:AI18">
    <cfRule type="expression" dxfId="712" priority="49" stopIfTrue="1">
      <formula>(F17="ВД")</formula>
    </cfRule>
    <cfRule type="expression" dxfId="711" priority="50" stopIfTrue="1">
      <formula>(F17="В")</formula>
    </cfRule>
    <cfRule type="expression" dxfId="710" priority="51" stopIfTrue="1">
      <formula>(F17="ВП")</formula>
    </cfRule>
    <cfRule type="expression" dxfId="709" priority="52" stopIfTrue="1">
      <formula>(F17="ДД")</formula>
    </cfRule>
    <cfRule type="expression" dxfId="708" priority="53" stopIfTrue="1">
      <formula>(F17="НА")</formula>
    </cfRule>
    <cfRule type="expression" dxfId="707" priority="54" stopIfTrue="1">
      <formula>(F17="Ч")</formula>
    </cfRule>
    <cfRule type="expression" dxfId="706" priority="55" stopIfTrue="1">
      <formula>(F17="Н")</formula>
    </cfRule>
    <cfRule type="expression" dxfId="705" priority="56" stopIfTrue="1">
      <formula>(F17="ТН")</formula>
    </cfRule>
    <cfRule type="expression" dxfId="704" priority="57" stopIfTrue="1">
      <formula>(F17="ДО")</formula>
    </cfRule>
    <cfRule type="expression" dxfId="703" priority="58" stopIfTrue="1">
      <formula>(F17="ІН")</formula>
    </cfRule>
    <cfRule type="expression" dxfId="702" priority="59" stopIfTrue="1">
      <formula>(F17="РВ")</formula>
    </cfRule>
    <cfRule type="expression" dxfId="701" priority="60" stopIfTrue="1">
      <formula>(F17="ВБ")</formula>
    </cfRule>
  </conditionalFormatting>
  <conditionalFormatting sqref="E19 E21 E23 E25 E27 E29 E31 E33 E35 E37 E39 E41 E43 E45 E47">
    <cfRule type="expression" dxfId="700" priority="25" stopIfTrue="1">
      <formula>(E19="Р")</formula>
    </cfRule>
    <cfRule type="expression" dxfId="699" priority="26" stopIfTrue="1">
      <formula>(E19="ВЧ")</formula>
    </cfRule>
    <cfRule type="expression" dxfId="698" priority="27" stopIfTrue="1">
      <formula>(E19="ВЧ1")</formula>
    </cfRule>
    <cfRule type="expression" dxfId="697" priority="28" stopIfTrue="1">
      <formula>(E19="ВЧ2")</formula>
    </cfRule>
    <cfRule type="expression" dxfId="696" priority="29" stopIfTrue="1">
      <formula>(E19="РН")</formula>
    </cfRule>
    <cfRule type="expression" dxfId="695" priority="30" stopIfTrue="1">
      <formula>(E19="НУ")</formula>
    </cfRule>
    <cfRule type="expression" dxfId="694" priority="31" stopIfTrue="1">
      <formula>(E19="Р1")</formula>
    </cfRule>
    <cfRule type="expression" dxfId="693" priority="32" stopIfTrue="1">
      <formula>(E19="Р2")</formula>
    </cfRule>
    <cfRule type="expression" dxfId="692" priority="33" stopIfTrue="1">
      <formula>(E19="Р1/РВ")</formula>
    </cfRule>
    <cfRule type="expression" dxfId="691" priority="34" stopIfTrue="1">
      <formula>(E19="Р2/РВ")</formula>
    </cfRule>
    <cfRule type="expression" dxfId="690" priority="35" stopIfTrue="1">
      <formula>(E19="ВЧ/РВ")</formula>
    </cfRule>
    <cfRule type="expression" priority="36" stopIfTrue="1">
      <formula>(E19="РН/РВ")</formula>
    </cfRule>
  </conditionalFormatting>
  <conditionalFormatting sqref="F19:AI19 F21:AI21 F23:AI23 F25:AI25 F27:AI27 F29:AI29 F31:AI31 F33:AI33 F35:AI35 F37:AI37 F39:AI39 F41:AI41 F43:AI43 F45:AI45 F47:AI47">
    <cfRule type="expression" dxfId="689" priority="13" stopIfTrue="1">
      <formula>(F19="Р")</formula>
    </cfRule>
    <cfRule type="expression" dxfId="688" priority="14" stopIfTrue="1">
      <formula>(F19="ВЧ")</formula>
    </cfRule>
    <cfRule type="expression" dxfId="687" priority="15" stopIfTrue="1">
      <formula>(F19="ВЧ1")</formula>
    </cfRule>
    <cfRule type="expression" dxfId="686" priority="16" stopIfTrue="1">
      <formula>(F19="ВЧ2")</formula>
    </cfRule>
    <cfRule type="expression" dxfId="685" priority="17" stopIfTrue="1">
      <formula>(F19="РН")</formula>
    </cfRule>
    <cfRule type="expression" dxfId="684" priority="18" stopIfTrue="1">
      <formula>(F19="НУ")</formula>
    </cfRule>
    <cfRule type="expression" dxfId="683" priority="19" stopIfTrue="1">
      <formula>(F19="Р1")</formula>
    </cfRule>
    <cfRule type="expression" dxfId="682" priority="20" stopIfTrue="1">
      <formula>(F19="Р2")</formula>
    </cfRule>
    <cfRule type="expression" dxfId="681" priority="21" stopIfTrue="1">
      <formula>(F19="Р1/РВ")</formula>
    </cfRule>
    <cfRule type="expression" dxfId="680" priority="22" stopIfTrue="1">
      <formula>(F19="Р2/РВ")</formula>
    </cfRule>
    <cfRule type="expression" dxfId="679" priority="23" stopIfTrue="1">
      <formula>(F19="ВЧ/РВ")</formula>
    </cfRule>
    <cfRule type="expression" priority="24" stopIfTrue="1">
      <formula>(F19="РН/РВ")</formula>
    </cfRule>
  </conditionalFormatting>
  <conditionalFormatting sqref="E20 E22 E24 E26 E28 E30 E32 E34 E36 E38 E40 E42 E44 E46 E48">
    <cfRule type="expression" dxfId="678" priority="37" stopIfTrue="1">
      <formula>(E19="ВД")</formula>
    </cfRule>
    <cfRule type="expression" dxfId="677" priority="38" stopIfTrue="1">
      <formula>(E19="В")</formula>
    </cfRule>
    <cfRule type="expression" dxfId="676" priority="39" stopIfTrue="1">
      <formula>(E19="ВП")</formula>
    </cfRule>
    <cfRule type="expression" dxfId="675" priority="40" stopIfTrue="1">
      <formula>(E19="ДД")</formula>
    </cfRule>
    <cfRule type="expression" dxfId="674" priority="41" stopIfTrue="1">
      <formula>(E19="НА")</formula>
    </cfRule>
    <cfRule type="expression" dxfId="673" priority="42" stopIfTrue="1">
      <formula>(E19="Ч")</formula>
    </cfRule>
    <cfRule type="expression" dxfId="672" priority="43" stopIfTrue="1">
      <formula>(E19="Н")</formula>
    </cfRule>
    <cfRule type="expression" dxfId="671" priority="44" stopIfTrue="1">
      <formula>(E19="ТН")</formula>
    </cfRule>
    <cfRule type="expression" dxfId="670" priority="45" stopIfTrue="1">
      <formula>(E19="ДО")</formula>
    </cfRule>
    <cfRule type="expression" dxfId="669" priority="46" stopIfTrue="1">
      <formula>(E19="ІН")</formula>
    </cfRule>
    <cfRule type="expression" dxfId="668" priority="47" stopIfTrue="1">
      <formula>(E19="РВ")</formula>
    </cfRule>
    <cfRule type="expression" dxfId="667" priority="48" stopIfTrue="1">
      <formula>(E19="ВБ")</formula>
    </cfRule>
  </conditionalFormatting>
  <conditionalFormatting sqref="F20:AI20 F22:AI22 F24:AI24 F26:AI26 F28:AI28 F30:AI30 F32:AI32 F34:AI34 F36:AI36 F38:AI38 F40:AI40 F42:AI42 F44:AI44 F46:AI46 F48:AI48">
    <cfRule type="expression" dxfId="666" priority="1" stopIfTrue="1">
      <formula>(F19="ВД")</formula>
    </cfRule>
    <cfRule type="expression" dxfId="665" priority="2" stopIfTrue="1">
      <formula>(F19="В")</formula>
    </cfRule>
    <cfRule type="expression" dxfId="664" priority="3" stopIfTrue="1">
      <formula>(F19="ВП")</formula>
    </cfRule>
    <cfRule type="expression" dxfId="663" priority="4" stopIfTrue="1">
      <formula>(F19="ДД")</formula>
    </cfRule>
    <cfRule type="expression" dxfId="662" priority="5" stopIfTrue="1">
      <formula>(F19="НА")</formula>
    </cfRule>
    <cfRule type="expression" dxfId="661" priority="6" stopIfTrue="1">
      <formula>(F19="Ч")</formula>
    </cfRule>
    <cfRule type="expression" dxfId="660" priority="7" stopIfTrue="1">
      <formula>(F19="Н")</formula>
    </cfRule>
    <cfRule type="expression" dxfId="659" priority="8" stopIfTrue="1">
      <formula>(F19="ТН")</formula>
    </cfRule>
    <cfRule type="expression" dxfId="658" priority="9" stopIfTrue="1">
      <formula>(F19="ДО")</formula>
    </cfRule>
    <cfRule type="expression" dxfId="657" priority="10" stopIfTrue="1">
      <formula>(F19="ІН")</formula>
    </cfRule>
    <cfRule type="expression" dxfId="656" priority="11" stopIfTrue="1">
      <formula>(F19="РВ")</formula>
    </cfRule>
    <cfRule type="expression" dxfId="655" priority="12" stopIfTrue="1">
      <formula>(F19="ВБ")</formula>
    </cfRule>
  </conditionalFormatting>
  <printOptions horizontalCentered="1"/>
  <pageMargins left="0.39370078740157483" right="0.39370078740157483" top="0.59055118110236227" bottom="0.78740157480314965" header="0" footer="0"/>
  <pageSetup paperSize="8" scale="84" fitToHeight="999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2772" r:id="rId4" name="Button 4">
              <controlPr defaultSize="0" print="0" autoFill="0" autoPict="0" macro="[0]!Макрос1">
                <anchor moveWithCells="1" sizeWithCells="1">
                  <from>
                    <xdr:col>16</xdr:col>
                    <xdr:colOff>28575</xdr:colOff>
                    <xdr:row>1</xdr:row>
                    <xdr:rowOff>9525</xdr:rowOff>
                  </from>
                  <to>
                    <xdr:col>21</xdr:col>
                    <xdr:colOff>9525</xdr:colOff>
                    <xdr:row>2</xdr:row>
                    <xdr:rowOff>85725</xdr:rowOff>
                  </to>
                </anchor>
              </controlPr>
            </control>
          </mc:Choice>
        </mc:AlternateContent>
        <mc:AlternateContent xmlns:mc="http://schemas.openxmlformats.org/markup-compatibility/2006">
          <mc:Choice Requires="x14">
            <control shapeId="32773" r:id="rId5" name="Button 5">
              <controlPr defaultSize="0" print="0" autoFill="0" autoPict="0" macro="[0]!Макрос2">
                <anchor moveWithCells="1" sizeWithCells="1">
                  <from>
                    <xdr:col>16</xdr:col>
                    <xdr:colOff>28575</xdr:colOff>
                    <xdr:row>3</xdr:row>
                    <xdr:rowOff>66675</xdr:rowOff>
                  </from>
                  <to>
                    <xdr:col>21</xdr:col>
                    <xdr:colOff>19050</xdr:colOff>
                    <xdr:row>4</xdr:row>
                    <xdr:rowOff>104775</xdr:rowOff>
                  </to>
                </anchor>
              </controlPr>
            </control>
          </mc:Choice>
        </mc:AlternateContent>
        <mc:AlternateContent xmlns:mc="http://schemas.openxmlformats.org/markup-compatibility/2006">
          <mc:Choice Requires="x14">
            <control shapeId="32774" r:id="rId6" name="Button 6">
              <controlPr defaultSize="0" print="0" autoFill="0" autoPict="0" macro="[0]!Макрос3">
                <anchor moveWithCells="1" sizeWithCells="1">
                  <from>
                    <xdr:col>14</xdr:col>
                    <xdr:colOff>123825</xdr:colOff>
                    <xdr:row>5</xdr:row>
                    <xdr:rowOff>95250</xdr:rowOff>
                  </from>
                  <to>
                    <xdr:col>21</xdr:col>
                    <xdr:colOff>19050</xdr:colOff>
                    <xdr:row>6</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2">
    <pageSetUpPr fitToPage="1"/>
  </sheetPr>
  <dimension ref="A2:AZ59"/>
  <sheetViews>
    <sheetView showZeros="0" topLeftCell="B1" zoomScale="85" zoomScaleNormal="85" zoomScaleSheetLayoutView="80" workbookViewId="0">
      <pane ySplit="15" topLeftCell="A16" activePane="bottomLeft" state="frozen"/>
      <selection pane="bottomLeft" activeCell="E18" sqref="E18"/>
    </sheetView>
  </sheetViews>
  <sheetFormatPr defaultRowHeight="12.75" x14ac:dyDescent="0.2"/>
  <cols>
    <col min="1" max="1" width="5.28515625" style="51" customWidth="1"/>
    <col min="2" max="2" width="25.85546875" style="51" customWidth="1"/>
    <col min="3" max="3" width="5.85546875" style="13" customWidth="1"/>
    <col min="4" max="4" width="3.7109375" style="51" customWidth="1"/>
    <col min="5" max="5" width="4.7109375" style="51" customWidth="1"/>
    <col min="6" max="6" width="4.5703125" style="51" customWidth="1"/>
    <col min="7" max="10" width="3.7109375" style="51" customWidth="1"/>
    <col min="11" max="11" width="5" style="51" customWidth="1"/>
    <col min="12" max="12" width="4.42578125" style="51" customWidth="1"/>
    <col min="13" max="16" width="3.7109375" style="51" customWidth="1"/>
    <col min="17" max="17" width="4.28515625" style="51" customWidth="1"/>
    <col min="18" max="18" width="5" style="51" customWidth="1"/>
    <col min="19" max="19" width="5.28515625" style="51" customWidth="1"/>
    <col min="20" max="35" width="3.7109375" style="51" customWidth="1"/>
    <col min="36" max="36" width="4.7109375" style="51" customWidth="1"/>
    <col min="37" max="37" width="6.42578125" style="51" customWidth="1"/>
    <col min="38" max="40" width="4.7109375" style="51" customWidth="1"/>
    <col min="41" max="41" width="5.140625" style="51" customWidth="1"/>
    <col min="42" max="48" width="4.7109375" style="51" customWidth="1"/>
    <col min="49" max="49" width="4.7109375" style="131" customWidth="1"/>
    <col min="50" max="52" width="4.7109375" style="51" customWidth="1"/>
    <col min="53" max="16384" width="9.140625" style="5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102</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103</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4"/>
      <c r="U9" s="44"/>
      <c r="V9" s="44"/>
      <c r="W9" s="44"/>
      <c r="X9" s="44"/>
      <c r="Y9" s="44"/>
      <c r="Z9" s="44"/>
      <c r="AA9" s="44"/>
      <c r="AB9" s="44"/>
      <c r="AC9" s="44"/>
      <c r="AD9" s="44"/>
      <c r="AE9" s="44"/>
      <c r="AF9" s="44"/>
      <c r="AG9" s="44"/>
      <c r="AH9" s="44"/>
      <c r="AI9" s="44"/>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67">
        <v>1</v>
      </c>
      <c r="B16" s="66">
        <v>2</v>
      </c>
      <c r="C16" s="71">
        <v>3</v>
      </c>
      <c r="D16" s="71" t="s">
        <v>27</v>
      </c>
      <c r="E16" s="233">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4"/>
      <c r="AJ16" s="66">
        <v>6</v>
      </c>
      <c r="AK16" s="233">
        <v>7</v>
      </c>
      <c r="AL16" s="232"/>
      <c r="AM16" s="232"/>
      <c r="AN16" s="232"/>
      <c r="AO16" s="234"/>
      <c r="AP16" s="66">
        <v>8</v>
      </c>
      <c r="AQ16" s="27">
        <v>9</v>
      </c>
      <c r="AR16" s="28"/>
      <c r="AS16" s="28"/>
      <c r="AT16" s="28"/>
      <c r="AU16" s="28"/>
      <c r="AV16" s="28"/>
      <c r="AW16" s="28"/>
      <c r="AX16" s="28"/>
      <c r="AY16" s="29"/>
      <c r="AZ16" s="30"/>
    </row>
    <row r="17" spans="1:52" ht="20.100000000000001" customHeight="1" x14ac:dyDescent="0.2">
      <c r="A17" s="305">
        <v>1</v>
      </c>
      <c r="B17" s="228" t="s">
        <v>104</v>
      </c>
      <c r="C17" s="279">
        <v>2085</v>
      </c>
      <c r="D17" s="279" t="s">
        <v>65</v>
      </c>
      <c r="E17" s="185" t="s">
        <v>47</v>
      </c>
      <c r="F17" s="191" t="s">
        <v>142</v>
      </c>
      <c r="G17" s="191" t="s">
        <v>4</v>
      </c>
      <c r="H17" s="191" t="s">
        <v>4</v>
      </c>
      <c r="I17" s="191" t="s">
        <v>4</v>
      </c>
      <c r="J17" s="191" t="s">
        <v>4</v>
      </c>
      <c r="K17" s="191" t="s">
        <v>4</v>
      </c>
      <c r="L17" s="191" t="s">
        <v>142</v>
      </c>
      <c r="M17" s="191" t="s">
        <v>142</v>
      </c>
      <c r="N17" s="191" t="s">
        <v>4</v>
      </c>
      <c r="O17" s="191" t="s">
        <v>4</v>
      </c>
      <c r="P17" s="191" t="s">
        <v>4</v>
      </c>
      <c r="Q17" s="191" t="s">
        <v>4</v>
      </c>
      <c r="R17" s="191" t="s">
        <v>4</v>
      </c>
      <c r="S17" s="191" t="s">
        <v>142</v>
      </c>
      <c r="T17" s="191" t="s">
        <v>142</v>
      </c>
      <c r="U17" s="191" t="s">
        <v>4</v>
      </c>
      <c r="V17" s="191" t="s">
        <v>4</v>
      </c>
      <c r="W17" s="191" t="s">
        <v>4</v>
      </c>
      <c r="X17" s="191" t="s">
        <v>4</v>
      </c>
      <c r="Y17" s="191" t="s">
        <v>4</v>
      </c>
      <c r="Z17" s="191" t="s">
        <v>142</v>
      </c>
      <c r="AA17" s="191" t="s">
        <v>142</v>
      </c>
      <c r="AB17" s="191" t="s">
        <v>4</v>
      </c>
      <c r="AC17" s="191" t="s">
        <v>4</v>
      </c>
      <c r="AD17" s="191" t="s">
        <v>4</v>
      </c>
      <c r="AE17" s="191" t="s">
        <v>4</v>
      </c>
      <c r="AF17" s="191" t="s">
        <v>4</v>
      </c>
      <c r="AG17" s="191" t="s">
        <v>142</v>
      </c>
      <c r="AH17" s="191" t="s">
        <v>142</v>
      </c>
      <c r="AI17" s="191" t="s">
        <v>4</v>
      </c>
      <c r="AJ17" s="294">
        <f>IFERROR(COUNTIF(E17:AI17,"=Р")+COUNTIF(E17:AI17,"=Р1")+COUNTIF(E17:AI17,"=ВЧ")+COUNTIF(E17:AI17,"=РН")+COUNTIF(E17:AI17,"=Р2")+COUNTIF(E17:AI17,"=Р1/РВ")+COUNTIF(E17:AI17,"=Р2/РВ")+COUNTIF(E17:AI17,"=ВЧ/РВ")+COUNTIF(E17:AI17,"=РН/РВ"),0)</f>
        <v>21</v>
      </c>
      <c r="AK17" s="211">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167.99999999999997</v>
      </c>
      <c r="AL17" s="211">
        <f>IFERROR(SUMIF(E17:AI17,"=НУ",E18:AI18),0)</f>
        <v>0</v>
      </c>
      <c r="AM17" s="211">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11">
        <f>IFERROR(SUMIF(E17:AI17,"=РВ",E18:AI18)+SUMIF(E17:AI17,"=ВЧ/РВ",E18:AI18)+SUMIF(E17:AI17,"=РН/РВ",E18:AI18)+SUMIF(E17:AI17,"=Р1/РВ",E18:AI18)+SUMIF(E17:AI17,"=ВЧ2/РВ",E18:AI18)+SUMIF(E17:AI17,"=Р2/РВ",E18:AI18),0)</f>
        <v>5</v>
      </c>
      <c r="AP17" s="211">
        <f>IFERROR(COUNTIF(E17:AI17,"=ВВ")+COUNTIF(E17:AI17,"=Р1/ВВ")+COUNTIF(E17:AI17,"=РН/ВВ")+COUNTIF(E17:AI17,"=ВЧ/ВВ"),0)</f>
        <v>9</v>
      </c>
      <c r="AQ17" s="211">
        <f>SUM(AR17:AZ17)</f>
        <v>0</v>
      </c>
      <c r="AR17" s="211">
        <f>IFERROR(SUMIF(E17:AI17,"=В",E18:AI18)+SUMIF(E17:AI17,"=Ч",E18:AI18)+SUMIF(E17:AI17,"=ВБ",E18:AI18),0)</f>
        <v>0</v>
      </c>
      <c r="AS17" s="211">
        <f>IFERROR(SUMIF(E17:AI17,"=Н",E18:AI18),0)</f>
        <v>0</v>
      </c>
      <c r="AT17" s="211">
        <f>IFERROR(SUMIF(E17:AI17,"=НА",E18:AI18),0)</f>
        <v>0</v>
      </c>
      <c r="AU17" s="211">
        <f>IFERROR(SUMIF(E17:AI17,"=ВП",E18:AI18),0)</f>
        <v>0</v>
      </c>
      <c r="AV17" s="211">
        <f>IFERROR(SUMIF(E17:AI17,"=ДД",E18:AI18),0)</f>
        <v>0</v>
      </c>
      <c r="AW17" s="202">
        <f>IFERROR(SUMIF(E17:AI17,"=ДО",E18:AI18),0)</f>
        <v>0</v>
      </c>
      <c r="AX17" s="211">
        <f>IFERROR(SUMIF(E17:AI17,"=ТН",E18:AI18),0)</f>
        <v>0</v>
      </c>
      <c r="AY17" s="211">
        <f>IFERROR(SUMIF(E17:AI17,"=ВД",E18:AI18),0)</f>
        <v>0</v>
      </c>
      <c r="AZ17" s="312">
        <f>IFERROR(SUMIF(E17:AI17,"=ІН",E18:AI18),0)+SUMIF(E17:AI17,"=НЗ",E18:AI18)</f>
        <v>0</v>
      </c>
    </row>
    <row r="18" spans="1:52" ht="20.100000000000001" customHeight="1" thickBot="1" x14ac:dyDescent="0.25">
      <c r="A18" s="306"/>
      <c r="B18" s="229"/>
      <c r="C18" s="280"/>
      <c r="D18" s="280"/>
      <c r="E18" s="186">
        <v>5</v>
      </c>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c r="AH18" s="192"/>
      <c r="AI18" s="192">
        <v>8.1999999999999993</v>
      </c>
      <c r="AJ18" s="314"/>
      <c r="AK18" s="212"/>
      <c r="AL18" s="212"/>
      <c r="AM18" s="212"/>
      <c r="AN18" s="212"/>
      <c r="AO18" s="212"/>
      <c r="AP18" s="212"/>
      <c r="AQ18" s="311"/>
      <c r="AR18" s="311"/>
      <c r="AS18" s="311"/>
      <c r="AT18" s="311"/>
      <c r="AU18" s="311"/>
      <c r="AV18" s="311"/>
      <c r="AW18" s="203"/>
      <c r="AX18" s="311"/>
      <c r="AY18" s="311"/>
      <c r="AZ18" s="313"/>
    </row>
    <row r="19" spans="1:52" ht="20.100000000000001" customHeight="1" x14ac:dyDescent="0.2">
      <c r="A19" s="305">
        <f>A17+1</f>
        <v>2</v>
      </c>
      <c r="B19" s="228" t="s">
        <v>221</v>
      </c>
      <c r="C19" s="279">
        <v>1636</v>
      </c>
      <c r="D19" s="279" t="s">
        <v>65</v>
      </c>
      <c r="E19" s="191" t="s">
        <v>142</v>
      </c>
      <c r="F19" s="191" t="s">
        <v>142</v>
      </c>
      <c r="G19" s="191" t="s">
        <v>4</v>
      </c>
      <c r="H19" s="191" t="s">
        <v>4</v>
      </c>
      <c r="I19" s="191" t="s">
        <v>4</v>
      </c>
      <c r="J19" s="191" t="s">
        <v>4</v>
      </c>
      <c r="K19" s="191" t="s">
        <v>4</v>
      </c>
      <c r="L19" s="191" t="s">
        <v>142</v>
      </c>
      <c r="M19" s="191" t="s">
        <v>142</v>
      </c>
      <c r="N19" s="191" t="s">
        <v>4</v>
      </c>
      <c r="O19" s="191" t="s">
        <v>4</v>
      </c>
      <c r="P19" s="191" t="s">
        <v>4</v>
      </c>
      <c r="Q19" s="191" t="s">
        <v>4</v>
      </c>
      <c r="R19" s="191" t="s">
        <v>4</v>
      </c>
      <c r="S19" s="191" t="s">
        <v>142</v>
      </c>
      <c r="T19" s="191" t="s">
        <v>142</v>
      </c>
      <c r="U19" s="191" t="s">
        <v>4</v>
      </c>
      <c r="V19" s="191" t="s">
        <v>4</v>
      </c>
      <c r="W19" s="191" t="s">
        <v>4</v>
      </c>
      <c r="X19" s="191" t="s">
        <v>4</v>
      </c>
      <c r="Y19" s="191" t="s">
        <v>4</v>
      </c>
      <c r="Z19" s="191" t="s">
        <v>142</v>
      </c>
      <c r="AA19" s="191" t="s">
        <v>142</v>
      </c>
      <c r="AB19" s="191" t="s">
        <v>4</v>
      </c>
      <c r="AC19" s="191" t="s">
        <v>4</v>
      </c>
      <c r="AD19" s="191" t="s">
        <v>4</v>
      </c>
      <c r="AE19" s="191" t="s">
        <v>4</v>
      </c>
      <c r="AF19" s="191" t="s">
        <v>4</v>
      </c>
      <c r="AG19" s="191" t="s">
        <v>142</v>
      </c>
      <c r="AH19" s="191" t="s">
        <v>142</v>
      </c>
      <c r="AI19" s="191" t="s">
        <v>4</v>
      </c>
      <c r="AJ19" s="294">
        <f>IFERROR(COUNTIF(E19:AI19,"=Р")+COUNTIF(E19:AI19,"=Р1")+COUNTIF(E19:AI19,"=ВЧ")+COUNTIF(E19:AI19,"=РН")+COUNTIF(E19:AI19,"=Р2")+COUNTIF(E19:AI19,"=Р1/РВ")+COUNTIF(E19:AI19,"=Р2/РВ")+COUNTIF(E19:AI19,"=ВЧ/РВ")+COUNTIF(E19:AI19,"=РН/РВ"),0)</f>
        <v>21</v>
      </c>
      <c r="AK19" s="211">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167.99999999999997</v>
      </c>
      <c r="AL19" s="211">
        <f>IFERROR(SUMIF(E19:AI19,"=НУ",E20:AI20),0)</f>
        <v>0</v>
      </c>
      <c r="AM19" s="211">
        <f>IFERROR(SUMIF(E19:AI19,"=РН",E20:AI20)+SUMIF(E19:AI19,"=РН/РВ",E20:AI20)+SUMIFS(E20:AI20,E19:AI19,"=Р2",E20:AI20,"=8"),0)</f>
        <v>0</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0</v>
      </c>
      <c r="AO19" s="211">
        <f>IFERROR(SUMIF(E19:AI19,"=РВ",E20:AI20)+SUMIF(E19:AI19,"=ВЧ/РВ",E20:AI20)+SUMIF(E19:AI19,"=РН/РВ",E20:AI20)+SUMIF(E19:AI19,"=Р1/РВ",E20:AI20)+SUMIF(E19:AI19,"=ВЧ2/РВ",E20:AI20)+SUMIF(E19:AI19,"=Р2/РВ",E20:AI20),0)</f>
        <v>0</v>
      </c>
      <c r="AP19" s="211">
        <f>IFERROR(COUNTIF(E19:AI19,"=ВВ")+COUNTIF(E19:AI19,"=Р1/ВВ")+COUNTIF(E19:AI19,"=РН/ВВ")+COUNTIF(E19:AI19,"=ВЧ/ВВ"),0)</f>
        <v>10</v>
      </c>
      <c r="AQ19" s="211">
        <f>SUM(AR19:AZ19)</f>
        <v>0</v>
      </c>
      <c r="AR19" s="211">
        <f>IFERROR(SUMIF(E19:AI19,"=В",E20:AI20)+SUMIF(E19:AI19,"=Ч",E20:AI20)+SUMIF(E19:AI19,"=ВБ",E20:AI20),0)</f>
        <v>0</v>
      </c>
      <c r="AS19" s="211">
        <f>IFERROR(SUMIF(E19:AI19,"=Н",E20:AI20),0)</f>
        <v>0</v>
      </c>
      <c r="AT19" s="211">
        <f>IFERROR(SUMIF(E19:AI19,"=НА",E20:AI20),0)</f>
        <v>0</v>
      </c>
      <c r="AU19" s="211">
        <f>IFERROR(SUMIF(E19:AI19,"=ВП",E20:AI20),0)</f>
        <v>0</v>
      </c>
      <c r="AV19" s="211">
        <f>IFERROR(SUMIF(E19:AI19,"=ДД",E20:AI20),0)</f>
        <v>0</v>
      </c>
      <c r="AW19" s="202">
        <f>IFERROR(SUMIF(E19:AI19,"=ДО",E20:AI20),0)</f>
        <v>0</v>
      </c>
      <c r="AX19" s="211">
        <f>IFERROR(SUMIF(E19:AI19,"=ТН",E20:AI20),0)</f>
        <v>0</v>
      </c>
      <c r="AY19" s="211">
        <f>IFERROR(SUMIF(E19:AI19,"=ВД",E20:AI20),0)</f>
        <v>0</v>
      </c>
      <c r="AZ19" s="312">
        <f>IFERROR(SUMIF(E19:AI19,"=ІН",E20:AI20),0)+SUMIF(E19:AI19,"=НЗ",E20:AI20)</f>
        <v>0</v>
      </c>
    </row>
    <row r="20" spans="1:52" ht="20.100000000000001" customHeight="1" thickBot="1" x14ac:dyDescent="0.25">
      <c r="A20" s="306"/>
      <c r="B20" s="229"/>
      <c r="C20" s="280"/>
      <c r="D20" s="280"/>
      <c r="E20" s="192"/>
      <c r="F20" s="192"/>
      <c r="G20" s="192">
        <v>8.1999999999999993</v>
      </c>
      <c r="H20" s="192">
        <v>8.1999999999999993</v>
      </c>
      <c r="I20" s="192">
        <v>8.1999999999999993</v>
      </c>
      <c r="J20" s="192">
        <v>8.1999999999999993</v>
      </c>
      <c r="K20" s="192">
        <v>7</v>
      </c>
      <c r="L20" s="192"/>
      <c r="M20" s="192"/>
      <c r="N20" s="192">
        <v>8.1999999999999993</v>
      </c>
      <c r="O20" s="192">
        <v>8.1999999999999993</v>
      </c>
      <c r="P20" s="192">
        <v>8.1999999999999993</v>
      </c>
      <c r="Q20" s="192">
        <v>8.1999999999999993</v>
      </c>
      <c r="R20" s="192">
        <v>7.2</v>
      </c>
      <c r="S20" s="192"/>
      <c r="T20" s="192"/>
      <c r="U20" s="192">
        <v>8.1999999999999993</v>
      </c>
      <c r="V20" s="192">
        <v>8.1999999999999993</v>
      </c>
      <c r="W20" s="192">
        <v>8.1999999999999993</v>
      </c>
      <c r="X20" s="192">
        <v>8.1999999999999993</v>
      </c>
      <c r="Y20" s="192">
        <v>7.2</v>
      </c>
      <c r="Z20" s="192"/>
      <c r="AA20" s="192"/>
      <c r="AB20" s="192">
        <v>8.1999999999999993</v>
      </c>
      <c r="AC20" s="192">
        <v>8.1999999999999993</v>
      </c>
      <c r="AD20" s="192">
        <v>8.1999999999999993</v>
      </c>
      <c r="AE20" s="192">
        <v>8.1999999999999993</v>
      </c>
      <c r="AF20" s="192">
        <v>7.2</v>
      </c>
      <c r="AG20" s="192"/>
      <c r="AH20" s="192"/>
      <c r="AI20" s="192">
        <v>8.1999999999999993</v>
      </c>
      <c r="AJ20" s="314"/>
      <c r="AK20" s="212"/>
      <c r="AL20" s="212"/>
      <c r="AM20" s="212"/>
      <c r="AN20" s="212"/>
      <c r="AO20" s="212"/>
      <c r="AP20" s="212"/>
      <c r="AQ20" s="311"/>
      <c r="AR20" s="311"/>
      <c r="AS20" s="311"/>
      <c r="AT20" s="311"/>
      <c r="AU20" s="311"/>
      <c r="AV20" s="311"/>
      <c r="AW20" s="203"/>
      <c r="AX20" s="311"/>
      <c r="AY20" s="311"/>
      <c r="AZ20" s="313"/>
    </row>
    <row r="21" spans="1:52" ht="20.100000000000001" customHeight="1" x14ac:dyDescent="0.2">
      <c r="A21" s="305">
        <f t="shared" ref="A21" si="0">A19+1</f>
        <v>3</v>
      </c>
      <c r="B21" s="228" t="s">
        <v>222</v>
      </c>
      <c r="C21" s="279">
        <v>1569</v>
      </c>
      <c r="D21" s="279" t="s">
        <v>65</v>
      </c>
      <c r="E21" s="191" t="s">
        <v>142</v>
      </c>
      <c r="F21" s="191" t="s">
        <v>142</v>
      </c>
      <c r="G21" s="191" t="s">
        <v>4</v>
      </c>
      <c r="H21" s="191" t="s">
        <v>4</v>
      </c>
      <c r="I21" s="191" t="s">
        <v>4</v>
      </c>
      <c r="J21" s="191" t="s">
        <v>4</v>
      </c>
      <c r="K21" s="191" t="s">
        <v>4</v>
      </c>
      <c r="L21" s="191" t="s">
        <v>142</v>
      </c>
      <c r="M21" s="191" t="s">
        <v>142</v>
      </c>
      <c r="N21" s="191" t="s">
        <v>4</v>
      </c>
      <c r="O21" s="191" t="s">
        <v>4</v>
      </c>
      <c r="P21" s="191" t="s">
        <v>4</v>
      </c>
      <c r="Q21" s="191" t="s">
        <v>4</v>
      </c>
      <c r="R21" s="191" t="s">
        <v>4</v>
      </c>
      <c r="S21" s="191" t="s">
        <v>142</v>
      </c>
      <c r="T21" s="191" t="s">
        <v>142</v>
      </c>
      <c r="U21" s="191" t="s">
        <v>4</v>
      </c>
      <c r="V21" s="191" t="s">
        <v>4</v>
      </c>
      <c r="W21" s="191" t="s">
        <v>4</v>
      </c>
      <c r="X21" s="191" t="s">
        <v>4</v>
      </c>
      <c r="Y21" s="191" t="s">
        <v>4</v>
      </c>
      <c r="Z21" s="191" t="s">
        <v>142</v>
      </c>
      <c r="AA21" s="191" t="s">
        <v>142</v>
      </c>
      <c r="AB21" s="191" t="s">
        <v>4</v>
      </c>
      <c r="AC21" s="191" t="s">
        <v>4</v>
      </c>
      <c r="AD21" s="191" t="s">
        <v>4</v>
      </c>
      <c r="AE21" s="191" t="s">
        <v>4</v>
      </c>
      <c r="AF21" s="191" t="s">
        <v>4</v>
      </c>
      <c r="AG21" s="191" t="s">
        <v>142</v>
      </c>
      <c r="AH21" s="191" t="s">
        <v>142</v>
      </c>
      <c r="AI21" s="191" t="s">
        <v>4</v>
      </c>
      <c r="AJ21" s="294">
        <f>IFERROR(COUNTIF(E21:AI21,"=Р")+COUNTIF(E21:AI21,"=Р1")+COUNTIF(E21:AI21,"=ВЧ")+COUNTIF(E21:AI21,"=РН")+COUNTIF(E21:AI21,"=Р2")+COUNTIF(E21:AI21,"=Р1/РВ")+COUNTIF(E21:AI21,"=Р2/РВ")+COUNTIF(E21:AI21,"=ВЧ/РВ")+COUNTIF(E21:AI21,"=РН/РВ"),0)</f>
        <v>21</v>
      </c>
      <c r="AK21" s="211">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167.99999999999997</v>
      </c>
      <c r="AL21" s="211">
        <f>IFERROR(SUMIF(E21:AI21,"=НУ",E22:AI22),0)</f>
        <v>0</v>
      </c>
      <c r="AM21" s="211">
        <f>IFERROR(SUMIF(E21:AI21,"=РН",E22:AI22)+SUMIF(E21:AI21,"=РН/РВ",E22:AI22)+SUMIFS(E22:AI22,E21:AI21,"=Р2",E22:AI22,"=8"),0)</f>
        <v>0</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0</v>
      </c>
      <c r="AO21" s="211">
        <f>IFERROR(SUMIF(E21:AI21,"=РВ",E22:AI22)+SUMIF(E21:AI21,"=ВЧ/РВ",E22:AI22)+SUMIF(E21:AI21,"=РН/РВ",E22:AI22)+SUMIF(E21:AI21,"=Р1/РВ",E22:AI22)+SUMIF(E21:AI21,"=ВЧ2/РВ",E22:AI22)+SUMIF(E21:AI21,"=Р2/РВ",E22:AI22),0)</f>
        <v>0</v>
      </c>
      <c r="AP21" s="211">
        <f>IFERROR(COUNTIF(E21:AI21,"=ВВ")+COUNTIF(E21:AI21,"=Р1/ВВ")+COUNTIF(E21:AI21,"=РН/ВВ")+COUNTIF(E21:AI21,"=ВЧ/ВВ"),0)</f>
        <v>10</v>
      </c>
      <c r="AQ21" s="211">
        <f>SUM(AR21:AZ21)</f>
        <v>0</v>
      </c>
      <c r="AR21" s="211">
        <f>IFERROR(SUMIF(E21:AI21,"=В",E22:AI22)+SUMIF(E21:AI21,"=Ч",E22:AI22)+SUMIF(E21:AI21,"=ВБ",E22:AI22),0)</f>
        <v>0</v>
      </c>
      <c r="AS21" s="211">
        <f>IFERROR(SUMIF(E21:AI21,"=Н",E22:AI22),0)</f>
        <v>0</v>
      </c>
      <c r="AT21" s="211">
        <f>IFERROR(SUMIF(E21:AI21,"=НА",E22:AI22),0)</f>
        <v>0</v>
      </c>
      <c r="AU21" s="211">
        <f>IFERROR(SUMIF(E21:AI21,"=ВП",E22:AI22),0)</f>
        <v>0</v>
      </c>
      <c r="AV21" s="211">
        <f>IFERROR(SUMIF(E21:AI21,"=ДД",E22:AI22),0)</f>
        <v>0</v>
      </c>
      <c r="AW21" s="202">
        <f>IFERROR(SUMIF(E21:AI21,"=ДО",E22:AI22),0)</f>
        <v>0</v>
      </c>
      <c r="AX21" s="211">
        <f>IFERROR(SUMIF(E21:AI21,"=ТН",E22:AI22),0)</f>
        <v>0</v>
      </c>
      <c r="AY21" s="211">
        <f>IFERROR(SUMIF(E21:AI21,"=ВД",E22:AI22),0)</f>
        <v>0</v>
      </c>
      <c r="AZ21" s="312">
        <f>IFERROR(SUMIF(E21:AI21,"=ІН",E22:AI22),0)+SUMIF(E21:AI21,"=НЗ",E22:AI22)</f>
        <v>0</v>
      </c>
    </row>
    <row r="22" spans="1:52" ht="20.100000000000001" customHeight="1" thickBot="1" x14ac:dyDescent="0.25">
      <c r="A22" s="306"/>
      <c r="B22" s="229"/>
      <c r="C22" s="280"/>
      <c r="D22" s="280"/>
      <c r="E22" s="192"/>
      <c r="F22" s="192"/>
      <c r="G22" s="192">
        <v>8.1999999999999993</v>
      </c>
      <c r="H22" s="192">
        <v>8.1999999999999993</v>
      </c>
      <c r="I22" s="192">
        <v>8.1999999999999993</v>
      </c>
      <c r="J22" s="192">
        <v>8.1999999999999993</v>
      </c>
      <c r="K22" s="192">
        <v>7</v>
      </c>
      <c r="L22" s="192"/>
      <c r="M22" s="192"/>
      <c r="N22" s="192">
        <v>8.1999999999999993</v>
      </c>
      <c r="O22" s="192">
        <v>8.1999999999999993</v>
      </c>
      <c r="P22" s="192">
        <v>8.1999999999999993</v>
      </c>
      <c r="Q22" s="192">
        <v>8.1999999999999993</v>
      </c>
      <c r="R22" s="192">
        <v>7.2</v>
      </c>
      <c r="S22" s="192"/>
      <c r="T22" s="192"/>
      <c r="U22" s="192">
        <v>8.1999999999999993</v>
      </c>
      <c r="V22" s="192">
        <v>8.1999999999999993</v>
      </c>
      <c r="W22" s="192">
        <v>8.1999999999999993</v>
      </c>
      <c r="X22" s="192">
        <v>8.1999999999999993</v>
      </c>
      <c r="Y22" s="192">
        <v>7.2</v>
      </c>
      <c r="Z22" s="192"/>
      <c r="AA22" s="192"/>
      <c r="AB22" s="192">
        <v>8.1999999999999993</v>
      </c>
      <c r="AC22" s="192">
        <v>8.1999999999999993</v>
      </c>
      <c r="AD22" s="192">
        <v>8.1999999999999993</v>
      </c>
      <c r="AE22" s="192">
        <v>8.1999999999999993</v>
      </c>
      <c r="AF22" s="192">
        <v>7.2</v>
      </c>
      <c r="AG22" s="192"/>
      <c r="AH22" s="192"/>
      <c r="AI22" s="192">
        <v>8.1999999999999993</v>
      </c>
      <c r="AJ22" s="314"/>
      <c r="AK22" s="212"/>
      <c r="AL22" s="212"/>
      <c r="AM22" s="212"/>
      <c r="AN22" s="212"/>
      <c r="AO22" s="212"/>
      <c r="AP22" s="212"/>
      <c r="AQ22" s="311"/>
      <c r="AR22" s="311"/>
      <c r="AS22" s="311"/>
      <c r="AT22" s="311"/>
      <c r="AU22" s="311"/>
      <c r="AV22" s="311"/>
      <c r="AW22" s="203"/>
      <c r="AX22" s="311"/>
      <c r="AY22" s="311"/>
      <c r="AZ22" s="313"/>
    </row>
    <row r="23" spans="1:52" ht="20.100000000000001" customHeight="1" x14ac:dyDescent="0.2">
      <c r="A23" s="305">
        <f t="shared" ref="A23" si="1">A21+1</f>
        <v>4</v>
      </c>
      <c r="B23" s="228" t="s">
        <v>107</v>
      </c>
      <c r="C23" s="279">
        <v>2128</v>
      </c>
      <c r="D23" s="279" t="s">
        <v>65</v>
      </c>
      <c r="E23" s="191" t="s">
        <v>142</v>
      </c>
      <c r="F23" s="191" t="s">
        <v>142</v>
      </c>
      <c r="G23" s="191" t="s">
        <v>52</v>
      </c>
      <c r="H23" s="191" t="s">
        <v>52</v>
      </c>
      <c r="I23" s="191" t="s">
        <v>52</v>
      </c>
      <c r="J23" s="191" t="s">
        <v>52</v>
      </c>
      <c r="K23" s="191" t="s">
        <v>52</v>
      </c>
      <c r="L23" s="191" t="s">
        <v>52</v>
      </c>
      <c r="M23" s="191" t="s">
        <v>52</v>
      </c>
      <c r="N23" s="191" t="s">
        <v>52</v>
      </c>
      <c r="O23" s="191" t="s">
        <v>52</v>
      </c>
      <c r="P23" s="191" t="s">
        <v>52</v>
      </c>
      <c r="Q23" s="191" t="s">
        <v>4</v>
      </c>
      <c r="R23" s="191" t="s">
        <v>4</v>
      </c>
      <c r="S23" s="191" t="s">
        <v>142</v>
      </c>
      <c r="T23" s="191" t="s">
        <v>142</v>
      </c>
      <c r="U23" s="191" t="s">
        <v>4</v>
      </c>
      <c r="V23" s="191" t="s">
        <v>4</v>
      </c>
      <c r="W23" s="191" t="s">
        <v>4</v>
      </c>
      <c r="X23" s="191" t="s">
        <v>4</v>
      </c>
      <c r="Y23" s="191" t="s">
        <v>4</v>
      </c>
      <c r="Z23" s="191" t="s">
        <v>142</v>
      </c>
      <c r="AA23" s="191" t="s">
        <v>142</v>
      </c>
      <c r="AB23" s="191" t="s">
        <v>4</v>
      </c>
      <c r="AC23" s="191" t="s">
        <v>4</v>
      </c>
      <c r="AD23" s="191" t="s">
        <v>4</v>
      </c>
      <c r="AE23" s="191" t="s">
        <v>4</v>
      </c>
      <c r="AF23" s="191" t="s">
        <v>4</v>
      </c>
      <c r="AG23" s="191" t="s">
        <v>142</v>
      </c>
      <c r="AH23" s="191" t="s">
        <v>142</v>
      </c>
      <c r="AI23" s="191" t="s">
        <v>4</v>
      </c>
      <c r="AJ23" s="294">
        <f>IFERROR(COUNTIF(E23:AI23,"=Р")+COUNTIF(E23:AI23,"=Р1")+COUNTIF(E23:AI23,"=ВЧ")+COUNTIF(E23:AI23,"=РН")+COUNTIF(E23:AI23,"=Р2")+COUNTIF(E23:AI23,"=Р1/РВ")+COUNTIF(E23:AI23,"=Р2/РВ")+COUNTIF(E23:AI23,"=ВЧ/РВ")+COUNTIF(E23:AI23,"=РН/РВ"),0)</f>
        <v>13</v>
      </c>
      <c r="AK23" s="211">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103.60000000000002</v>
      </c>
      <c r="AL23" s="211">
        <f>IFERROR(SUMIF(E23:AI23,"=НУ",E24:AI24),0)</f>
        <v>0</v>
      </c>
      <c r="AM23" s="211">
        <f>IFERROR(SUMIF(E23:AI23,"=РН",E24:AI24)+SUMIF(E23:AI23,"=РН/РВ",E24:AI24)+SUMIFS(E24:AI24,E23:AI23,"=Р2",E24:AI24,"=8"),0)</f>
        <v>0</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0</v>
      </c>
      <c r="AO23" s="211">
        <f>IFERROR(SUMIF(E23:AI23,"=РВ",E24:AI24)+SUMIF(E23:AI23,"=ВЧ/РВ",E24:AI24)+SUMIF(E23:AI23,"=РН/РВ",E24:AI24)+SUMIF(E23:AI23,"=Р1/РВ",E24:AI24)+SUMIF(E23:AI23,"=ВЧ2/РВ",E24:AI24)+SUMIF(E23:AI23,"=Р2/РВ",E24:AI24),0)</f>
        <v>0</v>
      </c>
      <c r="AP23" s="211">
        <f>IFERROR(COUNTIF(E23:AI23,"=ВВ")+COUNTIF(E23:AI23,"=Р1/ВВ")+COUNTIF(E23:AI23,"=РН/ВВ")+COUNTIF(E23:AI23,"=ВЧ/ВВ"),0)</f>
        <v>8</v>
      </c>
      <c r="AQ23" s="211">
        <f>SUM(AR23:AZ23)</f>
        <v>64.400000000000006</v>
      </c>
      <c r="AR23" s="211">
        <f>IFERROR(SUMIF(E23:AI23,"=В",E24:AI24)+SUMIF(E23:AI23,"=Ч",E24:AI24)+SUMIF(E23:AI23,"=ВБ",E24:AI24),0)</f>
        <v>0</v>
      </c>
      <c r="AS23" s="211">
        <f>IFERROR(SUMIF(E23:AI23,"=Н",E24:AI24),0)</f>
        <v>0</v>
      </c>
      <c r="AT23" s="211">
        <f>IFERROR(SUMIF(E23:AI23,"=НА",E24:AI24),0)</f>
        <v>0</v>
      </c>
      <c r="AU23" s="211">
        <f>IFERROR(SUMIF(E23:AI23,"=ВП",E24:AI24),0)</f>
        <v>0</v>
      </c>
      <c r="AV23" s="211">
        <f>IFERROR(SUMIF(E23:AI23,"=ДД",E24:AI24),0)</f>
        <v>0</v>
      </c>
      <c r="AW23" s="202">
        <f>IFERROR(SUMIF(E23:AI23,"=ДО",E24:AI24),0)</f>
        <v>0</v>
      </c>
      <c r="AX23" s="211">
        <f>IFERROR(SUMIF(E23:AI23,"=ТН",E24:AI24),0)</f>
        <v>64.400000000000006</v>
      </c>
      <c r="AY23" s="211">
        <f>IFERROR(SUMIF(E23:AI23,"=ВД",E24:AI24),0)</f>
        <v>0</v>
      </c>
      <c r="AZ23" s="312">
        <f>IFERROR(SUMIF(E23:AI23,"=ІН",E24:AI24),0)+SUMIF(E23:AI23,"=НЗ",E24:AI24)</f>
        <v>0</v>
      </c>
    </row>
    <row r="24" spans="1:52" ht="20.100000000000001" customHeight="1" thickBot="1" x14ac:dyDescent="0.25">
      <c r="A24" s="306"/>
      <c r="B24" s="229"/>
      <c r="C24" s="280"/>
      <c r="D24" s="280"/>
      <c r="E24" s="192"/>
      <c r="F24" s="192"/>
      <c r="G24" s="192">
        <v>8.1999999999999993</v>
      </c>
      <c r="H24" s="192">
        <v>8.1999999999999993</v>
      </c>
      <c r="I24" s="192">
        <v>8.1999999999999993</v>
      </c>
      <c r="J24" s="192">
        <v>8.1999999999999993</v>
      </c>
      <c r="K24" s="192">
        <v>7</v>
      </c>
      <c r="L24" s="192"/>
      <c r="M24" s="192"/>
      <c r="N24" s="192">
        <v>8.1999999999999993</v>
      </c>
      <c r="O24" s="192">
        <v>8.1999999999999993</v>
      </c>
      <c r="P24" s="192">
        <v>8.1999999999999993</v>
      </c>
      <c r="Q24" s="192">
        <v>8.1999999999999993</v>
      </c>
      <c r="R24" s="192">
        <v>7.2</v>
      </c>
      <c r="S24" s="192"/>
      <c r="T24" s="192"/>
      <c r="U24" s="192">
        <v>8.1999999999999993</v>
      </c>
      <c r="V24" s="192">
        <v>8.1999999999999993</v>
      </c>
      <c r="W24" s="192">
        <v>8.1999999999999993</v>
      </c>
      <c r="X24" s="192">
        <v>8.1999999999999993</v>
      </c>
      <c r="Y24" s="192">
        <v>7.2</v>
      </c>
      <c r="Z24" s="192"/>
      <c r="AA24" s="192"/>
      <c r="AB24" s="192">
        <v>8.1999999999999993</v>
      </c>
      <c r="AC24" s="192">
        <v>8.1999999999999993</v>
      </c>
      <c r="AD24" s="192">
        <v>8.1999999999999993</v>
      </c>
      <c r="AE24" s="192">
        <v>8.1999999999999993</v>
      </c>
      <c r="AF24" s="192">
        <v>7.2</v>
      </c>
      <c r="AG24" s="192"/>
      <c r="AH24" s="192"/>
      <c r="AI24" s="192">
        <v>8.1999999999999993</v>
      </c>
      <c r="AJ24" s="314"/>
      <c r="AK24" s="212"/>
      <c r="AL24" s="212"/>
      <c r="AM24" s="212"/>
      <c r="AN24" s="212"/>
      <c r="AO24" s="212"/>
      <c r="AP24" s="212"/>
      <c r="AQ24" s="311"/>
      <c r="AR24" s="311"/>
      <c r="AS24" s="311"/>
      <c r="AT24" s="311"/>
      <c r="AU24" s="311"/>
      <c r="AV24" s="311"/>
      <c r="AW24" s="203"/>
      <c r="AX24" s="311"/>
      <c r="AY24" s="311"/>
      <c r="AZ24" s="313"/>
    </row>
    <row r="25" spans="1:52" ht="20.100000000000001" customHeight="1" x14ac:dyDescent="0.2">
      <c r="A25" s="305">
        <f t="shared" ref="A25" si="2">A23+1</f>
        <v>5</v>
      </c>
      <c r="B25" s="228" t="s">
        <v>105</v>
      </c>
      <c r="C25" s="279">
        <v>2054</v>
      </c>
      <c r="D25" s="279" t="s">
        <v>65</v>
      </c>
      <c r="E25" s="191" t="s">
        <v>354</v>
      </c>
      <c r="F25" s="191" t="s">
        <v>4</v>
      </c>
      <c r="G25" s="191" t="s">
        <v>354</v>
      </c>
      <c r="H25" s="191" t="s">
        <v>354</v>
      </c>
      <c r="I25" s="191" t="s">
        <v>142</v>
      </c>
      <c r="J25" s="191" t="s">
        <v>354</v>
      </c>
      <c r="K25" s="191" t="s">
        <v>354</v>
      </c>
      <c r="L25" s="191" t="s">
        <v>4</v>
      </c>
      <c r="M25" s="191" t="s">
        <v>354</v>
      </c>
      <c r="N25" s="191" t="s">
        <v>354</v>
      </c>
      <c r="O25" s="191" t="s">
        <v>142</v>
      </c>
      <c r="P25" s="191" t="s">
        <v>354</v>
      </c>
      <c r="Q25" s="191" t="s">
        <v>354</v>
      </c>
      <c r="R25" s="191" t="s">
        <v>142</v>
      </c>
      <c r="S25" s="191" t="s">
        <v>354</v>
      </c>
      <c r="T25" s="191" t="s">
        <v>354</v>
      </c>
      <c r="U25" s="191" t="s">
        <v>142</v>
      </c>
      <c r="V25" s="191" t="s">
        <v>354</v>
      </c>
      <c r="W25" s="191" t="s">
        <v>354</v>
      </c>
      <c r="X25" s="191" t="s">
        <v>142</v>
      </c>
      <c r="Y25" s="191" t="s">
        <v>354</v>
      </c>
      <c r="Z25" s="191" t="s">
        <v>354</v>
      </c>
      <c r="AA25" s="191" t="s">
        <v>4</v>
      </c>
      <c r="AB25" s="191" t="s">
        <v>354</v>
      </c>
      <c r="AC25" s="191" t="s">
        <v>354</v>
      </c>
      <c r="AD25" s="191" t="s">
        <v>142</v>
      </c>
      <c r="AE25" s="191" t="s">
        <v>354</v>
      </c>
      <c r="AF25" s="191" t="s">
        <v>354</v>
      </c>
      <c r="AG25" s="191" t="s">
        <v>4</v>
      </c>
      <c r="AH25" s="191" t="s">
        <v>354</v>
      </c>
      <c r="AI25" s="191" t="s">
        <v>354</v>
      </c>
      <c r="AJ25" s="213">
        <f>IFERROR(COUNTIF(E25:AI25,"=Р")+COUNTIF(E25:AI25,"=Р1")+COUNTIF(E25:AI25,"=ВЧ")+COUNTIF(E25:AI25,"=РН")+COUNTIF(E25:AI25,"=Р2")+COUNTIF(E25:AI25,"=Р1/РВ")+COUNTIF(E25:AI25,"=Р2/РВ")+COUNTIF(E25:AI25,"=ВЧ/РВ")+COUNTIF(E25:AI25,"=РН/РВ"),0)</f>
        <v>25</v>
      </c>
      <c r="AK25" s="211">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168</v>
      </c>
      <c r="AL25" s="211">
        <f>IFERROR(SUMIF(E25:AI25,"=НУ",E26:AI26),0)</f>
        <v>0</v>
      </c>
      <c r="AM25" s="211">
        <f>IFERROR(SUMIF(E25:AI25,"=РН",E26:AI26)+SUMIF(E25:AI25,"=РН/РВ",E26:AI26)+SUMIFS(E26:AI26,E25:AI25,"=Р2",E26:AI26,"=8"),0)</f>
        <v>88</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40</v>
      </c>
      <c r="AO25" s="211">
        <f>IFERROR(SUMIF(E25:AI25,"=РВ",E26:AI26)+SUMIF(E25:AI25,"=ВЧ/РВ",E26:AI26)+SUMIF(E25:AI25,"=РН/РВ",E26:AI26)+SUMIF(E25:AI25,"=Р1/РВ",E26:AI26)+SUMIF(E25:AI25,"=ВЧ2/РВ",E26:AI26)+SUMIF(E25:AI25,"=Р2/РВ",E26:AI26),0)</f>
        <v>0</v>
      </c>
      <c r="AP25" s="211">
        <f>IFERROR(COUNTIF(E25:AI25,"=ВВ")+COUNTIF(E25:AI25,"=Р1/ВВ")+COUNTIF(E25:AI25,"=РН/ВВ")+COUNTIF(E25:AI25,"=ВЧ/ВВ"),0)</f>
        <v>6</v>
      </c>
      <c r="AQ25" s="211">
        <f>SUM(AR25:AZ25)</f>
        <v>0</v>
      </c>
      <c r="AR25" s="211">
        <f>IFERROR(SUMIF(E25:AI25,"=В",E26:AI26)+SUMIF(E25:AI25,"=Ч",E26:AI26)+SUMIF(E25:AI25,"=ВБ",E26:AI26),0)</f>
        <v>0</v>
      </c>
      <c r="AS25" s="211">
        <f>IFERROR(SUMIF(E25:AI25,"=Н",E26:AI26),0)</f>
        <v>0</v>
      </c>
      <c r="AT25" s="211">
        <f>IFERROR(SUMIF(E25:AI25,"=НА",E26:AI26),0)</f>
        <v>0</v>
      </c>
      <c r="AU25" s="211">
        <f>IFERROR(SUMIF(E25:AI25,"=ВП",E26:AI26),0)</f>
        <v>0</v>
      </c>
      <c r="AV25" s="211">
        <f>IFERROR(SUMIF(E25:AI25,"=ДД",E26:AI26),0)</f>
        <v>0</v>
      </c>
      <c r="AW25" s="202">
        <f>IFERROR(SUMIF(E25:AI25,"=ДО",E26:AI26),0)</f>
        <v>0</v>
      </c>
      <c r="AX25" s="211">
        <f>IFERROR(SUMIF(E25:AI25,"=ТН",E26:AI26),0)</f>
        <v>0</v>
      </c>
      <c r="AY25" s="211">
        <f>IFERROR(SUMIF(E25:AI25,"=ВД",E26:AI26),0)</f>
        <v>0</v>
      </c>
      <c r="AZ25" s="312">
        <f>IFERROR(SUMIF(E25:AI25,"=ІН",E26:AI26),0)+SUMIF(E25:AI25,"=НЗ",E26:AI26)</f>
        <v>0</v>
      </c>
    </row>
    <row r="26" spans="1:52" ht="20.100000000000001" customHeight="1" thickBot="1" x14ac:dyDescent="0.25">
      <c r="A26" s="306"/>
      <c r="B26" s="229"/>
      <c r="C26" s="280"/>
      <c r="D26" s="280"/>
      <c r="E26" s="192">
        <v>8</v>
      </c>
      <c r="F26" s="192">
        <v>2</v>
      </c>
      <c r="G26" s="192">
        <v>7</v>
      </c>
      <c r="H26" s="192">
        <v>8</v>
      </c>
      <c r="I26" s="192"/>
      <c r="J26" s="192">
        <v>7</v>
      </c>
      <c r="K26" s="192">
        <v>8</v>
      </c>
      <c r="L26" s="192">
        <v>2</v>
      </c>
      <c r="M26" s="192">
        <v>7</v>
      </c>
      <c r="N26" s="192">
        <v>8</v>
      </c>
      <c r="O26" s="192"/>
      <c r="P26" s="192">
        <v>7</v>
      </c>
      <c r="Q26" s="192">
        <v>8</v>
      </c>
      <c r="R26" s="192"/>
      <c r="S26" s="192">
        <v>7</v>
      </c>
      <c r="T26" s="192">
        <v>8</v>
      </c>
      <c r="U26" s="192"/>
      <c r="V26" s="192">
        <v>7</v>
      </c>
      <c r="W26" s="192">
        <v>8</v>
      </c>
      <c r="X26" s="192"/>
      <c r="Y26" s="192">
        <v>7</v>
      </c>
      <c r="Z26" s="192">
        <v>8</v>
      </c>
      <c r="AA26" s="192">
        <v>3</v>
      </c>
      <c r="AB26" s="192">
        <v>7</v>
      </c>
      <c r="AC26" s="192">
        <v>8</v>
      </c>
      <c r="AD26" s="192"/>
      <c r="AE26" s="192">
        <v>7</v>
      </c>
      <c r="AF26" s="192">
        <v>8</v>
      </c>
      <c r="AG26" s="192">
        <v>3</v>
      </c>
      <c r="AH26" s="192">
        <v>7</v>
      </c>
      <c r="AI26" s="192">
        <v>8</v>
      </c>
      <c r="AJ26" s="214"/>
      <c r="AK26" s="212"/>
      <c r="AL26" s="212"/>
      <c r="AM26" s="212"/>
      <c r="AN26" s="212"/>
      <c r="AO26" s="212"/>
      <c r="AP26" s="212"/>
      <c r="AQ26" s="311"/>
      <c r="AR26" s="311"/>
      <c r="AS26" s="311"/>
      <c r="AT26" s="311"/>
      <c r="AU26" s="311"/>
      <c r="AV26" s="311"/>
      <c r="AW26" s="203"/>
      <c r="AX26" s="311"/>
      <c r="AY26" s="311"/>
      <c r="AZ26" s="313"/>
    </row>
    <row r="27" spans="1:52" s="106" customFormat="1" ht="20.100000000000001" customHeight="1" x14ac:dyDescent="0.2">
      <c r="A27" s="305">
        <f t="shared" ref="A27" si="3">A25+1</f>
        <v>6</v>
      </c>
      <c r="B27" s="228" t="s">
        <v>275</v>
      </c>
      <c r="C27" s="279">
        <v>2148</v>
      </c>
      <c r="D27" s="279" t="s">
        <v>65</v>
      </c>
      <c r="E27" s="191" t="s">
        <v>142</v>
      </c>
      <c r="F27" s="191" t="s">
        <v>142</v>
      </c>
      <c r="G27" s="191" t="s">
        <v>4</v>
      </c>
      <c r="H27" s="191" t="s">
        <v>4</v>
      </c>
      <c r="I27" s="191" t="s">
        <v>4</v>
      </c>
      <c r="J27" s="191" t="s">
        <v>4</v>
      </c>
      <c r="K27" s="191" t="s">
        <v>4</v>
      </c>
      <c r="L27" s="191" t="s">
        <v>142</v>
      </c>
      <c r="M27" s="191" t="s">
        <v>142</v>
      </c>
      <c r="N27" s="191" t="s">
        <v>4</v>
      </c>
      <c r="O27" s="191" t="s">
        <v>4</v>
      </c>
      <c r="P27" s="191" t="s">
        <v>4</v>
      </c>
      <c r="Q27" s="191" t="s">
        <v>4</v>
      </c>
      <c r="R27" s="191" t="s">
        <v>4</v>
      </c>
      <c r="S27" s="191" t="s">
        <v>142</v>
      </c>
      <c r="T27" s="191" t="s">
        <v>142</v>
      </c>
      <c r="U27" s="191" t="s">
        <v>52</v>
      </c>
      <c r="V27" s="191" t="s">
        <v>52</v>
      </c>
      <c r="W27" s="191" t="s">
        <v>52</v>
      </c>
      <c r="X27" s="191" t="s">
        <v>52</v>
      </c>
      <c r="Y27" s="191" t="s">
        <v>52</v>
      </c>
      <c r="Z27" s="191" t="s">
        <v>52</v>
      </c>
      <c r="AA27" s="191" t="s">
        <v>52</v>
      </c>
      <c r="AB27" s="191" t="s">
        <v>52</v>
      </c>
      <c r="AC27" s="191" t="s">
        <v>4</v>
      </c>
      <c r="AD27" s="191" t="s">
        <v>4</v>
      </c>
      <c r="AE27" s="191" t="s">
        <v>4</v>
      </c>
      <c r="AF27" s="191" t="s">
        <v>4</v>
      </c>
      <c r="AG27" s="191" t="s">
        <v>142</v>
      </c>
      <c r="AH27" s="191" t="s">
        <v>142</v>
      </c>
      <c r="AI27" s="191" t="s">
        <v>4</v>
      </c>
      <c r="AJ27" s="294">
        <f>IFERROR(COUNTIF(E27:AI27,"=Р")+COUNTIF(E27:AI27,"=Р1")+COUNTIF(E27:AI27,"=ВЧ")+COUNTIF(E27:AI27,"=РН")+COUNTIF(E27:AI27,"=Р2")+COUNTIF(E27:AI27,"=Р1/РВ")+COUNTIF(E27:AI27,"=Р2/РВ")+COUNTIF(E27:AI27,"=ВЧ/РВ")+COUNTIF(E27:AI27,"=РН/РВ"),0)</f>
        <v>15</v>
      </c>
      <c r="AK27" s="211">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119.80000000000003</v>
      </c>
      <c r="AL27" s="211">
        <f>IFERROR(SUMIF(E27:AI27,"=НУ",E28:AI28),0)</f>
        <v>0</v>
      </c>
      <c r="AM27" s="211">
        <f>IFERROR(SUMIF(E27:AI27,"=РН",E28:AI28)+SUMIF(E27:AI27,"=РН/РВ",E28:AI28)+SUMIFS(E28:AI28,E27:AI27,"=Р2",E28:AI28,"=8"),0)</f>
        <v>0</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0</v>
      </c>
      <c r="AO27" s="211">
        <f>IFERROR(SUMIF(E27:AI27,"=РВ",E28:AI28)+SUMIF(E27:AI27,"=ВЧ/РВ",E28:AI28)+SUMIF(E27:AI27,"=РН/РВ",E28:AI28)+SUMIF(E27:AI27,"=Р1/РВ",E28:AI28)+SUMIF(E27:AI27,"=ВЧ2/РВ",E28:AI28)+SUMIF(E27:AI27,"=Р2/РВ",E28:AI28),0)</f>
        <v>0</v>
      </c>
      <c r="AP27" s="211">
        <f>IFERROR(COUNTIF(E27:AI27,"=ВВ")+COUNTIF(E27:AI27,"=Р1/ВВ")+COUNTIF(E27:AI27,"=РН/ВВ")+COUNTIF(E27:AI27,"=ВЧ/ВВ"),0)</f>
        <v>8</v>
      </c>
      <c r="AQ27" s="211">
        <f>SUM(AR27:AZ27)</f>
        <v>48.2</v>
      </c>
      <c r="AR27" s="211">
        <f>IFERROR(SUMIF(E27:AI27,"=В",E28:AI28)+SUMIF(E27:AI27,"=Ч",E28:AI28)+SUMIF(E27:AI27,"=ВБ",E28:AI28),0)</f>
        <v>0</v>
      </c>
      <c r="AS27" s="211">
        <f>IFERROR(SUMIF(E27:AI27,"=Н",E28:AI28),0)</f>
        <v>0</v>
      </c>
      <c r="AT27" s="211">
        <f>IFERROR(SUMIF(E27:AI27,"=НА",E28:AI28),0)</f>
        <v>0</v>
      </c>
      <c r="AU27" s="211">
        <f>IFERROR(SUMIF(E27:AI27,"=ВП",E28:AI28),0)</f>
        <v>0</v>
      </c>
      <c r="AV27" s="211">
        <f>IFERROR(SUMIF(E27:AI27,"=ДД",E28:AI28),0)</f>
        <v>0</v>
      </c>
      <c r="AW27" s="202">
        <f>IFERROR(SUMIF(E27:AI27,"=ДО",E28:AI28),0)</f>
        <v>0</v>
      </c>
      <c r="AX27" s="211">
        <f>IFERROR(SUMIF(E27:AI27,"=ТН",E28:AI28),0)</f>
        <v>48.2</v>
      </c>
      <c r="AY27" s="211">
        <f>IFERROR(SUMIF(E27:AI27,"=ВД",E28:AI28),0)</f>
        <v>0</v>
      </c>
      <c r="AZ27" s="312">
        <f>IFERROR(SUMIF(E27:AI27,"=ІН",E28:AI28),0)+SUMIF(E27:AI27,"=НЗ",E28:AI28)</f>
        <v>0</v>
      </c>
    </row>
    <row r="28" spans="1:52" s="106" customFormat="1" ht="20.100000000000001" customHeight="1" thickBot="1" x14ac:dyDescent="0.25">
      <c r="A28" s="306"/>
      <c r="B28" s="229"/>
      <c r="C28" s="280"/>
      <c r="D28" s="280"/>
      <c r="E28" s="192"/>
      <c r="F28" s="192"/>
      <c r="G28" s="192">
        <v>8.1999999999999993</v>
      </c>
      <c r="H28" s="192">
        <v>8.1999999999999993</v>
      </c>
      <c r="I28" s="192">
        <v>8.1999999999999993</v>
      </c>
      <c r="J28" s="192">
        <v>8.1999999999999993</v>
      </c>
      <c r="K28" s="192">
        <v>7</v>
      </c>
      <c r="L28" s="192"/>
      <c r="M28" s="192"/>
      <c r="N28" s="192">
        <v>8.1999999999999993</v>
      </c>
      <c r="O28" s="192">
        <v>8.1999999999999993</v>
      </c>
      <c r="P28" s="192">
        <v>8.1999999999999993</v>
      </c>
      <c r="Q28" s="192">
        <v>8.1999999999999993</v>
      </c>
      <c r="R28" s="192">
        <v>7.2</v>
      </c>
      <c r="S28" s="192"/>
      <c r="T28" s="192"/>
      <c r="U28" s="192">
        <v>8.1999999999999993</v>
      </c>
      <c r="V28" s="192">
        <v>8.1999999999999993</v>
      </c>
      <c r="W28" s="192">
        <v>8.1999999999999993</v>
      </c>
      <c r="X28" s="192">
        <v>8.1999999999999993</v>
      </c>
      <c r="Y28" s="192">
        <v>7.2</v>
      </c>
      <c r="Z28" s="192"/>
      <c r="AA28" s="192"/>
      <c r="AB28" s="192">
        <v>8.1999999999999993</v>
      </c>
      <c r="AC28" s="192">
        <v>8.1999999999999993</v>
      </c>
      <c r="AD28" s="192">
        <v>8.1999999999999993</v>
      </c>
      <c r="AE28" s="192">
        <v>8.1999999999999993</v>
      </c>
      <c r="AF28" s="192">
        <v>7.2</v>
      </c>
      <c r="AG28" s="192"/>
      <c r="AH28" s="192"/>
      <c r="AI28" s="192">
        <v>8.1999999999999993</v>
      </c>
      <c r="AJ28" s="314"/>
      <c r="AK28" s="212"/>
      <c r="AL28" s="212"/>
      <c r="AM28" s="212"/>
      <c r="AN28" s="212"/>
      <c r="AO28" s="212"/>
      <c r="AP28" s="212"/>
      <c r="AQ28" s="311"/>
      <c r="AR28" s="311"/>
      <c r="AS28" s="311"/>
      <c r="AT28" s="311"/>
      <c r="AU28" s="311"/>
      <c r="AV28" s="311"/>
      <c r="AW28" s="203"/>
      <c r="AX28" s="311"/>
      <c r="AY28" s="311"/>
      <c r="AZ28" s="313"/>
    </row>
    <row r="29" spans="1:52" s="116" customFormat="1" ht="20.100000000000001" customHeight="1" x14ac:dyDescent="0.2">
      <c r="A29" s="305">
        <f t="shared" ref="A29" si="4">A27+1</f>
        <v>7</v>
      </c>
      <c r="B29" s="228" t="s">
        <v>291</v>
      </c>
      <c r="C29" s="279">
        <v>2166</v>
      </c>
      <c r="D29" s="279" t="s">
        <v>65</v>
      </c>
      <c r="E29" s="191" t="s">
        <v>142</v>
      </c>
      <c r="F29" s="191" t="s">
        <v>142</v>
      </c>
      <c r="G29" s="191" t="s">
        <v>4</v>
      </c>
      <c r="H29" s="191" t="s">
        <v>4</v>
      </c>
      <c r="I29" s="191" t="s">
        <v>4</v>
      </c>
      <c r="J29" s="191" t="s">
        <v>4</v>
      </c>
      <c r="K29" s="191" t="s">
        <v>4</v>
      </c>
      <c r="L29" s="191" t="s">
        <v>142</v>
      </c>
      <c r="M29" s="191" t="s">
        <v>142</v>
      </c>
      <c r="N29" s="191" t="s">
        <v>4</v>
      </c>
      <c r="O29" s="191" t="s">
        <v>4</v>
      </c>
      <c r="P29" s="191" t="s">
        <v>4</v>
      </c>
      <c r="Q29" s="191" t="s">
        <v>4</v>
      </c>
      <c r="R29" s="191" t="s">
        <v>4</v>
      </c>
      <c r="S29" s="191" t="s">
        <v>142</v>
      </c>
      <c r="T29" s="191" t="s">
        <v>142</v>
      </c>
      <c r="U29" s="191" t="s">
        <v>48</v>
      </c>
      <c r="V29" s="191" t="s">
        <v>4</v>
      </c>
      <c r="W29" s="191" t="s">
        <v>4</v>
      </c>
      <c r="X29" s="191" t="s">
        <v>4</v>
      </c>
      <c r="Y29" s="191" t="s">
        <v>4</v>
      </c>
      <c r="Z29" s="191" t="s">
        <v>142</v>
      </c>
      <c r="AA29" s="191" t="s">
        <v>142</v>
      </c>
      <c r="AB29" s="191" t="s">
        <v>4</v>
      </c>
      <c r="AC29" s="191" t="s">
        <v>4</v>
      </c>
      <c r="AD29" s="191" t="s">
        <v>4</v>
      </c>
      <c r="AE29" s="191" t="s">
        <v>4</v>
      </c>
      <c r="AF29" s="191" t="s">
        <v>4</v>
      </c>
      <c r="AG29" s="191" t="s">
        <v>142</v>
      </c>
      <c r="AH29" s="191" t="s">
        <v>142</v>
      </c>
      <c r="AI29" s="191" t="s">
        <v>4</v>
      </c>
      <c r="AJ29" s="294">
        <f>IFERROR(COUNTIF(E29:AI29,"=Р")+COUNTIF(E29:AI29,"=Р1")+COUNTIF(E29:AI29,"=ВЧ")+COUNTIF(E29:AI29,"=РН")+COUNTIF(E29:AI29,"=Р2")+COUNTIF(E29:AI29,"=Р1/РВ")+COUNTIF(E29:AI29,"=Р2/РВ")+COUNTIF(E29:AI29,"=ВЧ/РВ")+COUNTIF(E29:AI29,"=РН/РВ"),0)</f>
        <v>20</v>
      </c>
      <c r="AK29" s="211">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159.79999999999998</v>
      </c>
      <c r="AL29" s="211">
        <f>IFERROR(SUMIF(E29:AI29,"=НУ",E30:AI30),0)</f>
        <v>0</v>
      </c>
      <c r="AM29" s="211">
        <f>IFERROR(SUMIF(E29:AI29,"=РН",E30:AI30)+SUMIF(E29:AI29,"=РН/РВ",E30:AI30)+SUMIFS(E30:AI30,E29:AI29,"=Р2",E30:AI30,"=8"),0)</f>
        <v>0</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0</v>
      </c>
      <c r="AO29" s="211">
        <f>IFERROR(SUMIF(E29:AI29,"=РВ",E30:AI30)+SUMIF(E29:AI29,"=ВЧ/РВ",E30:AI30)+SUMIF(E29:AI29,"=РН/РВ",E30:AI30)+SUMIF(E29:AI29,"=Р1/РВ",E30:AI30)+SUMIF(E29:AI29,"=ВЧ2/РВ",E30:AI30)+SUMIF(E29:AI29,"=Р2/РВ",E30:AI30),0)</f>
        <v>0</v>
      </c>
      <c r="AP29" s="211">
        <f>IFERROR(COUNTIF(E29:AI29,"=ВВ")+COUNTIF(E29:AI29,"=Р1/ВВ")+COUNTIF(E29:AI29,"=РН/ВВ")+COUNTIF(E29:AI29,"=ВЧ/ВВ"),0)</f>
        <v>10</v>
      </c>
      <c r="AQ29" s="211">
        <f>SUM(AR29:AZ29)</f>
        <v>8.1999999999999993</v>
      </c>
      <c r="AR29" s="211">
        <f>IFERROR(SUMIF(E29:AI29,"=В",E30:AI30)+SUMIF(E29:AI29,"=Ч",E30:AI30)+SUMIF(E29:AI29,"=ВБ",E30:AI30),0)</f>
        <v>0</v>
      </c>
      <c r="AS29" s="211">
        <f>IFERROR(SUMIF(E29:AI29,"=Н",E30:AI30),0)</f>
        <v>0</v>
      </c>
      <c r="AT29" s="211">
        <f>IFERROR(SUMIF(E29:AI29,"=НА",E30:AI30),0)</f>
        <v>0</v>
      </c>
      <c r="AU29" s="211">
        <f>IFERROR(SUMIF(E29:AI29,"=ВП",E30:AI30),0)</f>
        <v>0</v>
      </c>
      <c r="AV29" s="211">
        <f>IFERROR(SUMIF(E29:AI29,"=ДД",E30:AI30),0)</f>
        <v>0</v>
      </c>
      <c r="AW29" s="202">
        <f>IFERROR(SUMIF(E29:AI29,"=ДО",E30:AI30),0)</f>
        <v>0</v>
      </c>
      <c r="AX29" s="211">
        <f>IFERROR(SUMIF(E29:AI29,"=ТН",E30:AI30),0)</f>
        <v>0</v>
      </c>
      <c r="AY29" s="211">
        <f>IFERROR(SUMIF(E29:AI29,"=ВД",E30:AI30),0)</f>
        <v>8.1999999999999993</v>
      </c>
      <c r="AZ29" s="312">
        <f>IFERROR(SUMIF(E29:AI29,"=ІН",E30:AI30),0)+SUMIF(E29:AI29,"=НЗ",E30:AI30)</f>
        <v>0</v>
      </c>
    </row>
    <row r="30" spans="1:52" s="116" customFormat="1" ht="20.100000000000001" customHeight="1" thickBot="1" x14ac:dyDescent="0.25">
      <c r="A30" s="306"/>
      <c r="B30" s="229"/>
      <c r="C30" s="280"/>
      <c r="D30" s="280"/>
      <c r="E30" s="192"/>
      <c r="F30" s="192"/>
      <c r="G30" s="192">
        <v>8.1999999999999993</v>
      </c>
      <c r="H30" s="192">
        <v>8.1999999999999993</v>
      </c>
      <c r="I30" s="192">
        <v>8.1999999999999993</v>
      </c>
      <c r="J30" s="192">
        <v>8.1999999999999993</v>
      </c>
      <c r="K30" s="192">
        <v>7</v>
      </c>
      <c r="L30" s="192"/>
      <c r="M30" s="192"/>
      <c r="N30" s="192">
        <v>8.1999999999999993</v>
      </c>
      <c r="O30" s="192">
        <v>8.1999999999999993</v>
      </c>
      <c r="P30" s="192">
        <v>8.1999999999999993</v>
      </c>
      <c r="Q30" s="192">
        <v>8.1999999999999993</v>
      </c>
      <c r="R30" s="192">
        <v>7.2</v>
      </c>
      <c r="S30" s="192"/>
      <c r="T30" s="192"/>
      <c r="U30" s="192">
        <v>8.1999999999999993</v>
      </c>
      <c r="V30" s="192">
        <v>8.1999999999999993</v>
      </c>
      <c r="W30" s="192">
        <v>8.1999999999999993</v>
      </c>
      <c r="X30" s="192">
        <v>8.1999999999999993</v>
      </c>
      <c r="Y30" s="192">
        <v>7.2</v>
      </c>
      <c r="Z30" s="192"/>
      <c r="AA30" s="192"/>
      <c r="AB30" s="192">
        <v>8.1999999999999993</v>
      </c>
      <c r="AC30" s="192">
        <v>8.1999999999999993</v>
      </c>
      <c r="AD30" s="192">
        <v>8.1999999999999993</v>
      </c>
      <c r="AE30" s="192">
        <v>8.1999999999999993</v>
      </c>
      <c r="AF30" s="192">
        <v>7.2</v>
      </c>
      <c r="AG30" s="192"/>
      <c r="AH30" s="192"/>
      <c r="AI30" s="192">
        <v>8.1999999999999993</v>
      </c>
      <c r="AJ30" s="314"/>
      <c r="AK30" s="212"/>
      <c r="AL30" s="212"/>
      <c r="AM30" s="212"/>
      <c r="AN30" s="212"/>
      <c r="AO30" s="212"/>
      <c r="AP30" s="212"/>
      <c r="AQ30" s="311"/>
      <c r="AR30" s="311"/>
      <c r="AS30" s="311"/>
      <c r="AT30" s="311"/>
      <c r="AU30" s="311"/>
      <c r="AV30" s="311"/>
      <c r="AW30" s="203"/>
      <c r="AX30" s="311"/>
      <c r="AY30" s="311"/>
      <c r="AZ30" s="313"/>
    </row>
    <row r="31" spans="1:52" ht="20.100000000000001" customHeight="1" x14ac:dyDescent="0.2">
      <c r="A31" s="305">
        <f t="shared" ref="A31" si="5">A29+1</f>
        <v>8</v>
      </c>
      <c r="B31" s="228" t="s">
        <v>223</v>
      </c>
      <c r="C31" s="279">
        <v>1973</v>
      </c>
      <c r="D31" s="279" t="s">
        <v>65</v>
      </c>
      <c r="E31" s="191" t="s">
        <v>142</v>
      </c>
      <c r="F31" s="191" t="s">
        <v>142</v>
      </c>
      <c r="G31" s="191" t="s">
        <v>4</v>
      </c>
      <c r="H31" s="191" t="s">
        <v>4</v>
      </c>
      <c r="I31" s="191" t="s">
        <v>4</v>
      </c>
      <c r="J31" s="191" t="s">
        <v>4</v>
      </c>
      <c r="K31" s="191" t="s">
        <v>4</v>
      </c>
      <c r="L31" s="191" t="s">
        <v>142</v>
      </c>
      <c r="M31" s="191" t="s">
        <v>142</v>
      </c>
      <c r="N31" s="191" t="s">
        <v>4</v>
      </c>
      <c r="O31" s="191" t="s">
        <v>4</v>
      </c>
      <c r="P31" s="191" t="s">
        <v>4</v>
      </c>
      <c r="Q31" s="191" t="s">
        <v>4</v>
      </c>
      <c r="R31" s="191" t="s">
        <v>4</v>
      </c>
      <c r="S31" s="191" t="s">
        <v>142</v>
      </c>
      <c r="T31" s="191" t="s">
        <v>142</v>
      </c>
      <c r="U31" s="191" t="s">
        <v>4</v>
      </c>
      <c r="V31" s="191" t="s">
        <v>4</v>
      </c>
      <c r="W31" s="191" t="s">
        <v>4</v>
      </c>
      <c r="X31" s="191" t="s">
        <v>4</v>
      </c>
      <c r="Y31" s="191" t="s">
        <v>4</v>
      </c>
      <c r="Z31" s="191" t="s">
        <v>142</v>
      </c>
      <c r="AA31" s="191" t="s">
        <v>142</v>
      </c>
      <c r="AB31" s="191" t="s">
        <v>4</v>
      </c>
      <c r="AC31" s="191" t="s">
        <v>4</v>
      </c>
      <c r="AD31" s="191" t="s">
        <v>4</v>
      </c>
      <c r="AE31" s="191" t="s">
        <v>4</v>
      </c>
      <c r="AF31" s="191" t="s">
        <v>4</v>
      </c>
      <c r="AG31" s="191" t="s">
        <v>142</v>
      </c>
      <c r="AH31" s="191" t="s">
        <v>142</v>
      </c>
      <c r="AI31" s="191" t="s">
        <v>4</v>
      </c>
      <c r="AJ31" s="294">
        <f>IFERROR(COUNTIF(E31:AI31,"=Р")+COUNTIF(E31:AI31,"=Р1")+COUNTIF(E31:AI31,"=ВЧ")+COUNTIF(E31:AI31,"=РН")+COUNTIF(E31:AI31,"=Р2")+COUNTIF(E31:AI31,"=Р1/РВ")+COUNTIF(E31:AI31,"=Р2/РВ")+COUNTIF(E31:AI31,"=ВЧ/РВ")+COUNTIF(E31:AI31,"=РН/РВ"),0)</f>
        <v>21</v>
      </c>
      <c r="AK31" s="211">
        <f>IFERROR(SUMIF(E31:AI31,"=Р2",E32:AI32)+SUMIF(E31:AI31,"=ВЧ/РВ",E32:AI32)+SUMIF(E31:AI31,"=РН/РВ",E32:AI32)+SUMIF(E31:AI31,"=Р1/РВ",E32:AI32)+SUMIF(E31:AI31,"=ВЧ2/РВ",E32:AI32)+SUMIF(E31:AI31,"=Р2/РВ",E32:AI32)+SUMIF(E31:AI31,"=Р",E32:AI32)+SUMIF(E31:AI31,"=Р1",E32:AI32)+SUMIF(E31:AI31,"=ВЧ1",E32:AI32)+SUMIF(E31:AI31,"=РН",E32:AI32)+SUMIF(E31:AI31,"=ВЧ",E32:AI32),0)+AL31</f>
        <v>167.99999999999997</v>
      </c>
      <c r="AL31" s="211">
        <f>IFERROR(SUMIF(E31:AI31,"=НУ",E32:AI32),0)</f>
        <v>0</v>
      </c>
      <c r="AM31" s="211">
        <f>IFERROR(SUMIF(E31:AI31,"=РН",E32:AI32)+SUMIF(E31:AI31,"=РН/РВ",E32:AI32)+SUMIFS(E32:AI32,E31:AI31,"=Р2",E32:AI32,"=8"),0)</f>
        <v>0</v>
      </c>
      <c r="AN31" s="211">
        <f>IFERROR(SUMIF(E31:AI31,"=ВЧ",E32:AI32)+SUMIF(E31:AI31,"=ВЧ/РВ",E32:AI32)+CEILING(COUNTIFS(E31:AI31,"=Р2",E32:AI32,"=7")*4,1)+CEILING(COUNTIFS(E31:AI31,"=Р2/РВ",E32:AI32,"=7")*4,1)+SUMIFS(E32:AI32,E31:AI31,"=Р1/РВ",E32:AI32,"=12")/6+SUMIFS(E32:AI32,E31:AI31,"=ВЧ2/РВ",E32:AI32,"=4")/2+SUMIFS(E32:AI32,E31:AI31,"=Р1",E32:AI32,"=12")/6+SUMIFS(E32:AI32,E31:AI31,"=Р1",E32:AI32,"=8")/4+SUMIF(E31:AI31,"=ВЧ1",E32:AI32)/2,0)</f>
        <v>0</v>
      </c>
      <c r="AO31" s="211">
        <f>IFERROR(SUMIF(E31:AI31,"=РВ",E32:AI32)+SUMIF(E31:AI31,"=ВЧ/РВ",E32:AI32)+SUMIF(E31:AI31,"=РН/РВ",E32:AI32)+SUMIF(E31:AI31,"=Р1/РВ",E32:AI32)+SUMIF(E31:AI31,"=ВЧ2/РВ",E32:AI32)+SUMIF(E31:AI31,"=Р2/РВ",E32:AI32),0)</f>
        <v>0</v>
      </c>
      <c r="AP31" s="211">
        <f>IFERROR(COUNTIF(E31:AI31,"=ВВ")+COUNTIF(E31:AI31,"=Р1/ВВ")+COUNTIF(E31:AI31,"=РН/ВВ")+COUNTIF(E31:AI31,"=ВЧ/ВВ"),0)</f>
        <v>10</v>
      </c>
      <c r="AQ31" s="211">
        <f>SUM(AR31:AZ31)</f>
        <v>0</v>
      </c>
      <c r="AR31" s="211">
        <f>IFERROR(SUMIF(E31:AI31,"=В",E32:AI32)+SUMIF(E31:AI31,"=Ч",E32:AI32)+SUMIF(E31:AI31,"=ВБ",E32:AI32),0)</f>
        <v>0</v>
      </c>
      <c r="AS31" s="211">
        <f>IFERROR(SUMIF(E31:AI31,"=Н",E32:AI32),0)</f>
        <v>0</v>
      </c>
      <c r="AT31" s="211">
        <f>IFERROR(SUMIF(E31:AI31,"=НА",E32:AI32),0)</f>
        <v>0</v>
      </c>
      <c r="AU31" s="211">
        <f>IFERROR(SUMIF(E31:AI31,"=ВП",E32:AI32),0)</f>
        <v>0</v>
      </c>
      <c r="AV31" s="211">
        <f>IFERROR(SUMIF(E31:AI31,"=ДД",E32:AI32),0)</f>
        <v>0</v>
      </c>
      <c r="AW31" s="202">
        <f>IFERROR(SUMIF(E31:AI31,"=ДО",E32:AI32),0)</f>
        <v>0</v>
      </c>
      <c r="AX31" s="211">
        <f>IFERROR(SUMIF(E31:AI31,"=ТН",E32:AI32),0)</f>
        <v>0</v>
      </c>
      <c r="AY31" s="211">
        <f>IFERROR(SUMIF(E31:AI31,"=ВД",E32:AI32),0)</f>
        <v>0</v>
      </c>
      <c r="AZ31" s="312">
        <f>IFERROR(SUMIF(E31:AI31,"=ІН",E32:AI32),0)+SUMIF(E31:AI31,"=НЗ",E32:AI32)</f>
        <v>0</v>
      </c>
    </row>
    <row r="32" spans="1:52" ht="20.100000000000001" customHeight="1" thickBot="1" x14ac:dyDescent="0.25">
      <c r="A32" s="306"/>
      <c r="B32" s="229"/>
      <c r="C32" s="280"/>
      <c r="D32" s="280"/>
      <c r="E32" s="192"/>
      <c r="F32" s="192"/>
      <c r="G32" s="192">
        <v>8.1999999999999993</v>
      </c>
      <c r="H32" s="192">
        <v>8.1999999999999993</v>
      </c>
      <c r="I32" s="192">
        <v>8.1999999999999993</v>
      </c>
      <c r="J32" s="192">
        <v>8.1999999999999993</v>
      </c>
      <c r="K32" s="192">
        <v>7</v>
      </c>
      <c r="L32" s="192"/>
      <c r="M32" s="192"/>
      <c r="N32" s="192">
        <v>8.1999999999999993</v>
      </c>
      <c r="O32" s="192">
        <v>8.1999999999999993</v>
      </c>
      <c r="P32" s="192">
        <v>8.1999999999999993</v>
      </c>
      <c r="Q32" s="192">
        <v>8.1999999999999993</v>
      </c>
      <c r="R32" s="192">
        <v>7.2</v>
      </c>
      <c r="S32" s="192"/>
      <c r="T32" s="192"/>
      <c r="U32" s="192">
        <v>8.1999999999999993</v>
      </c>
      <c r="V32" s="192">
        <v>8.1999999999999993</v>
      </c>
      <c r="W32" s="192">
        <v>8.1999999999999993</v>
      </c>
      <c r="X32" s="192">
        <v>8.1999999999999993</v>
      </c>
      <c r="Y32" s="192">
        <v>7.2</v>
      </c>
      <c r="Z32" s="192"/>
      <c r="AA32" s="192"/>
      <c r="AB32" s="192">
        <v>8.1999999999999993</v>
      </c>
      <c r="AC32" s="192">
        <v>8.1999999999999993</v>
      </c>
      <c r="AD32" s="192">
        <v>8.1999999999999993</v>
      </c>
      <c r="AE32" s="192">
        <v>8.1999999999999993</v>
      </c>
      <c r="AF32" s="192">
        <v>7.2</v>
      </c>
      <c r="AG32" s="192"/>
      <c r="AH32" s="192"/>
      <c r="AI32" s="192">
        <v>8.1999999999999993</v>
      </c>
      <c r="AJ32" s="314"/>
      <c r="AK32" s="212"/>
      <c r="AL32" s="212"/>
      <c r="AM32" s="212"/>
      <c r="AN32" s="212"/>
      <c r="AO32" s="212"/>
      <c r="AP32" s="212"/>
      <c r="AQ32" s="311"/>
      <c r="AR32" s="311"/>
      <c r="AS32" s="311"/>
      <c r="AT32" s="311"/>
      <c r="AU32" s="311"/>
      <c r="AV32" s="311"/>
      <c r="AW32" s="203"/>
      <c r="AX32" s="311"/>
      <c r="AY32" s="311"/>
      <c r="AZ32" s="313"/>
    </row>
    <row r="33" spans="1:52" ht="20.100000000000001" customHeight="1" x14ac:dyDescent="0.2">
      <c r="A33" s="305">
        <f t="shared" ref="A33" si="6">A31+1</f>
        <v>9</v>
      </c>
      <c r="B33" s="228" t="s">
        <v>224</v>
      </c>
      <c r="C33" s="279">
        <v>1633</v>
      </c>
      <c r="D33" s="279" t="s">
        <v>65</v>
      </c>
      <c r="E33" s="191" t="s">
        <v>4</v>
      </c>
      <c r="F33" s="191" t="s">
        <v>354</v>
      </c>
      <c r="G33" s="191" t="s">
        <v>354</v>
      </c>
      <c r="H33" s="191" t="s">
        <v>142</v>
      </c>
      <c r="I33" s="191" t="s">
        <v>354</v>
      </c>
      <c r="J33" s="191" t="s">
        <v>354</v>
      </c>
      <c r="K33" s="191" t="s">
        <v>142</v>
      </c>
      <c r="L33" s="191" t="s">
        <v>354</v>
      </c>
      <c r="M33" s="191" t="s">
        <v>354</v>
      </c>
      <c r="N33" s="191" t="s">
        <v>142</v>
      </c>
      <c r="O33" s="191" t="s">
        <v>354</v>
      </c>
      <c r="P33" s="191" t="s">
        <v>354</v>
      </c>
      <c r="Q33" s="191" t="s">
        <v>142</v>
      </c>
      <c r="R33" s="191" t="s">
        <v>354</v>
      </c>
      <c r="S33" s="191" t="s">
        <v>354</v>
      </c>
      <c r="T33" s="191" t="s">
        <v>4</v>
      </c>
      <c r="U33" s="191" t="s">
        <v>354</v>
      </c>
      <c r="V33" s="191" t="s">
        <v>354</v>
      </c>
      <c r="W33" s="191" t="s">
        <v>142</v>
      </c>
      <c r="X33" s="191" t="s">
        <v>354</v>
      </c>
      <c r="Y33" s="191" t="s">
        <v>354</v>
      </c>
      <c r="Z33" s="191" t="s">
        <v>4</v>
      </c>
      <c r="AA33" s="191" t="s">
        <v>354</v>
      </c>
      <c r="AB33" s="191" t="s">
        <v>354</v>
      </c>
      <c r="AC33" s="191" t="s">
        <v>142</v>
      </c>
      <c r="AD33" s="191" t="s">
        <v>354</v>
      </c>
      <c r="AE33" s="191" t="s">
        <v>354</v>
      </c>
      <c r="AF33" s="191" t="s">
        <v>142</v>
      </c>
      <c r="AG33" s="191" t="s">
        <v>354</v>
      </c>
      <c r="AH33" s="191" t="s">
        <v>354</v>
      </c>
      <c r="AI33" s="191" t="s">
        <v>142</v>
      </c>
      <c r="AJ33" s="294">
        <f>IFERROR(COUNTIF(E33:AI33,"=Р")+COUNTIF(E33:AI33,"=Р1")+COUNTIF(E33:AI33,"=ВЧ")+COUNTIF(E33:AI33,"=РН")+COUNTIF(E33:AI33,"=Р2")+COUNTIF(E33:AI33,"=Р1/РВ")+COUNTIF(E33:AI33,"=Р2/РВ")+COUNTIF(E33:AI33,"=ВЧ/РВ")+COUNTIF(E33:AI33,"=РН/РВ"),0)</f>
        <v>23</v>
      </c>
      <c r="AK33" s="211">
        <f>IFERROR(SUMIF(E33:AI33,"=Р2",E34:AI34)+SUMIF(E33:AI33,"=ВЧ/РВ",E34:AI34)+SUMIF(E33:AI33,"=РН/РВ",E34:AI34)+SUMIF(E33:AI33,"=Р1/РВ",E34:AI34)+SUMIF(E33:AI33,"=ВЧ2/РВ",E34:AI34)+SUMIF(E33:AI33,"=Р2/РВ",E34:AI34)+SUMIF(E33:AI33,"=Р",E34:AI34)+SUMIF(E33:AI33,"=Р1",E34:AI34)+SUMIF(E33:AI33,"=ВЧ1",E34:AI34)+SUMIF(E33:AI33,"=РН",E34:AI34)+SUMIF(E33:AI33,"=ВЧ",E34:AI34),0)+AL33</f>
        <v>168</v>
      </c>
      <c r="AL33" s="211">
        <f>IFERROR(SUMIF(E33:AI33,"=НУ",E34:AI34),0)</f>
        <v>0</v>
      </c>
      <c r="AM33" s="211">
        <f>IFERROR(SUMIF(E33:AI33,"=РН",E34:AI34)+SUMIF(E33:AI33,"=РН/РВ",E34:AI34)+SUMIFS(E34:AI34,E33:AI33,"=Р2",E34:AI34,"=8"),0)</f>
        <v>80</v>
      </c>
      <c r="AN33" s="211">
        <f>IFERROR(SUMIF(E33:AI33,"=ВЧ",E34:AI34)+SUMIF(E33:AI33,"=ВЧ/РВ",E34:AI34)+CEILING(COUNTIFS(E33:AI33,"=Р2",E34:AI34,"=7")*4,1)+CEILING(COUNTIFS(E33:AI33,"=Р2/РВ",E34:AI34,"=7")*4,1)+SUMIFS(E34:AI34,E33:AI33,"=Р1/РВ",E34:AI34,"=12")/6+SUMIFS(E34:AI34,E33:AI33,"=ВЧ2/РВ",E34:AI34,"=4")/2+SUMIFS(E34:AI34,E33:AI33,"=Р1",E34:AI34,"=12")/6+SUMIFS(E34:AI34,E33:AI33,"=Р1",E34:AI34,"=8")/4+SUMIF(E33:AI33,"=ВЧ1",E34:AI34)/2,0)</f>
        <v>40</v>
      </c>
      <c r="AO33" s="211">
        <f>IFERROR(SUMIF(E33:AI33,"=РВ",E34:AI34)+SUMIF(E33:AI33,"=ВЧ/РВ",E34:AI34)+SUMIF(E33:AI33,"=РН/РВ",E34:AI34)+SUMIF(E33:AI33,"=Р1/РВ",E34:AI34)+SUMIF(E33:AI33,"=ВЧ2/РВ",E34:AI34)+SUMIF(E33:AI33,"=Р2/РВ",E34:AI34),0)</f>
        <v>0</v>
      </c>
      <c r="AP33" s="211">
        <f>IFERROR(COUNTIF(E33:AI33,"=ВВ")+COUNTIF(E33:AI33,"=Р1/ВВ")+COUNTIF(E33:AI33,"=РН/ВВ")+COUNTIF(E33:AI33,"=ВЧ/ВВ"),0)</f>
        <v>8</v>
      </c>
      <c r="AQ33" s="211">
        <f>SUM(AR33:AZ33)</f>
        <v>0</v>
      </c>
      <c r="AR33" s="211">
        <f>IFERROR(SUMIF(E33:AI33,"=В",E34:AI34)+SUMIF(E33:AI33,"=Ч",E34:AI34)+SUMIF(E33:AI33,"=ВБ",E34:AI34),0)</f>
        <v>0</v>
      </c>
      <c r="AS33" s="211">
        <f>IFERROR(SUMIF(E33:AI33,"=Н",E34:AI34),0)</f>
        <v>0</v>
      </c>
      <c r="AT33" s="211">
        <f>IFERROR(SUMIF(E33:AI33,"=НА",E34:AI34),0)</f>
        <v>0</v>
      </c>
      <c r="AU33" s="211">
        <f>IFERROR(SUMIF(E33:AI33,"=ВП",E34:AI34),0)</f>
        <v>0</v>
      </c>
      <c r="AV33" s="211">
        <f>IFERROR(SUMIF(E33:AI33,"=ДД",E34:AI34),0)</f>
        <v>0</v>
      </c>
      <c r="AW33" s="202">
        <f>IFERROR(SUMIF(E33:AI33,"=ДО",E34:AI34),0)</f>
        <v>0</v>
      </c>
      <c r="AX33" s="211">
        <f>IFERROR(SUMIF(E33:AI33,"=ТН",E34:AI34),0)</f>
        <v>0</v>
      </c>
      <c r="AY33" s="211">
        <f>IFERROR(SUMIF(E33:AI33,"=ВД",E34:AI34),0)</f>
        <v>0</v>
      </c>
      <c r="AZ33" s="312">
        <f>IFERROR(SUMIF(E33:AI33,"=ІН",E34:AI34),0)+SUMIF(E33:AI33,"=НЗ",E34:AI34)</f>
        <v>0</v>
      </c>
    </row>
    <row r="34" spans="1:52" ht="20.100000000000001" customHeight="1" thickBot="1" x14ac:dyDescent="0.25">
      <c r="A34" s="306"/>
      <c r="B34" s="229"/>
      <c r="C34" s="280"/>
      <c r="D34" s="280"/>
      <c r="E34" s="192">
        <v>6</v>
      </c>
      <c r="F34" s="192">
        <v>7</v>
      </c>
      <c r="G34" s="192">
        <v>8</v>
      </c>
      <c r="H34" s="192"/>
      <c r="I34" s="192">
        <v>7</v>
      </c>
      <c r="J34" s="192">
        <v>8</v>
      </c>
      <c r="K34" s="192"/>
      <c r="L34" s="192">
        <v>7</v>
      </c>
      <c r="M34" s="192">
        <v>8</v>
      </c>
      <c r="N34" s="192"/>
      <c r="O34" s="192">
        <v>7</v>
      </c>
      <c r="P34" s="192">
        <v>8</v>
      </c>
      <c r="Q34" s="192"/>
      <c r="R34" s="192">
        <v>7</v>
      </c>
      <c r="S34" s="192">
        <v>8</v>
      </c>
      <c r="T34" s="192">
        <v>6</v>
      </c>
      <c r="U34" s="192">
        <v>7</v>
      </c>
      <c r="V34" s="192">
        <v>8</v>
      </c>
      <c r="W34" s="192"/>
      <c r="X34" s="192">
        <v>7</v>
      </c>
      <c r="Y34" s="192">
        <v>8</v>
      </c>
      <c r="Z34" s="192">
        <v>6</v>
      </c>
      <c r="AA34" s="192">
        <v>7</v>
      </c>
      <c r="AB34" s="192">
        <v>8</v>
      </c>
      <c r="AC34" s="192"/>
      <c r="AD34" s="192">
        <v>7</v>
      </c>
      <c r="AE34" s="192">
        <v>8</v>
      </c>
      <c r="AF34" s="192"/>
      <c r="AG34" s="192">
        <v>7</v>
      </c>
      <c r="AH34" s="192">
        <v>8</v>
      </c>
      <c r="AI34" s="192"/>
      <c r="AJ34" s="314"/>
      <c r="AK34" s="212"/>
      <c r="AL34" s="212"/>
      <c r="AM34" s="212"/>
      <c r="AN34" s="212"/>
      <c r="AO34" s="212"/>
      <c r="AP34" s="212"/>
      <c r="AQ34" s="311"/>
      <c r="AR34" s="311"/>
      <c r="AS34" s="311"/>
      <c r="AT34" s="311"/>
      <c r="AU34" s="311"/>
      <c r="AV34" s="311"/>
      <c r="AW34" s="203"/>
      <c r="AX34" s="311"/>
      <c r="AY34" s="311"/>
      <c r="AZ34" s="313"/>
    </row>
    <row r="35" spans="1:52" ht="20.100000000000001" customHeight="1" x14ac:dyDescent="0.2">
      <c r="A35" s="305">
        <f t="shared" ref="A35" si="7">A33+1</f>
        <v>10</v>
      </c>
      <c r="B35" s="228" t="s">
        <v>106</v>
      </c>
      <c r="C35" s="279">
        <v>2116</v>
      </c>
      <c r="D35" s="279" t="s">
        <v>65</v>
      </c>
      <c r="E35" s="191" t="s">
        <v>142</v>
      </c>
      <c r="F35" s="191" t="s">
        <v>142</v>
      </c>
      <c r="G35" s="191" t="s">
        <v>52</v>
      </c>
      <c r="H35" s="191" t="s">
        <v>52</v>
      </c>
      <c r="I35" s="191" t="s">
        <v>52</v>
      </c>
      <c r="J35" s="191" t="s">
        <v>52</v>
      </c>
      <c r="K35" s="191" t="s">
        <v>52</v>
      </c>
      <c r="L35" s="191" t="s">
        <v>52</v>
      </c>
      <c r="M35" s="191" t="s">
        <v>52</v>
      </c>
      <c r="N35" s="191" t="s">
        <v>52</v>
      </c>
      <c r="O35" s="191" t="s">
        <v>52</v>
      </c>
      <c r="P35" s="191" t="s">
        <v>52</v>
      </c>
      <c r="Q35" s="191" t="s">
        <v>4</v>
      </c>
      <c r="R35" s="191" t="s">
        <v>4</v>
      </c>
      <c r="S35" s="191" t="s">
        <v>142</v>
      </c>
      <c r="T35" s="191" t="s">
        <v>142</v>
      </c>
      <c r="U35" s="191" t="s">
        <v>4</v>
      </c>
      <c r="V35" s="191" t="s">
        <v>4</v>
      </c>
      <c r="W35" s="191" t="s">
        <v>4</v>
      </c>
      <c r="X35" s="191" t="s">
        <v>4</v>
      </c>
      <c r="Y35" s="191" t="s">
        <v>4</v>
      </c>
      <c r="Z35" s="191" t="s">
        <v>142</v>
      </c>
      <c r="AA35" s="191" t="s">
        <v>142</v>
      </c>
      <c r="AB35" s="191" t="s">
        <v>4</v>
      </c>
      <c r="AC35" s="191" t="s">
        <v>4</v>
      </c>
      <c r="AD35" s="191" t="s">
        <v>4</v>
      </c>
      <c r="AE35" s="191" t="s">
        <v>4</v>
      </c>
      <c r="AF35" s="191" t="s">
        <v>4</v>
      </c>
      <c r="AG35" s="191" t="s">
        <v>142</v>
      </c>
      <c r="AH35" s="191" t="s">
        <v>142</v>
      </c>
      <c r="AI35" s="191" t="s">
        <v>4</v>
      </c>
      <c r="AJ35" s="294">
        <f>IFERROR(COUNTIF(E35:AI35,"=Р")+COUNTIF(E35:AI35,"=Р1")+COUNTIF(E35:AI35,"=ВЧ")+COUNTIF(E35:AI35,"=РН")+COUNTIF(E35:AI35,"=Р2")+COUNTIF(E35:AI35,"=Р1/РВ")+COUNTIF(E35:AI35,"=Р2/РВ")+COUNTIF(E35:AI35,"=ВЧ/РВ")+COUNTIF(E35:AI35,"=РН/РВ"),0)</f>
        <v>13</v>
      </c>
      <c r="AK35" s="211">
        <f>IFERROR(SUMIF(E35:AI35,"=Р2",E36:AI36)+SUMIF(E35:AI35,"=ВЧ/РВ",E36:AI36)+SUMIF(E35:AI35,"=РН/РВ",E36:AI36)+SUMIF(E35:AI35,"=Р1/РВ",E36:AI36)+SUMIF(E35:AI35,"=ВЧ2/РВ",E36:AI36)+SUMIF(E35:AI35,"=Р2/РВ",E36:AI36)+SUMIF(E35:AI35,"=Р",E36:AI36)+SUMIF(E35:AI35,"=Р1",E36:AI36)+SUMIF(E35:AI35,"=ВЧ1",E36:AI36)+SUMIF(E35:AI35,"=РН",E36:AI36)+SUMIF(E35:AI35,"=ВЧ",E36:AI36),0)+AL35</f>
        <v>103.60000000000002</v>
      </c>
      <c r="AL35" s="211">
        <f>IFERROR(SUMIF(E35:AI35,"=НУ",E36:AI36),0)</f>
        <v>0</v>
      </c>
      <c r="AM35" s="211">
        <f>IFERROR(SUMIF(E35:AI35,"=РН",E36:AI36)+SUMIF(E35:AI35,"=РН/РВ",E36:AI36)+SUMIFS(E36:AI36,E35:AI35,"=Р2",E36:AI36,"=8"),0)</f>
        <v>0</v>
      </c>
      <c r="AN35" s="211">
        <f>IFERROR(SUMIF(E35:AI35,"=ВЧ",E36:AI36)+SUMIF(E35:AI35,"=ВЧ/РВ",E36:AI36)+CEILING(COUNTIFS(E35:AI35,"=Р2",E36:AI36,"=7")*4,1)+CEILING(COUNTIFS(E35:AI35,"=Р2/РВ",E36:AI36,"=7")*4,1)+SUMIFS(E36:AI36,E35:AI35,"=Р1/РВ",E36:AI36,"=12")/6+SUMIFS(E36:AI36,E35:AI35,"=ВЧ2/РВ",E36:AI36,"=4")/2+SUMIFS(E36:AI36,E35:AI35,"=Р1",E36:AI36,"=12")/6+SUMIFS(E36:AI36,E35:AI35,"=Р1",E36:AI36,"=8")/4+SUMIF(E35:AI35,"=ВЧ1",E36:AI36)/2,0)</f>
        <v>0</v>
      </c>
      <c r="AO35" s="211">
        <f>IFERROR(SUMIF(E35:AI35,"=РВ",E36:AI36)+SUMIF(E35:AI35,"=ВЧ/РВ",E36:AI36)+SUMIF(E35:AI35,"=РН/РВ",E36:AI36)+SUMIF(E35:AI35,"=Р1/РВ",E36:AI36)+SUMIF(E35:AI35,"=ВЧ2/РВ",E36:AI36)+SUMIF(E35:AI35,"=Р2/РВ",E36:AI36),0)</f>
        <v>0</v>
      </c>
      <c r="AP35" s="211">
        <f>IFERROR(COUNTIF(E35:AI35,"=ВВ")+COUNTIF(E35:AI35,"=Р1/ВВ")+COUNTIF(E35:AI35,"=РН/ВВ")+COUNTIF(E35:AI35,"=ВЧ/ВВ"),0)</f>
        <v>8</v>
      </c>
      <c r="AQ35" s="211">
        <f>SUM(AR35:AZ35)</f>
        <v>64.400000000000006</v>
      </c>
      <c r="AR35" s="211">
        <f>IFERROR(SUMIF(E35:AI35,"=В",E36:AI36)+SUMIF(E35:AI35,"=Ч",E36:AI36)+SUMIF(E35:AI35,"=ВБ",E36:AI36),0)</f>
        <v>0</v>
      </c>
      <c r="AS35" s="211">
        <f>IFERROR(SUMIF(E35:AI35,"=Н",E36:AI36),0)</f>
        <v>0</v>
      </c>
      <c r="AT35" s="211">
        <f>IFERROR(SUMIF(E35:AI35,"=НА",E36:AI36),0)</f>
        <v>0</v>
      </c>
      <c r="AU35" s="211">
        <f>IFERROR(SUMIF(E35:AI35,"=ВП",E36:AI36),0)</f>
        <v>0</v>
      </c>
      <c r="AV35" s="211">
        <f>IFERROR(SUMIF(E35:AI35,"=ДД",E36:AI36),0)</f>
        <v>0</v>
      </c>
      <c r="AW35" s="202">
        <f>IFERROR(SUMIF(E35:AI35,"=ДО",E36:AI36),0)</f>
        <v>0</v>
      </c>
      <c r="AX35" s="211">
        <f>IFERROR(SUMIF(E35:AI35,"=ТН",E36:AI36),0)</f>
        <v>64.400000000000006</v>
      </c>
      <c r="AY35" s="211">
        <f>IFERROR(SUMIF(E35:AI35,"=ВД",E36:AI36),0)</f>
        <v>0</v>
      </c>
      <c r="AZ35" s="312">
        <f>IFERROR(SUMIF(E35:AI35,"=ІН",E36:AI36),0)+SUMIF(E35:AI35,"=НЗ",E36:AI36)</f>
        <v>0</v>
      </c>
    </row>
    <row r="36" spans="1:52" ht="20.100000000000001" customHeight="1" thickBot="1" x14ac:dyDescent="0.25">
      <c r="A36" s="306"/>
      <c r="B36" s="229"/>
      <c r="C36" s="280"/>
      <c r="D36" s="280"/>
      <c r="E36" s="192"/>
      <c r="F36" s="192"/>
      <c r="G36" s="192">
        <v>8.1999999999999993</v>
      </c>
      <c r="H36" s="192">
        <v>8.1999999999999993</v>
      </c>
      <c r="I36" s="192">
        <v>8.1999999999999993</v>
      </c>
      <c r="J36" s="192">
        <v>8.1999999999999993</v>
      </c>
      <c r="K36" s="192">
        <v>7</v>
      </c>
      <c r="L36" s="192"/>
      <c r="M36" s="192"/>
      <c r="N36" s="192">
        <v>8.1999999999999993</v>
      </c>
      <c r="O36" s="192">
        <v>8.1999999999999993</v>
      </c>
      <c r="P36" s="192">
        <v>8.1999999999999993</v>
      </c>
      <c r="Q36" s="192">
        <v>8.1999999999999993</v>
      </c>
      <c r="R36" s="192">
        <v>7.2</v>
      </c>
      <c r="S36" s="192"/>
      <c r="T36" s="192"/>
      <c r="U36" s="192">
        <v>8.1999999999999993</v>
      </c>
      <c r="V36" s="192">
        <v>8.1999999999999993</v>
      </c>
      <c r="W36" s="192">
        <v>8.1999999999999993</v>
      </c>
      <c r="X36" s="192">
        <v>8.1999999999999993</v>
      </c>
      <c r="Y36" s="192">
        <v>7.2</v>
      </c>
      <c r="Z36" s="192"/>
      <c r="AA36" s="192"/>
      <c r="AB36" s="192">
        <v>8.1999999999999993</v>
      </c>
      <c r="AC36" s="192">
        <v>8.1999999999999993</v>
      </c>
      <c r="AD36" s="192">
        <v>8.1999999999999993</v>
      </c>
      <c r="AE36" s="192">
        <v>8.1999999999999993</v>
      </c>
      <c r="AF36" s="192">
        <v>7.2</v>
      </c>
      <c r="AG36" s="192"/>
      <c r="AH36" s="192"/>
      <c r="AI36" s="192">
        <v>8.1999999999999993</v>
      </c>
      <c r="AJ36" s="314"/>
      <c r="AK36" s="212"/>
      <c r="AL36" s="212"/>
      <c r="AM36" s="212"/>
      <c r="AN36" s="212"/>
      <c r="AO36" s="212"/>
      <c r="AP36" s="212"/>
      <c r="AQ36" s="311"/>
      <c r="AR36" s="311"/>
      <c r="AS36" s="311"/>
      <c r="AT36" s="311"/>
      <c r="AU36" s="311"/>
      <c r="AV36" s="311"/>
      <c r="AW36" s="203"/>
      <c r="AX36" s="311"/>
      <c r="AY36" s="311"/>
      <c r="AZ36" s="313"/>
    </row>
    <row r="37" spans="1:52" s="99" customFormat="1" ht="20.100000000000001" customHeight="1" x14ac:dyDescent="0.2">
      <c r="A37" s="305">
        <f t="shared" ref="A37" si="8">A35+1</f>
        <v>11</v>
      </c>
      <c r="B37" s="228" t="s">
        <v>332</v>
      </c>
      <c r="C37" s="279">
        <v>2136</v>
      </c>
      <c r="D37" s="279" t="s">
        <v>65</v>
      </c>
      <c r="E37" s="191" t="s">
        <v>354</v>
      </c>
      <c r="F37" s="191" t="s">
        <v>354</v>
      </c>
      <c r="G37" s="191" t="s">
        <v>142</v>
      </c>
      <c r="H37" s="191" t="s">
        <v>354</v>
      </c>
      <c r="I37" s="191" t="s">
        <v>354</v>
      </c>
      <c r="J37" s="191" t="s">
        <v>142</v>
      </c>
      <c r="K37" s="191" t="s">
        <v>354</v>
      </c>
      <c r="L37" s="191" t="s">
        <v>354</v>
      </c>
      <c r="M37" s="191" t="s">
        <v>4</v>
      </c>
      <c r="N37" s="191" t="s">
        <v>354</v>
      </c>
      <c r="O37" s="191" t="s">
        <v>354</v>
      </c>
      <c r="P37" s="191" t="s">
        <v>142</v>
      </c>
      <c r="Q37" s="191" t="s">
        <v>354</v>
      </c>
      <c r="R37" s="191" t="s">
        <v>354</v>
      </c>
      <c r="S37" s="191" t="s">
        <v>4</v>
      </c>
      <c r="T37" s="191" t="s">
        <v>354</v>
      </c>
      <c r="U37" s="191" t="s">
        <v>354</v>
      </c>
      <c r="V37" s="191" t="s">
        <v>142</v>
      </c>
      <c r="W37" s="191" t="s">
        <v>354</v>
      </c>
      <c r="X37" s="191" t="s">
        <v>354</v>
      </c>
      <c r="Y37" s="191" t="s">
        <v>142</v>
      </c>
      <c r="Z37" s="191" t="s">
        <v>354</v>
      </c>
      <c r="AA37" s="191" t="s">
        <v>354</v>
      </c>
      <c r="AB37" s="191" t="s">
        <v>142</v>
      </c>
      <c r="AC37" s="191" t="s">
        <v>354</v>
      </c>
      <c r="AD37" s="191" t="s">
        <v>354</v>
      </c>
      <c r="AE37" s="191" t="s">
        <v>142</v>
      </c>
      <c r="AF37" s="191" t="s">
        <v>354</v>
      </c>
      <c r="AG37" s="191" t="s">
        <v>354</v>
      </c>
      <c r="AH37" s="191" t="s">
        <v>4</v>
      </c>
      <c r="AI37" s="191" t="s">
        <v>354</v>
      </c>
      <c r="AJ37" s="294">
        <f>IFERROR(COUNTIF(E37:AI37,"=Р")+COUNTIF(E37:AI37,"=Р1")+COUNTIF(E37:AI37,"=ВЧ")+COUNTIF(E37:AI37,"=РН")+COUNTIF(E37:AI37,"=Р2")+COUNTIF(E37:AI37,"=Р1/РВ")+COUNTIF(E37:AI37,"=Р2/РВ")+COUNTIF(E37:AI37,"=ВЧ/РВ")+COUNTIF(E37:AI37,"=РН/РВ"),0)</f>
        <v>24</v>
      </c>
      <c r="AK37" s="211">
        <f>IFERROR(SUMIF(E37:AI37,"=Р2",E38:AI38)+SUMIF(E37:AI37,"=ВЧ/РВ",E38:AI38)+SUMIF(E37:AI37,"=РН/РВ",E38:AI38)+SUMIF(E37:AI37,"=Р1/РВ",E38:AI38)+SUMIF(E37:AI37,"=ВЧ2/РВ",E38:AI38)+SUMIF(E37:AI37,"=Р2/РВ",E38:AI38)+SUMIF(E37:AI37,"=Р",E38:AI38)+SUMIF(E37:AI37,"=Р1",E38:AI38)+SUMIF(E37:AI37,"=ВЧ1",E38:AI38)+SUMIF(E37:AI37,"=РН",E38:AI38)+SUMIF(E37:AI37,"=ВЧ",E38:AI38),0)+AL37</f>
        <v>168</v>
      </c>
      <c r="AL37" s="211">
        <f>IFERROR(SUMIF(E37:AI37,"=НУ",E38:AI38),0)</f>
        <v>0</v>
      </c>
      <c r="AM37" s="211">
        <f>IFERROR(SUMIF(E37:AI37,"=РН",E38:AI38)+SUMIF(E37:AI37,"=РН/РВ",E38:AI38)+SUMIFS(E38:AI38,E37:AI37,"=Р2",E38:AI38,"=8"),0)</f>
        <v>80</v>
      </c>
      <c r="AN37" s="211">
        <f>IFERROR(SUMIF(E37:AI37,"=ВЧ",E38:AI38)+SUMIF(E37:AI37,"=ВЧ/РВ",E38:AI38)+CEILING(COUNTIFS(E37:AI37,"=Р2",E38:AI38,"=7")*4,1)+CEILING(COUNTIFS(E37:AI37,"=Р2/РВ",E38:AI38,"=7")*4,1)+SUMIFS(E38:AI38,E37:AI37,"=Р1/РВ",E38:AI38,"=12")/6+SUMIFS(E38:AI38,E37:AI37,"=ВЧ2/РВ",E38:AI38,"=4")/2+SUMIFS(E38:AI38,E37:AI37,"=Р1",E38:AI38,"=12")/6+SUMIFS(E38:AI38,E37:AI37,"=Р1",E38:AI38,"=8")/4+SUMIF(E37:AI37,"=ВЧ1",E38:AI38)/2,0)</f>
        <v>44</v>
      </c>
      <c r="AO37" s="211">
        <f>IFERROR(SUMIF(E37:AI37,"=РВ",E38:AI38)+SUMIF(E37:AI37,"=ВЧ/РВ",E38:AI38)+SUMIF(E37:AI37,"=РН/РВ",E38:AI38)+SUMIF(E37:AI37,"=Р1/РВ",E38:AI38)+SUMIF(E37:AI37,"=ВЧ2/РВ",E38:AI38)+SUMIF(E37:AI37,"=Р2/РВ",E38:AI38),0)</f>
        <v>0</v>
      </c>
      <c r="AP37" s="211">
        <f>IFERROR(COUNTIF(E37:AI37,"=ВВ")+COUNTIF(E37:AI37,"=Р1/ВВ")+COUNTIF(E37:AI37,"=РН/ВВ")+COUNTIF(E37:AI37,"=ВЧ/ВВ"),0)</f>
        <v>7</v>
      </c>
      <c r="AQ37" s="211">
        <f>SUM(AR37:AZ37)</f>
        <v>0</v>
      </c>
      <c r="AR37" s="211">
        <f>IFERROR(SUMIF(E37:AI37,"=В",E38:AI38)+SUMIF(E37:AI37,"=Ч",E38:AI38)+SUMIF(E37:AI37,"=ВБ",E38:AI38),0)</f>
        <v>0</v>
      </c>
      <c r="AS37" s="211">
        <f>IFERROR(SUMIF(E37:AI37,"=Н",E38:AI38),0)</f>
        <v>0</v>
      </c>
      <c r="AT37" s="211">
        <f>IFERROR(SUMIF(E37:AI37,"=НА",E38:AI38),0)</f>
        <v>0</v>
      </c>
      <c r="AU37" s="211">
        <f>IFERROR(SUMIF(E37:AI37,"=ВП",E38:AI38),0)</f>
        <v>0</v>
      </c>
      <c r="AV37" s="211">
        <f>IFERROR(SUMIF(E37:AI37,"=ДД",E38:AI38),0)</f>
        <v>0</v>
      </c>
      <c r="AW37" s="202">
        <f>IFERROR(SUMIF(E37:AI37,"=ДО",E38:AI38),0)</f>
        <v>0</v>
      </c>
      <c r="AX37" s="211">
        <f>IFERROR(SUMIF(E37:AI37,"=ТН",E38:AI38),0)</f>
        <v>0</v>
      </c>
      <c r="AY37" s="211">
        <f>IFERROR(SUMIF(E37:AI37,"=ВД",E38:AI38),0)</f>
        <v>0</v>
      </c>
      <c r="AZ37" s="312">
        <f>IFERROR(SUMIF(E37:AI37,"=ІН",E38:AI38),0)+SUMIF(E37:AI37,"=НЗ",E38:AI38)</f>
        <v>0</v>
      </c>
    </row>
    <row r="38" spans="1:52" s="99" customFormat="1" ht="20.100000000000001" customHeight="1" thickBot="1" x14ac:dyDescent="0.25">
      <c r="A38" s="306"/>
      <c r="B38" s="229"/>
      <c r="C38" s="280"/>
      <c r="D38" s="280"/>
      <c r="E38" s="192">
        <v>7</v>
      </c>
      <c r="F38" s="192">
        <v>8</v>
      </c>
      <c r="G38" s="192"/>
      <c r="H38" s="192">
        <v>7</v>
      </c>
      <c r="I38" s="192">
        <v>8</v>
      </c>
      <c r="J38" s="192"/>
      <c r="K38" s="192">
        <v>7</v>
      </c>
      <c r="L38" s="192">
        <v>8</v>
      </c>
      <c r="M38" s="192">
        <v>3</v>
      </c>
      <c r="N38" s="192">
        <v>7</v>
      </c>
      <c r="O38" s="192">
        <v>8</v>
      </c>
      <c r="P38" s="192"/>
      <c r="Q38" s="192">
        <v>7</v>
      </c>
      <c r="R38" s="192">
        <v>8</v>
      </c>
      <c r="S38" s="192">
        <v>4</v>
      </c>
      <c r="T38" s="192">
        <v>7</v>
      </c>
      <c r="U38" s="192">
        <v>8</v>
      </c>
      <c r="V38" s="192"/>
      <c r="W38" s="192">
        <v>7</v>
      </c>
      <c r="X38" s="192">
        <v>8</v>
      </c>
      <c r="Y38" s="192"/>
      <c r="Z38" s="192">
        <v>7</v>
      </c>
      <c r="AA38" s="192">
        <v>8</v>
      </c>
      <c r="AB38" s="192"/>
      <c r="AC38" s="192">
        <v>7</v>
      </c>
      <c r="AD38" s="192">
        <v>8</v>
      </c>
      <c r="AE38" s="192"/>
      <c r="AF38" s="192">
        <v>7</v>
      </c>
      <c r="AG38" s="192">
        <v>8</v>
      </c>
      <c r="AH38" s="192">
        <v>4</v>
      </c>
      <c r="AI38" s="192">
        <v>7</v>
      </c>
      <c r="AJ38" s="314"/>
      <c r="AK38" s="212"/>
      <c r="AL38" s="212"/>
      <c r="AM38" s="212"/>
      <c r="AN38" s="212"/>
      <c r="AO38" s="212"/>
      <c r="AP38" s="212"/>
      <c r="AQ38" s="311"/>
      <c r="AR38" s="311"/>
      <c r="AS38" s="311"/>
      <c r="AT38" s="311"/>
      <c r="AU38" s="311"/>
      <c r="AV38" s="311"/>
      <c r="AW38" s="203"/>
      <c r="AX38" s="311"/>
      <c r="AY38" s="311"/>
      <c r="AZ38" s="313"/>
    </row>
    <row r="39" spans="1:52" s="104" customFormat="1" ht="20.100000000000001" customHeight="1" x14ac:dyDescent="0.2">
      <c r="A39" s="305">
        <f t="shared" ref="A39" si="9">A37+1</f>
        <v>12</v>
      </c>
      <c r="B39" s="228" t="s">
        <v>333</v>
      </c>
      <c r="C39" s="279">
        <v>2141</v>
      </c>
      <c r="D39" s="279" t="s">
        <v>65</v>
      </c>
      <c r="E39" s="191" t="s">
        <v>47</v>
      </c>
      <c r="F39" s="191" t="s">
        <v>142</v>
      </c>
      <c r="G39" s="191" t="s">
        <v>4</v>
      </c>
      <c r="H39" s="191" t="s">
        <v>4</v>
      </c>
      <c r="I39" s="191" t="s">
        <v>4</v>
      </c>
      <c r="J39" s="191" t="s">
        <v>4</v>
      </c>
      <c r="K39" s="191" t="s">
        <v>4</v>
      </c>
      <c r="L39" s="191" t="s">
        <v>142</v>
      </c>
      <c r="M39" s="191" t="s">
        <v>142</v>
      </c>
      <c r="N39" s="191" t="s">
        <v>4</v>
      </c>
      <c r="O39" s="191" t="s">
        <v>4</v>
      </c>
      <c r="P39" s="191" t="s">
        <v>4</v>
      </c>
      <c r="Q39" s="191" t="s">
        <v>4</v>
      </c>
      <c r="R39" s="191" t="s">
        <v>4</v>
      </c>
      <c r="S39" s="191" t="s">
        <v>142</v>
      </c>
      <c r="T39" s="191" t="s">
        <v>142</v>
      </c>
      <c r="U39" s="191" t="s">
        <v>4</v>
      </c>
      <c r="V39" s="191" t="s">
        <v>4</v>
      </c>
      <c r="W39" s="191" t="s">
        <v>4</v>
      </c>
      <c r="X39" s="191" t="s">
        <v>4</v>
      </c>
      <c r="Y39" s="191" t="s">
        <v>4</v>
      </c>
      <c r="Z39" s="191" t="s">
        <v>142</v>
      </c>
      <c r="AA39" s="191" t="s">
        <v>142</v>
      </c>
      <c r="AB39" s="191" t="s">
        <v>4</v>
      </c>
      <c r="AC39" s="191" t="s">
        <v>4</v>
      </c>
      <c r="AD39" s="191" t="s">
        <v>4</v>
      </c>
      <c r="AE39" s="191" t="s">
        <v>4</v>
      </c>
      <c r="AF39" s="191" t="s">
        <v>4</v>
      </c>
      <c r="AG39" s="191" t="s">
        <v>142</v>
      </c>
      <c r="AH39" s="191" t="s">
        <v>142</v>
      </c>
      <c r="AI39" s="191" t="s">
        <v>4</v>
      </c>
      <c r="AJ39" s="294">
        <f>IFERROR(COUNTIF(E39:AI39,"=Р")+COUNTIF(E39:AI39,"=Р1")+COUNTIF(E39:AI39,"=ВЧ")+COUNTIF(E39:AI39,"=РН")+COUNTIF(E39:AI39,"=Р2")+COUNTIF(E39:AI39,"=Р1/РВ")+COUNTIF(E39:AI39,"=Р2/РВ")+COUNTIF(E39:AI39,"=ВЧ/РВ")+COUNTIF(E39:AI39,"=РН/РВ"),0)</f>
        <v>21</v>
      </c>
      <c r="AK39" s="211">
        <f>IFERROR(SUMIF(E39:AI39,"=Р2",E40:AI40)+SUMIF(E39:AI39,"=ВЧ/РВ",E40:AI40)+SUMIF(E39:AI39,"=РН/РВ",E40:AI40)+SUMIF(E39:AI39,"=Р1/РВ",E40:AI40)+SUMIF(E39:AI39,"=ВЧ2/РВ",E40:AI40)+SUMIF(E39:AI39,"=Р2/РВ",E40:AI40)+SUMIF(E39:AI39,"=Р",E40:AI40)+SUMIF(E39:AI39,"=Р1",E40:AI40)+SUMIF(E39:AI39,"=ВЧ1",E40:AI40)+SUMIF(E39:AI39,"=РН",E40:AI40)+SUMIF(E39:AI39,"=ВЧ",E40:AI40),0)+AL39</f>
        <v>167.99999999999997</v>
      </c>
      <c r="AL39" s="211">
        <f>IFERROR(SUMIF(E39:AI39,"=НУ",E40:AI40),0)</f>
        <v>0</v>
      </c>
      <c r="AM39" s="211">
        <f>IFERROR(SUMIF(E39:AI39,"=РН",E40:AI40)+SUMIF(E39:AI39,"=РН/РВ",E40:AI40)+SUMIFS(E40:AI40,E39:AI39,"=Р2",E40:AI40,"=8"),0)</f>
        <v>0</v>
      </c>
      <c r="AN39" s="211">
        <f>IFERROR(SUMIF(E39:AI39,"=ВЧ",E40:AI40)+SUMIF(E39:AI39,"=ВЧ/РВ",E40:AI40)+CEILING(COUNTIFS(E39:AI39,"=Р2",E40:AI40,"=7")*4,1)+CEILING(COUNTIFS(E39:AI39,"=Р2/РВ",E40:AI40,"=7")*4,1)+SUMIFS(E40:AI40,E39:AI39,"=Р1/РВ",E40:AI40,"=12")/6+SUMIFS(E40:AI40,E39:AI39,"=ВЧ2/РВ",E40:AI40,"=4")/2+SUMIFS(E40:AI40,E39:AI39,"=Р1",E40:AI40,"=12")/6+SUMIFS(E40:AI40,E39:AI39,"=Р1",E40:AI40,"=8")/4+SUMIF(E39:AI39,"=ВЧ1",E40:AI40)/2,0)</f>
        <v>0</v>
      </c>
      <c r="AO39" s="211">
        <f>IFERROR(SUMIF(E39:AI39,"=РВ",E40:AI40)+SUMIF(E39:AI39,"=ВЧ/РВ",E40:AI40)+SUMIF(E39:AI39,"=РН/РВ",E40:AI40)+SUMIF(E39:AI39,"=Р1/РВ",E40:AI40)+SUMIF(E39:AI39,"=ВЧ2/РВ",E40:AI40)+SUMIF(E39:AI39,"=Р2/РВ",E40:AI40),0)</f>
        <v>5</v>
      </c>
      <c r="AP39" s="211">
        <f>IFERROR(COUNTIF(E39:AI39,"=ВВ")+COUNTIF(E39:AI39,"=Р1/ВВ")+COUNTIF(E39:AI39,"=РН/ВВ")+COUNTIF(E39:AI39,"=ВЧ/ВВ"),0)</f>
        <v>9</v>
      </c>
      <c r="AQ39" s="211">
        <f>SUM(AR39:AZ39)</f>
        <v>0</v>
      </c>
      <c r="AR39" s="211">
        <f>IFERROR(SUMIF(E39:AI39,"=В",E40:AI40)+SUMIF(E39:AI39,"=Ч",E40:AI40)+SUMIF(E39:AI39,"=ВБ",E40:AI40),0)</f>
        <v>0</v>
      </c>
      <c r="AS39" s="211">
        <f>IFERROR(SUMIF(E39:AI39,"=Н",E40:AI40),0)</f>
        <v>0</v>
      </c>
      <c r="AT39" s="211">
        <f>IFERROR(SUMIF(E39:AI39,"=НА",E40:AI40),0)</f>
        <v>0</v>
      </c>
      <c r="AU39" s="211">
        <f>IFERROR(SUMIF(E39:AI39,"=ВП",E40:AI40),0)</f>
        <v>0</v>
      </c>
      <c r="AV39" s="211">
        <f>IFERROR(SUMIF(E39:AI39,"=ДД",E40:AI40),0)</f>
        <v>0</v>
      </c>
      <c r="AW39" s="202">
        <f>IFERROR(SUMIF(E39:AI39,"=ДО",E40:AI40),0)</f>
        <v>0</v>
      </c>
      <c r="AX39" s="211">
        <f>IFERROR(SUMIF(E39:AI39,"=ТН",E40:AI40),0)</f>
        <v>0</v>
      </c>
      <c r="AY39" s="211">
        <f>IFERROR(SUMIF(E39:AI39,"=ВД",E40:AI40),0)</f>
        <v>0</v>
      </c>
      <c r="AZ39" s="312">
        <f>IFERROR(SUMIF(E39:AI39,"=ІН",E40:AI40),0)+SUMIF(E39:AI39,"=НЗ",E40:AI40)</f>
        <v>0</v>
      </c>
    </row>
    <row r="40" spans="1:52" s="104" customFormat="1" ht="20.100000000000001" customHeight="1" thickBot="1" x14ac:dyDescent="0.25">
      <c r="A40" s="306"/>
      <c r="B40" s="229"/>
      <c r="C40" s="280"/>
      <c r="D40" s="280"/>
      <c r="E40" s="192">
        <v>5</v>
      </c>
      <c r="F40" s="192"/>
      <c r="G40" s="192">
        <v>8.1999999999999993</v>
      </c>
      <c r="H40" s="192">
        <v>8.1999999999999993</v>
      </c>
      <c r="I40" s="192">
        <v>8.1999999999999993</v>
      </c>
      <c r="J40" s="192">
        <v>8.1999999999999993</v>
      </c>
      <c r="K40" s="192">
        <v>7</v>
      </c>
      <c r="L40" s="192"/>
      <c r="M40" s="192"/>
      <c r="N40" s="192">
        <v>8.1999999999999993</v>
      </c>
      <c r="O40" s="192">
        <v>8.1999999999999993</v>
      </c>
      <c r="P40" s="192">
        <v>8.1999999999999993</v>
      </c>
      <c r="Q40" s="192">
        <v>8.1999999999999993</v>
      </c>
      <c r="R40" s="192">
        <v>7.2</v>
      </c>
      <c r="S40" s="192"/>
      <c r="T40" s="192"/>
      <c r="U40" s="192">
        <v>8.1999999999999993</v>
      </c>
      <c r="V40" s="192">
        <v>8.1999999999999993</v>
      </c>
      <c r="W40" s="192">
        <v>8.1999999999999993</v>
      </c>
      <c r="X40" s="192">
        <v>8.1999999999999993</v>
      </c>
      <c r="Y40" s="192">
        <v>7.2</v>
      </c>
      <c r="Z40" s="192"/>
      <c r="AA40" s="192"/>
      <c r="AB40" s="192">
        <v>8.1999999999999993</v>
      </c>
      <c r="AC40" s="192">
        <v>8.1999999999999993</v>
      </c>
      <c r="AD40" s="192">
        <v>8.1999999999999993</v>
      </c>
      <c r="AE40" s="192">
        <v>8.1999999999999993</v>
      </c>
      <c r="AF40" s="192">
        <v>7.2</v>
      </c>
      <c r="AG40" s="192"/>
      <c r="AH40" s="192"/>
      <c r="AI40" s="192">
        <v>8.1999999999999993</v>
      </c>
      <c r="AJ40" s="314"/>
      <c r="AK40" s="212"/>
      <c r="AL40" s="212"/>
      <c r="AM40" s="212"/>
      <c r="AN40" s="212"/>
      <c r="AO40" s="212"/>
      <c r="AP40" s="212"/>
      <c r="AQ40" s="311"/>
      <c r="AR40" s="311"/>
      <c r="AS40" s="311"/>
      <c r="AT40" s="311"/>
      <c r="AU40" s="311"/>
      <c r="AV40" s="311"/>
      <c r="AW40" s="203"/>
      <c r="AX40" s="311"/>
      <c r="AY40" s="311"/>
      <c r="AZ40" s="313"/>
    </row>
    <row r="41" spans="1:52" ht="20.100000000000001" customHeight="1" x14ac:dyDescent="0.2">
      <c r="A41" s="305">
        <f t="shared" ref="A41" si="10">A39+1</f>
        <v>13</v>
      </c>
      <c r="B41" s="228" t="s">
        <v>334</v>
      </c>
      <c r="C41" s="279">
        <v>831</v>
      </c>
      <c r="D41" s="279" t="s">
        <v>65</v>
      </c>
      <c r="E41" s="191" t="s">
        <v>142</v>
      </c>
      <c r="F41" s="191" t="s">
        <v>142</v>
      </c>
      <c r="G41" s="191" t="s">
        <v>4</v>
      </c>
      <c r="H41" s="191" t="s">
        <v>4</v>
      </c>
      <c r="I41" s="191" t="s">
        <v>4</v>
      </c>
      <c r="J41" s="191" t="s">
        <v>4</v>
      </c>
      <c r="K41" s="191" t="s">
        <v>4</v>
      </c>
      <c r="L41" s="191" t="s">
        <v>142</v>
      </c>
      <c r="M41" s="191" t="s">
        <v>142</v>
      </c>
      <c r="N41" s="191" t="s">
        <v>4</v>
      </c>
      <c r="O41" s="191" t="s">
        <v>4</v>
      </c>
      <c r="P41" s="191" t="s">
        <v>4</v>
      </c>
      <c r="Q41" s="191" t="s">
        <v>4</v>
      </c>
      <c r="R41" s="191" t="s">
        <v>4</v>
      </c>
      <c r="S41" s="191" t="s">
        <v>142</v>
      </c>
      <c r="T41" s="191" t="s">
        <v>142</v>
      </c>
      <c r="U41" s="191" t="s">
        <v>4</v>
      </c>
      <c r="V41" s="191" t="s">
        <v>4</v>
      </c>
      <c r="W41" s="191" t="s">
        <v>4</v>
      </c>
      <c r="X41" s="191" t="s">
        <v>4</v>
      </c>
      <c r="Y41" s="191" t="s">
        <v>4</v>
      </c>
      <c r="Z41" s="191" t="s">
        <v>142</v>
      </c>
      <c r="AA41" s="191" t="s">
        <v>142</v>
      </c>
      <c r="AB41" s="191" t="s">
        <v>4</v>
      </c>
      <c r="AC41" s="191" t="s">
        <v>4</v>
      </c>
      <c r="AD41" s="191" t="s">
        <v>4</v>
      </c>
      <c r="AE41" s="191" t="s">
        <v>4</v>
      </c>
      <c r="AF41" s="191" t="s">
        <v>4</v>
      </c>
      <c r="AG41" s="191" t="s">
        <v>142</v>
      </c>
      <c r="AH41" s="191" t="s">
        <v>142</v>
      </c>
      <c r="AI41" s="191" t="s">
        <v>4</v>
      </c>
      <c r="AJ41" s="294">
        <f>IFERROR(COUNTIF(E41:AI41,"=Р")+COUNTIF(E41:AI41,"=Р1")+COUNTIF(E41:AI41,"=ВЧ")+COUNTIF(E41:AI41,"=РН")+COUNTIF(E41:AI41,"=Р2")+COUNTIF(E41:AI41,"=Р1/РВ")+COUNTIF(E41:AI41,"=Р2/РВ")+COUNTIF(E41:AI41,"=ВЧ/РВ")+COUNTIF(E41:AI41,"=РН/РВ"),0)</f>
        <v>21</v>
      </c>
      <c r="AK41" s="211">
        <f>IFERROR(SUMIF(E41:AI41,"=Р2",E42:AI42)+SUMIF(E41:AI41,"=ВЧ/РВ",E42:AI42)+SUMIF(E41:AI41,"=РН/РВ",E42:AI42)+SUMIF(E41:AI41,"=Р1/РВ",E42:AI42)+SUMIF(E41:AI41,"=ВЧ2/РВ",E42:AI42)+SUMIF(E41:AI41,"=Р2/РВ",E42:AI42)+SUMIF(E41:AI41,"=Р",E42:AI42)+SUMIF(E41:AI41,"=Р1",E42:AI42)+SUMIF(E41:AI41,"=ВЧ1",E42:AI42)+SUMIF(E41:AI41,"=РН",E42:AI42)+SUMIF(E41:AI41,"=ВЧ",E42:AI42),0)+AL41</f>
        <v>167.99999999999997</v>
      </c>
      <c r="AL41" s="211">
        <f>IFERROR(SUMIF(E41:AI41,"=НУ",E42:AI42),0)</f>
        <v>0</v>
      </c>
      <c r="AM41" s="211">
        <f>IFERROR(SUMIF(E41:AI41,"=РН",E42:AI42)+SUMIF(E41:AI41,"=РН/РВ",E42:AI42)+SUMIFS(E42:AI42,E41:AI41,"=Р2",E42:AI42,"=8"),0)</f>
        <v>0</v>
      </c>
      <c r="AN41" s="211">
        <f>IFERROR(SUMIF(E41:AI41,"=ВЧ",E42:AI42)+SUMIF(E41:AI41,"=ВЧ/РВ",E42:AI42)+CEILING(COUNTIFS(E41:AI41,"=Р2",E42:AI42,"=7")*4,1)+CEILING(COUNTIFS(E41:AI41,"=Р2/РВ",E42:AI42,"=7")*4,1)+SUMIFS(E42:AI42,E41:AI41,"=Р1/РВ",E42:AI42,"=12")/6+SUMIFS(E42:AI42,E41:AI41,"=ВЧ2/РВ",E42:AI42,"=4")/2+SUMIFS(E42:AI42,E41:AI41,"=Р1",E42:AI42,"=12")/6+SUMIFS(E42:AI42,E41:AI41,"=Р1",E42:AI42,"=8")/4+SUMIF(E41:AI41,"=ВЧ1",E42:AI42)/2,0)</f>
        <v>0</v>
      </c>
      <c r="AO41" s="211">
        <f>IFERROR(SUMIF(E41:AI41,"=РВ",E42:AI42)+SUMIF(E41:AI41,"=ВЧ/РВ",E42:AI42)+SUMIF(E41:AI41,"=РН/РВ",E42:AI42)+SUMIF(E41:AI41,"=Р1/РВ",E42:AI42)+SUMIF(E41:AI41,"=ВЧ2/РВ",E42:AI42)+SUMIF(E41:AI41,"=Р2/РВ",E42:AI42),0)</f>
        <v>0</v>
      </c>
      <c r="AP41" s="211">
        <f>IFERROR(COUNTIF(E41:AI41,"=ВВ")+COUNTIF(E41:AI41,"=Р1/ВВ")+COUNTIF(E41:AI41,"=РН/ВВ")+COUNTIF(E41:AI41,"=ВЧ/ВВ"),0)</f>
        <v>10</v>
      </c>
      <c r="AQ41" s="211">
        <f>SUM(AR41:AZ41)</f>
        <v>0</v>
      </c>
      <c r="AR41" s="211">
        <f>IFERROR(SUMIF(E41:AI41,"=В",E42:AI42)+SUMIF(E41:AI41,"=Ч",E42:AI42)+SUMIF(E41:AI41,"=ВБ",E42:AI42),0)</f>
        <v>0</v>
      </c>
      <c r="AS41" s="211">
        <f>IFERROR(SUMIF(E41:AI41,"=Н",E42:AI42),0)</f>
        <v>0</v>
      </c>
      <c r="AT41" s="211">
        <f>IFERROR(SUMIF(E41:AI41,"=НА",E42:AI42),0)</f>
        <v>0</v>
      </c>
      <c r="AU41" s="211">
        <f>IFERROR(SUMIF(E41:AI41,"=ВП",E42:AI42),0)</f>
        <v>0</v>
      </c>
      <c r="AV41" s="211">
        <f>IFERROR(SUMIF(E41:AI41,"=ДД",E42:AI42),0)</f>
        <v>0</v>
      </c>
      <c r="AW41" s="202">
        <f>IFERROR(SUMIF(E41:AI41,"=ДО",E42:AI42),0)</f>
        <v>0</v>
      </c>
      <c r="AX41" s="211">
        <f>IFERROR(SUMIF(E41:AI41,"=ТН",E42:AI42),0)</f>
        <v>0</v>
      </c>
      <c r="AY41" s="211">
        <f>IFERROR(SUMIF(E41:AI41,"=ВД",E42:AI42),0)</f>
        <v>0</v>
      </c>
      <c r="AZ41" s="312">
        <f>IFERROR(SUMIF(E41:AI41,"=ІН",E42:AI42),0)+SUMIF(E41:AI41,"=НЗ",E42:AI42)</f>
        <v>0</v>
      </c>
    </row>
    <row r="42" spans="1:52" ht="20.100000000000001" customHeight="1" thickBot="1" x14ac:dyDescent="0.25">
      <c r="A42" s="306"/>
      <c r="B42" s="229"/>
      <c r="C42" s="280"/>
      <c r="D42" s="280"/>
      <c r="E42" s="192"/>
      <c r="F42" s="192"/>
      <c r="G42" s="192">
        <v>8.1999999999999993</v>
      </c>
      <c r="H42" s="192">
        <v>8.1999999999999993</v>
      </c>
      <c r="I42" s="192">
        <v>8.1999999999999993</v>
      </c>
      <c r="J42" s="192">
        <v>8.1999999999999993</v>
      </c>
      <c r="K42" s="192">
        <v>7</v>
      </c>
      <c r="L42" s="192"/>
      <c r="M42" s="192"/>
      <c r="N42" s="192">
        <v>8.1999999999999993</v>
      </c>
      <c r="O42" s="192">
        <v>8.1999999999999993</v>
      </c>
      <c r="P42" s="192">
        <v>8.1999999999999993</v>
      </c>
      <c r="Q42" s="192">
        <v>8.1999999999999993</v>
      </c>
      <c r="R42" s="192">
        <v>7.2</v>
      </c>
      <c r="S42" s="192"/>
      <c r="T42" s="192"/>
      <c r="U42" s="192">
        <v>8.1999999999999993</v>
      </c>
      <c r="V42" s="192">
        <v>8.1999999999999993</v>
      </c>
      <c r="W42" s="192">
        <v>8.1999999999999993</v>
      </c>
      <c r="X42" s="192">
        <v>8.1999999999999993</v>
      </c>
      <c r="Y42" s="192">
        <v>7.2</v>
      </c>
      <c r="Z42" s="192"/>
      <c r="AA42" s="192"/>
      <c r="AB42" s="192">
        <v>8.1999999999999993</v>
      </c>
      <c r="AC42" s="192">
        <v>8.1999999999999993</v>
      </c>
      <c r="AD42" s="192">
        <v>8.1999999999999993</v>
      </c>
      <c r="AE42" s="192">
        <v>8.1999999999999993</v>
      </c>
      <c r="AF42" s="192">
        <v>7.2</v>
      </c>
      <c r="AG42" s="192"/>
      <c r="AH42" s="192"/>
      <c r="AI42" s="192">
        <v>8.1999999999999993</v>
      </c>
      <c r="AJ42" s="314"/>
      <c r="AK42" s="212"/>
      <c r="AL42" s="212"/>
      <c r="AM42" s="212"/>
      <c r="AN42" s="212"/>
      <c r="AO42" s="212"/>
      <c r="AP42" s="212"/>
      <c r="AQ42" s="311"/>
      <c r="AR42" s="311"/>
      <c r="AS42" s="311"/>
      <c r="AT42" s="311"/>
      <c r="AU42" s="311"/>
      <c r="AV42" s="311"/>
      <c r="AW42" s="203"/>
      <c r="AX42" s="311"/>
      <c r="AY42" s="311"/>
      <c r="AZ42" s="313"/>
    </row>
    <row r="43" spans="1:52" ht="20.100000000000001" customHeight="1" x14ac:dyDescent="0.2">
      <c r="A43" s="322">
        <v>0</v>
      </c>
      <c r="B43" s="293" t="s">
        <v>74</v>
      </c>
      <c r="C43" s="324">
        <v>0</v>
      </c>
      <c r="D43" s="324">
        <v>0</v>
      </c>
      <c r="E43" s="72">
        <v>0</v>
      </c>
      <c r="F43" s="72">
        <v>0</v>
      </c>
      <c r="G43" s="72">
        <v>0</v>
      </c>
      <c r="H43" s="72">
        <v>0</v>
      </c>
      <c r="I43" s="72">
        <v>0</v>
      </c>
      <c r="J43" s="72">
        <v>0</v>
      </c>
      <c r="K43" s="72">
        <v>0</v>
      </c>
      <c r="L43" s="72">
        <v>0</v>
      </c>
      <c r="M43" s="72">
        <v>0</v>
      </c>
      <c r="N43" s="72">
        <v>0</v>
      </c>
      <c r="O43" s="72">
        <v>0</v>
      </c>
      <c r="P43" s="72">
        <v>0</v>
      </c>
      <c r="Q43" s="72">
        <v>0</v>
      </c>
      <c r="R43" s="72">
        <v>0</v>
      </c>
      <c r="S43" s="72">
        <v>0</v>
      </c>
      <c r="T43" s="72">
        <v>0</v>
      </c>
      <c r="U43" s="72">
        <v>0</v>
      </c>
      <c r="V43" s="72">
        <v>0</v>
      </c>
      <c r="W43" s="72">
        <v>0</v>
      </c>
      <c r="X43" s="72">
        <v>0</v>
      </c>
      <c r="Y43" s="72">
        <v>0</v>
      </c>
      <c r="Z43" s="72"/>
      <c r="AA43" s="72"/>
      <c r="AB43" s="72"/>
      <c r="AC43" s="72"/>
      <c r="AD43" s="72"/>
      <c r="AE43" s="72">
        <v>0</v>
      </c>
      <c r="AF43" s="72">
        <v>0</v>
      </c>
      <c r="AG43" s="72">
        <v>0</v>
      </c>
      <c r="AH43" s="72">
        <v>0</v>
      </c>
      <c r="AI43" s="72">
        <v>0</v>
      </c>
      <c r="AJ43" s="320">
        <f t="shared" ref="AJ43:AV43" si="11">SUM(AJ17:AJ42)</f>
        <v>259</v>
      </c>
      <c r="AK43" s="315">
        <f t="shared" si="11"/>
        <v>1998.8000000000002</v>
      </c>
      <c r="AL43" s="315">
        <f t="shared" si="11"/>
        <v>0</v>
      </c>
      <c r="AM43" s="315">
        <f t="shared" si="11"/>
        <v>248</v>
      </c>
      <c r="AN43" s="315">
        <f t="shared" si="11"/>
        <v>124</v>
      </c>
      <c r="AO43" s="315">
        <f t="shared" si="11"/>
        <v>10</v>
      </c>
      <c r="AP43" s="315">
        <f t="shared" si="11"/>
        <v>113</v>
      </c>
      <c r="AQ43" s="315">
        <f t="shared" si="11"/>
        <v>185.20000000000002</v>
      </c>
      <c r="AR43" s="315">
        <f t="shared" si="11"/>
        <v>0</v>
      </c>
      <c r="AS43" s="315">
        <f t="shared" si="11"/>
        <v>0</v>
      </c>
      <c r="AT43" s="315">
        <f t="shared" si="11"/>
        <v>0</v>
      </c>
      <c r="AU43" s="315">
        <f t="shared" si="11"/>
        <v>0</v>
      </c>
      <c r="AV43" s="315">
        <f t="shared" si="11"/>
        <v>0</v>
      </c>
      <c r="AW43" s="209"/>
      <c r="AX43" s="315">
        <f>SUM(AX17:AX42)</f>
        <v>177</v>
      </c>
      <c r="AY43" s="315">
        <f>SUM(AY17:AY42)</f>
        <v>8.1999999999999993</v>
      </c>
      <c r="AZ43" s="318">
        <f>SUM(AZ17:AZ42)</f>
        <v>0</v>
      </c>
    </row>
    <row r="44" spans="1:52" ht="20.100000000000001" customHeight="1" thickBot="1" x14ac:dyDescent="0.25">
      <c r="A44" s="323"/>
      <c r="B44" s="229"/>
      <c r="C44" s="325"/>
      <c r="D44" s="325"/>
      <c r="E44" s="73">
        <v>0</v>
      </c>
      <c r="F44" s="73">
        <v>0</v>
      </c>
      <c r="G44" s="73">
        <v>0</v>
      </c>
      <c r="H44" s="73">
        <v>0</v>
      </c>
      <c r="I44" s="73">
        <v>0</v>
      </c>
      <c r="J44" s="73">
        <v>0</v>
      </c>
      <c r="K44" s="73">
        <v>0</v>
      </c>
      <c r="L44" s="73">
        <v>0</v>
      </c>
      <c r="M44" s="73">
        <v>0</v>
      </c>
      <c r="N44" s="73">
        <v>0</v>
      </c>
      <c r="O44" s="73">
        <v>0</v>
      </c>
      <c r="P44" s="73">
        <v>0</v>
      </c>
      <c r="Q44" s="73">
        <v>0</v>
      </c>
      <c r="R44" s="73">
        <v>0</v>
      </c>
      <c r="S44" s="73">
        <v>0</v>
      </c>
      <c r="T44" s="73">
        <v>0</v>
      </c>
      <c r="U44" s="73">
        <v>0</v>
      </c>
      <c r="V44" s="73">
        <v>0</v>
      </c>
      <c r="W44" s="73">
        <v>0</v>
      </c>
      <c r="X44" s="73">
        <v>0</v>
      </c>
      <c r="Y44" s="73">
        <v>0</v>
      </c>
      <c r="Z44" s="73"/>
      <c r="AA44" s="73"/>
      <c r="AB44" s="73"/>
      <c r="AC44" s="73"/>
      <c r="AD44" s="73"/>
      <c r="AE44" s="73">
        <v>0</v>
      </c>
      <c r="AF44" s="73">
        <v>0</v>
      </c>
      <c r="AG44" s="73">
        <v>0</v>
      </c>
      <c r="AH44" s="73">
        <v>0</v>
      </c>
      <c r="AI44" s="73">
        <v>0</v>
      </c>
      <c r="AJ44" s="321"/>
      <c r="AK44" s="316"/>
      <c r="AL44" s="316"/>
      <c r="AM44" s="316"/>
      <c r="AN44" s="316"/>
      <c r="AO44" s="316"/>
      <c r="AP44" s="316"/>
      <c r="AQ44" s="317"/>
      <c r="AR44" s="317"/>
      <c r="AS44" s="317"/>
      <c r="AT44" s="317"/>
      <c r="AU44" s="317"/>
      <c r="AV44" s="317"/>
      <c r="AW44" s="210"/>
      <c r="AX44" s="317"/>
      <c r="AY44" s="317"/>
      <c r="AZ44" s="319"/>
    </row>
    <row r="45" spans="1:52" ht="14.25" customHeight="1" x14ac:dyDescent="0.2">
      <c r="C45" s="20"/>
      <c r="D45" s="8"/>
      <c r="AJ45" s="26"/>
    </row>
    <row r="46" spans="1:52" ht="12.75" customHeight="1" x14ac:dyDescent="0.2">
      <c r="A46" s="226" t="s">
        <v>32</v>
      </c>
      <c r="B46" s="226"/>
      <c r="C46" s="226"/>
      <c r="D46" s="227" t="s">
        <v>81</v>
      </c>
      <c r="E46" s="227"/>
      <c r="F46" s="227"/>
      <c r="G46" s="227"/>
      <c r="H46" s="227"/>
      <c r="I46" s="227"/>
      <c r="J46" s="69"/>
      <c r="K46" s="224"/>
      <c r="L46" s="224"/>
      <c r="M46" s="224"/>
      <c r="N46" s="69"/>
      <c r="O46" s="225" t="s">
        <v>278</v>
      </c>
      <c r="P46" s="225"/>
      <c r="Q46" s="225"/>
      <c r="R46" s="225"/>
      <c r="S46" s="225"/>
      <c r="T46" s="9"/>
      <c r="U46" s="283">
        <v>45747</v>
      </c>
      <c r="V46" s="283"/>
      <c r="W46" s="283"/>
      <c r="X46" s="283"/>
      <c r="Y46" s="283"/>
      <c r="Z46" s="283"/>
      <c r="AA46" s="69"/>
      <c r="AB46" s="69"/>
      <c r="AC46" s="69"/>
      <c r="AD46" s="69"/>
      <c r="AE46" s="69"/>
      <c r="AF46" s="69"/>
      <c r="AG46" s="69"/>
      <c r="AH46" s="69"/>
      <c r="AI46" s="69"/>
      <c r="AJ46" s="69"/>
      <c r="AK46" s="69"/>
      <c r="AL46" s="69"/>
      <c r="AM46" s="69"/>
      <c r="AN46" s="69"/>
      <c r="AO46" s="69"/>
      <c r="AP46" s="69"/>
      <c r="AQ46" s="69"/>
      <c r="AR46" s="69"/>
      <c r="AS46" s="69"/>
      <c r="AT46" s="69"/>
    </row>
    <row r="47" spans="1:52" x14ac:dyDescent="0.15">
      <c r="A47" s="13"/>
      <c r="B47" s="16"/>
      <c r="D47" s="222" t="s">
        <v>34</v>
      </c>
      <c r="E47" s="222"/>
      <c r="F47" s="222"/>
      <c r="G47" s="222"/>
      <c r="H47" s="222"/>
      <c r="I47" s="222"/>
      <c r="J47" s="13"/>
      <c r="K47" s="222" t="s">
        <v>35</v>
      </c>
      <c r="L47" s="222"/>
      <c r="M47" s="222"/>
      <c r="N47" s="13"/>
      <c r="O47" s="222" t="s">
        <v>36</v>
      </c>
      <c r="P47" s="222"/>
      <c r="Q47" s="222"/>
      <c r="R47" s="222"/>
      <c r="S47" s="222"/>
      <c r="T47" s="13"/>
      <c r="U47" s="13"/>
      <c r="V47" s="31"/>
      <c r="W47" s="13"/>
      <c r="X47" s="17"/>
      <c r="Y47" s="17"/>
      <c r="Z47" s="17"/>
      <c r="AA47" s="13"/>
      <c r="AB47" s="13"/>
      <c r="AC47" s="13"/>
      <c r="AD47" s="13"/>
      <c r="AE47" s="13"/>
      <c r="AF47" s="13"/>
      <c r="AG47" s="13"/>
      <c r="AH47" s="13"/>
      <c r="AI47" s="13"/>
      <c r="AJ47" s="13"/>
      <c r="AK47" s="13"/>
      <c r="AL47" s="13"/>
      <c r="AM47" s="13"/>
      <c r="AN47" s="13"/>
      <c r="AO47" s="13"/>
      <c r="AP47" s="13"/>
      <c r="AQ47" s="13"/>
      <c r="AR47" s="13"/>
      <c r="AS47" s="13"/>
      <c r="AT47" s="13"/>
    </row>
    <row r="48" spans="1:52" ht="12.75" customHeight="1" x14ac:dyDescent="0.2">
      <c r="A48" s="32" t="s">
        <v>33</v>
      </c>
      <c r="B48" s="32"/>
      <c r="C48" s="69"/>
      <c r="D48" s="223" t="s">
        <v>277</v>
      </c>
      <c r="E48" s="223"/>
      <c r="F48" s="223"/>
      <c r="G48" s="223"/>
      <c r="H48" s="223"/>
      <c r="I48" s="223"/>
      <c r="J48" s="69"/>
      <c r="K48" s="224"/>
      <c r="L48" s="224"/>
      <c r="M48" s="224"/>
      <c r="N48" s="69"/>
      <c r="O48" s="225" t="s">
        <v>279</v>
      </c>
      <c r="P48" s="225"/>
      <c r="Q48" s="225"/>
      <c r="R48" s="225"/>
      <c r="S48" s="225"/>
      <c r="T48" s="9"/>
      <c r="U48" s="283">
        <f>U46</f>
        <v>45747</v>
      </c>
      <c r="V48" s="283"/>
      <c r="W48" s="283"/>
      <c r="X48" s="283"/>
      <c r="Y48" s="283"/>
      <c r="Z48" s="283"/>
      <c r="AA48" s="69"/>
      <c r="AB48" s="69"/>
      <c r="AC48" s="69"/>
      <c r="AD48" s="69"/>
      <c r="AE48" s="69"/>
      <c r="AF48" s="69"/>
      <c r="AG48" s="69"/>
      <c r="AH48" s="69"/>
      <c r="AI48" s="69"/>
      <c r="AJ48" s="69"/>
      <c r="AK48" s="69"/>
      <c r="AL48" s="69"/>
      <c r="AM48" s="69"/>
      <c r="AN48" s="69"/>
      <c r="AO48" s="69"/>
      <c r="AP48" s="69"/>
      <c r="AQ48" s="69"/>
      <c r="AR48" s="69"/>
      <c r="AS48" s="69"/>
      <c r="AT48" s="69"/>
    </row>
    <row r="49" spans="1:46" x14ac:dyDescent="0.2">
      <c r="A49" s="13"/>
      <c r="B49" s="13"/>
      <c r="D49" s="222" t="s">
        <v>34</v>
      </c>
      <c r="E49" s="222"/>
      <c r="F49" s="222"/>
      <c r="G49" s="222"/>
      <c r="H49" s="222"/>
      <c r="I49" s="222"/>
      <c r="J49" s="13"/>
      <c r="K49" s="222" t="s">
        <v>35</v>
      </c>
      <c r="L49" s="222"/>
      <c r="M49" s="222"/>
      <c r="N49" s="13"/>
      <c r="O49" s="222" t="s">
        <v>36</v>
      </c>
      <c r="P49" s="222"/>
      <c r="Q49" s="222"/>
      <c r="R49" s="222"/>
      <c r="S49" s="222"/>
      <c r="T49" s="17"/>
      <c r="U49" s="17"/>
      <c r="V49" s="13"/>
      <c r="W49" s="17"/>
      <c r="X49" s="17"/>
      <c r="Y49" s="17"/>
      <c r="Z49" s="69"/>
      <c r="AA49" s="69"/>
      <c r="AB49" s="69"/>
      <c r="AC49" s="69"/>
      <c r="AD49" s="69"/>
      <c r="AE49" s="69"/>
      <c r="AF49" s="69"/>
      <c r="AG49" s="69"/>
      <c r="AH49" s="69"/>
      <c r="AI49" s="69"/>
      <c r="AJ49" s="69"/>
      <c r="AK49" s="69"/>
      <c r="AL49" s="69"/>
      <c r="AM49" s="69"/>
      <c r="AN49" s="69"/>
      <c r="AO49" s="69"/>
      <c r="AP49" s="69"/>
      <c r="AQ49" s="69"/>
      <c r="AR49" s="69"/>
      <c r="AS49" s="69"/>
      <c r="AT49" s="69"/>
    </row>
    <row r="50" spans="1:46" x14ac:dyDescent="0.2">
      <c r="A50" s="69"/>
      <c r="B50" s="69"/>
      <c r="C50" s="33" t="s">
        <v>39</v>
      </c>
      <c r="D50" s="70"/>
      <c r="E50" s="70"/>
      <c r="F50" s="70"/>
      <c r="G50" s="70"/>
      <c r="H50" s="70"/>
      <c r="I50" s="70"/>
      <c r="J50" s="70"/>
      <c r="K50" s="70"/>
      <c r="L50" s="70"/>
      <c r="M50" s="70"/>
      <c r="N50" s="70"/>
      <c r="O50" s="70"/>
      <c r="P50" s="70"/>
      <c r="Q50" s="70"/>
      <c r="R50" s="69"/>
      <c r="S50" s="69"/>
      <c r="T50" s="69"/>
      <c r="U50" s="69"/>
      <c r="V50" s="69"/>
      <c r="W50" s="69"/>
      <c r="X50" s="69"/>
      <c r="Y50" s="69"/>
      <c r="Z50" s="69"/>
      <c r="AA50" s="69"/>
      <c r="AB50" s="69"/>
      <c r="AC50" s="69"/>
      <c r="AD50" s="69"/>
      <c r="AE50" s="69"/>
      <c r="AF50" s="69"/>
      <c r="AG50" s="69"/>
      <c r="AH50" s="69"/>
      <c r="AI50" s="69"/>
      <c r="AJ50" s="69"/>
      <c r="AK50" s="69"/>
      <c r="AL50" s="69"/>
      <c r="AM50" s="69"/>
      <c r="AN50" s="69"/>
      <c r="AO50" s="69"/>
      <c r="AP50" s="69"/>
      <c r="AQ50" s="69"/>
      <c r="AR50" s="69"/>
      <c r="AS50" s="69"/>
      <c r="AT50" s="69"/>
    </row>
    <row r="51" spans="1:46" x14ac:dyDescent="0.2">
      <c r="A51" s="69"/>
      <c r="B51" s="69"/>
      <c r="C51" s="34" t="s">
        <v>4</v>
      </c>
      <c r="D51" s="35" t="s">
        <v>49</v>
      </c>
      <c r="E51" t="s">
        <v>5</v>
      </c>
      <c r="F51"/>
      <c r="G51"/>
      <c r="H51"/>
      <c r="I51"/>
      <c r="J51"/>
      <c r="K51"/>
      <c r="L51"/>
      <c r="M51"/>
      <c r="N51" s="36"/>
      <c r="O51" s="3"/>
      <c r="P51" s="37"/>
      <c r="Q51" s="37"/>
      <c r="R51" s="69"/>
      <c r="S51" s="69"/>
      <c r="T51" s="69"/>
      <c r="U51" s="21" t="s">
        <v>2</v>
      </c>
      <c r="V51" s="15" t="s">
        <v>49</v>
      </c>
      <c r="W51" t="s">
        <v>61</v>
      </c>
      <c r="X51"/>
      <c r="Y51" s="69"/>
      <c r="Z51" s="69"/>
      <c r="AA51" s="69"/>
      <c r="AB51" s="69"/>
      <c r="AC51" s="69"/>
      <c r="AD51" s="69"/>
      <c r="AE51" s="69"/>
      <c r="AF51" s="69"/>
      <c r="AG51" s="69"/>
      <c r="AH51" s="69"/>
      <c r="AI51" s="69"/>
      <c r="AJ51" s="69"/>
      <c r="AK51" s="69"/>
      <c r="AL51" s="69"/>
      <c r="AM51" s="69"/>
      <c r="AN51" s="69"/>
      <c r="AO51" s="69"/>
      <c r="AP51" s="69"/>
      <c r="AQ51" s="69"/>
      <c r="AR51" s="69"/>
      <c r="AS51" s="69"/>
      <c r="AT51" s="69"/>
    </row>
    <row r="52" spans="1:46" x14ac:dyDescent="0.2">
      <c r="A52" s="69"/>
      <c r="B52" s="69"/>
      <c r="C52" s="34" t="s">
        <v>41</v>
      </c>
      <c r="D52" s="35" t="s">
        <v>49</v>
      </c>
      <c r="E52" t="s">
        <v>40</v>
      </c>
      <c r="F52"/>
      <c r="G52"/>
      <c r="H52"/>
      <c r="I52"/>
      <c r="J52"/>
      <c r="K52"/>
      <c r="L52"/>
      <c r="M52"/>
      <c r="N52" s="36"/>
      <c r="O52" s="3"/>
      <c r="P52" s="37"/>
      <c r="Q52" s="37"/>
      <c r="R52" s="69"/>
      <c r="S52" s="69"/>
      <c r="T52" s="69"/>
      <c r="U52" s="21" t="s">
        <v>50</v>
      </c>
      <c r="V52" s="15" t="s">
        <v>49</v>
      </c>
      <c r="W52" t="s">
        <v>62</v>
      </c>
      <c r="X52"/>
      <c r="Y52" s="69"/>
      <c r="Z52" s="69"/>
      <c r="AA52" s="69"/>
      <c r="AB52" s="69"/>
      <c r="AC52" s="69"/>
      <c r="AD52" s="69"/>
      <c r="AE52" s="69"/>
      <c r="AF52" s="69"/>
      <c r="AG52" s="69"/>
      <c r="AH52" s="69"/>
      <c r="AI52" s="69"/>
      <c r="AJ52" s="69"/>
      <c r="AK52" s="69"/>
      <c r="AL52" s="69"/>
      <c r="AM52" s="69"/>
      <c r="AN52" s="69"/>
      <c r="AO52" s="69"/>
      <c r="AP52" s="69"/>
      <c r="AQ52" s="69"/>
      <c r="AR52" s="69"/>
      <c r="AS52" s="69"/>
      <c r="AT52" s="69"/>
    </row>
    <row r="53" spans="1:46" x14ac:dyDescent="0.2">
      <c r="A53" s="69"/>
      <c r="B53" s="69"/>
      <c r="C53" s="34" t="s">
        <v>43</v>
      </c>
      <c r="D53" s="35" t="s">
        <v>49</v>
      </c>
      <c r="E53" t="s">
        <v>42</v>
      </c>
      <c r="F53"/>
      <c r="G53"/>
      <c r="H53"/>
      <c r="I53"/>
      <c r="J53"/>
      <c r="K53"/>
      <c r="L53"/>
      <c r="M53"/>
      <c r="N53" s="36"/>
      <c r="O53" s="3"/>
      <c r="P53" s="37"/>
      <c r="Q53" s="37"/>
      <c r="R53" s="69"/>
      <c r="S53" s="69"/>
      <c r="T53" s="69"/>
      <c r="U53" s="21" t="s">
        <v>51</v>
      </c>
      <c r="V53" s="15" t="s">
        <v>49</v>
      </c>
      <c r="W53" t="s">
        <v>53</v>
      </c>
      <c r="X53"/>
      <c r="Y53" s="69"/>
      <c r="Z53" s="69"/>
      <c r="AA53" s="69"/>
      <c r="AB53" s="69"/>
      <c r="AC53" s="69"/>
      <c r="AD53" s="69"/>
      <c r="AE53" s="69"/>
      <c r="AF53" s="69"/>
      <c r="AG53" s="69"/>
      <c r="AH53" s="69"/>
      <c r="AI53" s="69"/>
      <c r="AJ53" s="69"/>
      <c r="AK53" s="69"/>
      <c r="AL53" s="69"/>
      <c r="AM53" s="69"/>
      <c r="AN53" s="69"/>
      <c r="AO53" s="69"/>
      <c r="AP53" s="69"/>
      <c r="AQ53" s="69"/>
      <c r="AR53" s="69"/>
      <c r="AS53" s="69"/>
      <c r="AT53" s="69"/>
    </row>
    <row r="54" spans="1:46" x14ac:dyDescent="0.2">
      <c r="A54" s="69"/>
      <c r="B54" s="69"/>
      <c r="C54" s="34" t="s">
        <v>45</v>
      </c>
      <c r="D54" s="35" t="s">
        <v>49</v>
      </c>
      <c r="E54" t="s">
        <v>44</v>
      </c>
      <c r="F54"/>
      <c r="G54"/>
      <c r="H54"/>
      <c r="I54"/>
      <c r="J54"/>
      <c r="K54"/>
      <c r="L54"/>
      <c r="M54"/>
      <c r="N54" s="3"/>
      <c r="O54" s="3"/>
      <c r="P54" s="37"/>
      <c r="Q54" s="37"/>
      <c r="R54" s="69"/>
      <c r="S54" s="69"/>
      <c r="T54" s="69"/>
      <c r="U54" s="15" t="s">
        <v>63</v>
      </c>
      <c r="V54" s="15" t="s">
        <v>49</v>
      </c>
      <c r="W54" t="s">
        <v>64</v>
      </c>
      <c r="X54"/>
      <c r="Y54" s="69"/>
      <c r="Z54" s="69"/>
      <c r="AA54" s="69"/>
      <c r="AB54" s="69"/>
      <c r="AC54" s="69"/>
      <c r="AD54" s="69"/>
      <c r="AE54" s="69"/>
      <c r="AF54" s="69"/>
      <c r="AG54" s="69"/>
      <c r="AH54" s="69"/>
      <c r="AI54" s="69"/>
      <c r="AJ54" s="69"/>
      <c r="AK54" s="69"/>
      <c r="AL54" s="69"/>
      <c r="AM54" s="69"/>
      <c r="AN54" s="69"/>
      <c r="AO54" s="69"/>
      <c r="AP54" s="69"/>
      <c r="AQ54" s="69"/>
      <c r="AR54" s="69"/>
      <c r="AS54" s="69"/>
      <c r="AT54" s="69"/>
    </row>
    <row r="55" spans="1:46" x14ac:dyDescent="0.2">
      <c r="A55" s="69"/>
      <c r="B55" s="69"/>
      <c r="C55" s="34" t="s">
        <v>47</v>
      </c>
      <c r="D55" s="35" t="s">
        <v>49</v>
      </c>
      <c r="E55" t="s">
        <v>46</v>
      </c>
      <c r="F55"/>
      <c r="G55"/>
      <c r="H55"/>
      <c r="I55"/>
      <c r="J55"/>
      <c r="K55"/>
      <c r="L55"/>
      <c r="M55"/>
      <c r="N55" s="3"/>
      <c r="O55" s="3"/>
      <c r="P55" s="37"/>
      <c r="Q55" s="37"/>
      <c r="R55" s="69"/>
      <c r="S55" s="69"/>
      <c r="T55" s="69"/>
      <c r="U55" s="15" t="s">
        <v>65</v>
      </c>
      <c r="V55" s="15" t="s">
        <v>49</v>
      </c>
      <c r="W55" t="s">
        <v>66</v>
      </c>
      <c r="X55"/>
      <c r="Y55" s="69"/>
      <c r="Z55" s="69"/>
      <c r="AA55" s="69"/>
      <c r="AB55" s="69"/>
      <c r="AC55" s="69"/>
      <c r="AD55" s="69"/>
      <c r="AE55" s="69"/>
      <c r="AF55" s="69"/>
      <c r="AG55" s="69"/>
      <c r="AH55" s="69"/>
      <c r="AI55" s="69"/>
      <c r="AJ55" s="69"/>
      <c r="AK55" s="69"/>
      <c r="AL55" s="69"/>
      <c r="AM55" s="69"/>
      <c r="AN55" s="69"/>
      <c r="AO55" s="69"/>
      <c r="AP55" s="69"/>
      <c r="AQ55" s="69"/>
      <c r="AR55" s="69"/>
      <c r="AS55" s="69"/>
      <c r="AT55" s="69"/>
    </row>
    <row r="56" spans="1:46" x14ac:dyDescent="0.2">
      <c r="A56" s="69"/>
      <c r="B56" s="69"/>
      <c r="C56" s="34" t="s">
        <v>48</v>
      </c>
      <c r="D56" s="35" t="s">
        <v>49</v>
      </c>
      <c r="E56" t="s">
        <v>29</v>
      </c>
      <c r="F56"/>
      <c r="G56"/>
      <c r="H56"/>
      <c r="I56"/>
      <c r="J56"/>
      <c r="K56"/>
      <c r="L56"/>
      <c r="M56"/>
      <c r="N56" s="36"/>
      <c r="O56" s="3"/>
      <c r="P56" s="37"/>
      <c r="Q56" s="37"/>
      <c r="R56" s="69"/>
      <c r="S56" s="69"/>
      <c r="T56" s="69"/>
      <c r="U56" s="21" t="s">
        <v>52</v>
      </c>
      <c r="V56" s="15" t="s">
        <v>49</v>
      </c>
      <c r="W56" t="s">
        <v>54</v>
      </c>
      <c r="X56"/>
      <c r="Y56" s="69"/>
      <c r="Z56" s="69"/>
      <c r="AA56" s="69"/>
      <c r="AB56" s="69"/>
      <c r="AC56" s="69"/>
      <c r="AD56" s="69"/>
      <c r="AE56" s="69"/>
      <c r="AF56" s="69"/>
      <c r="AG56" s="69"/>
      <c r="AH56" s="69"/>
      <c r="AI56" s="69"/>
      <c r="AJ56" s="69"/>
      <c r="AK56" s="69"/>
      <c r="AL56" s="69"/>
      <c r="AM56" s="69"/>
      <c r="AN56" s="69"/>
      <c r="AO56" s="69"/>
      <c r="AP56" s="69"/>
      <c r="AQ56" s="69"/>
      <c r="AR56" s="69"/>
      <c r="AS56" s="69"/>
      <c r="AT56" s="69"/>
    </row>
    <row r="57" spans="1:46" x14ac:dyDescent="0.2">
      <c r="A57" s="69"/>
      <c r="B57" s="69"/>
      <c r="C57" s="34" t="s">
        <v>3</v>
      </c>
      <c r="D57" s="35" t="s">
        <v>49</v>
      </c>
      <c r="E57" t="s">
        <v>67</v>
      </c>
      <c r="F57"/>
      <c r="G57"/>
      <c r="H57"/>
      <c r="I57"/>
      <c r="J57"/>
      <c r="K57"/>
      <c r="L57"/>
      <c r="M57"/>
      <c r="N57" s="36"/>
      <c r="O57" s="3"/>
      <c r="P57" s="37"/>
      <c r="Q57" s="37"/>
      <c r="R57" s="69"/>
      <c r="S57" s="69"/>
      <c r="T57" s="69"/>
      <c r="U57" s="21" t="s">
        <v>68</v>
      </c>
      <c r="V57" s="15" t="s">
        <v>49</v>
      </c>
      <c r="W57" t="s">
        <v>31</v>
      </c>
      <c r="X57"/>
      <c r="Y57" s="69"/>
      <c r="Z57" s="69"/>
      <c r="AA57" s="69"/>
      <c r="AB57" s="69"/>
      <c r="AC57" s="69"/>
      <c r="AD57" s="69"/>
      <c r="AE57" s="69"/>
      <c r="AF57" s="69"/>
      <c r="AG57" s="69"/>
      <c r="AH57" s="69"/>
      <c r="AI57" s="69"/>
      <c r="AJ57" s="69"/>
      <c r="AK57" s="69"/>
      <c r="AL57" s="69"/>
      <c r="AM57" s="69"/>
      <c r="AN57" s="69"/>
      <c r="AO57" s="69"/>
      <c r="AP57" s="69"/>
      <c r="AQ57" s="69"/>
      <c r="AR57" s="69"/>
      <c r="AS57" s="69"/>
      <c r="AT57" s="69"/>
    </row>
    <row r="58" spans="1:46" x14ac:dyDescent="0.2">
      <c r="A58" s="69"/>
      <c r="B58" s="69"/>
      <c r="C58" s="34" t="s">
        <v>73</v>
      </c>
      <c r="D58" s="35" t="s">
        <v>49</v>
      </c>
      <c r="E58" s="219" t="s">
        <v>75</v>
      </c>
      <c r="F58" s="220"/>
      <c r="G58" s="220"/>
      <c r="H58" s="220"/>
      <c r="I58" s="220"/>
      <c r="J58" s="220"/>
      <c r="K58" s="220"/>
      <c r="L58" s="220"/>
      <c r="M58" s="220"/>
      <c r="N58" s="220"/>
      <c r="O58" s="220"/>
      <c r="P58" s="220"/>
      <c r="Q58" s="220"/>
      <c r="R58" s="69"/>
      <c r="S58" s="69"/>
      <c r="T58" s="69"/>
      <c r="U58" s="21" t="s">
        <v>76</v>
      </c>
      <c r="V58" s="15" t="s">
        <v>49</v>
      </c>
      <c r="W58" t="s">
        <v>77</v>
      </c>
      <c r="X58" s="69"/>
      <c r="Y58" s="69"/>
      <c r="Z58" s="69"/>
      <c r="AA58" s="69"/>
      <c r="AB58" s="69"/>
      <c r="AC58" s="69"/>
      <c r="AD58" s="69"/>
      <c r="AE58" s="69"/>
      <c r="AF58" s="69"/>
      <c r="AG58" s="69"/>
      <c r="AH58" s="69"/>
      <c r="AI58" s="69"/>
      <c r="AJ58" s="69"/>
      <c r="AK58" s="69"/>
      <c r="AL58" s="69"/>
      <c r="AM58" s="69"/>
      <c r="AN58" s="69"/>
      <c r="AO58" s="69"/>
      <c r="AP58" s="69"/>
      <c r="AQ58" s="69"/>
      <c r="AR58" s="69"/>
      <c r="AS58" s="69"/>
      <c r="AT58" s="69"/>
    </row>
    <row r="59" spans="1:46" x14ac:dyDescent="0.2">
      <c r="A59" s="69"/>
      <c r="B59" s="69"/>
      <c r="C59" s="34" t="s">
        <v>142</v>
      </c>
      <c r="D59" s="35" t="s">
        <v>49</v>
      </c>
      <c r="E59" s="219" t="s">
        <v>143</v>
      </c>
      <c r="F59" s="220"/>
      <c r="G59" s="220"/>
      <c r="H59" s="220"/>
      <c r="I59" s="220"/>
      <c r="J59" s="220"/>
      <c r="K59" s="220"/>
      <c r="L59" s="220"/>
      <c r="M59" s="220"/>
      <c r="N59" s="220"/>
      <c r="O59" s="220"/>
      <c r="P59" s="220"/>
      <c r="Q59" s="220"/>
      <c r="R59" s="69"/>
      <c r="S59" s="69"/>
      <c r="T59" s="69"/>
      <c r="U59" s="69"/>
      <c r="V59" s="69"/>
      <c r="W59" s="69"/>
      <c r="X59" s="69"/>
      <c r="Y59" s="69"/>
      <c r="Z59" s="69"/>
      <c r="AA59" s="69"/>
      <c r="AB59" s="69"/>
      <c r="AC59" s="69"/>
      <c r="AD59" s="69"/>
      <c r="AE59" s="69"/>
      <c r="AF59" s="69"/>
      <c r="AG59" s="69"/>
      <c r="AH59" s="69"/>
      <c r="AI59" s="69"/>
      <c r="AJ59" s="69"/>
      <c r="AK59" s="69"/>
      <c r="AL59" s="69"/>
      <c r="AM59" s="69"/>
      <c r="AN59" s="69"/>
      <c r="AO59" s="69"/>
      <c r="AP59" s="69"/>
      <c r="AQ59" s="69"/>
      <c r="AR59" s="69"/>
      <c r="AS59" s="69"/>
      <c r="AT59" s="69"/>
    </row>
  </sheetData>
  <sheetProtection insertColumns="0" insertRows="0" deleteColumns="0" deleteRows="0" autoFilter="0"/>
  <mergeCells count="381">
    <mergeCell ref="AO29:AO30"/>
    <mergeCell ref="AP29:AP30"/>
    <mergeCell ref="AQ29:AQ30"/>
    <mergeCell ref="AR29:AR30"/>
    <mergeCell ref="AS29:AS30"/>
    <mergeCell ref="AT29:AT30"/>
    <mergeCell ref="AU29:AU30"/>
    <mergeCell ref="AV29:AV30"/>
    <mergeCell ref="AX29:AX30"/>
    <mergeCell ref="A29:A30"/>
    <mergeCell ref="B29:B30"/>
    <mergeCell ref="C29:C30"/>
    <mergeCell ref="D29:D30"/>
    <mergeCell ref="AJ29:AJ30"/>
    <mergeCell ref="AK29:AK30"/>
    <mergeCell ref="AL29:AL30"/>
    <mergeCell ref="AM29:AM30"/>
    <mergeCell ref="AN29:AN30"/>
    <mergeCell ref="AY37:AY38"/>
    <mergeCell ref="AZ37:AZ38"/>
    <mergeCell ref="AO37:AO38"/>
    <mergeCell ref="AP37:AP38"/>
    <mergeCell ref="AQ37:AQ38"/>
    <mergeCell ref="AR37:AR38"/>
    <mergeCell ref="AS37:AS38"/>
    <mergeCell ref="AT37:AT38"/>
    <mergeCell ref="AU37:AU38"/>
    <mergeCell ref="AV37:AV38"/>
    <mergeCell ref="AX37:AX38"/>
    <mergeCell ref="A37:A38"/>
    <mergeCell ref="B37:B38"/>
    <mergeCell ref="C37:C38"/>
    <mergeCell ref="D37:D38"/>
    <mergeCell ref="AJ37:AJ38"/>
    <mergeCell ref="AK37:AK38"/>
    <mergeCell ref="AL37:AL38"/>
    <mergeCell ref="AM37:AM38"/>
    <mergeCell ref="AN37:AN38"/>
    <mergeCell ref="B33:B34"/>
    <mergeCell ref="C33:C34"/>
    <mergeCell ref="D33:D34"/>
    <mergeCell ref="B21:B22"/>
    <mergeCell ref="C21:C22"/>
    <mergeCell ref="D21:D22"/>
    <mergeCell ref="B35:B36"/>
    <mergeCell ref="C35:C36"/>
    <mergeCell ref="D35:D36"/>
    <mergeCell ref="B31:B32"/>
    <mergeCell ref="C31:C32"/>
    <mergeCell ref="D31:D32"/>
    <mergeCell ref="B23:B24"/>
    <mergeCell ref="C23:C24"/>
    <mergeCell ref="D23:D24"/>
    <mergeCell ref="B25:B26"/>
    <mergeCell ref="C25:C26"/>
    <mergeCell ref="D25:D26"/>
    <mergeCell ref="A2:N2"/>
    <mergeCell ref="W2:AB2"/>
    <mergeCell ref="W3:Y3"/>
    <mergeCell ref="Z3:AB3"/>
    <mergeCell ref="W4:Y4"/>
    <mergeCell ref="Z4:AB4"/>
    <mergeCell ref="A5:N5"/>
    <mergeCell ref="A6:N6"/>
    <mergeCell ref="W6:Y7"/>
    <mergeCell ref="Z6:AB7"/>
    <mergeCell ref="A8:B8"/>
    <mergeCell ref="C8:F8"/>
    <mergeCell ref="W8:Y8"/>
    <mergeCell ref="Z8:AB8"/>
    <mergeCell ref="H9:S9"/>
    <mergeCell ref="D10:P10"/>
    <mergeCell ref="A12:A15"/>
    <mergeCell ref="B12:B15"/>
    <mergeCell ref="C12:C15"/>
    <mergeCell ref="D12:D15"/>
    <mergeCell ref="E12:AI12"/>
    <mergeCell ref="L13:L15"/>
    <mergeCell ref="M13:M15"/>
    <mergeCell ref="N13:N15"/>
    <mergeCell ref="E13:E15"/>
    <mergeCell ref="F13:F15"/>
    <mergeCell ref="G13:G15"/>
    <mergeCell ref="H13:H15"/>
    <mergeCell ref="I13:I15"/>
    <mergeCell ref="J13:J15"/>
    <mergeCell ref="K13:K15"/>
    <mergeCell ref="O13:O15"/>
    <mergeCell ref="P13:P15"/>
    <mergeCell ref="Q13:Q15"/>
    <mergeCell ref="AJ12:AO12"/>
    <mergeCell ref="AP12:AP15"/>
    <mergeCell ref="AQ12:AQ15"/>
    <mergeCell ref="AC13:AC15"/>
    <mergeCell ref="AD13:AD15"/>
    <mergeCell ref="AE13:AE15"/>
    <mergeCell ref="AF13:AF15"/>
    <mergeCell ref="U13:U15"/>
    <mergeCell ref="V13:V15"/>
    <mergeCell ref="W13:W15"/>
    <mergeCell ref="X13:X15"/>
    <mergeCell ref="Y13:Y15"/>
    <mergeCell ref="Z13:Z15"/>
    <mergeCell ref="AZ13:AZ15"/>
    <mergeCell ref="AK14:AK15"/>
    <mergeCell ref="AL14:AO14"/>
    <mergeCell ref="E16:AI16"/>
    <mergeCell ref="AK16:AO16"/>
    <mergeCell ref="AS13:AS15"/>
    <mergeCell ref="AT13:AT15"/>
    <mergeCell ref="AU13:AU15"/>
    <mergeCell ref="AV13:AV15"/>
    <mergeCell ref="AX13:AX15"/>
    <mergeCell ref="AY13:AY15"/>
    <mergeCell ref="AG13:AG15"/>
    <mergeCell ref="AH13:AH15"/>
    <mergeCell ref="AI13:AI15"/>
    <mergeCell ref="AJ13:AJ15"/>
    <mergeCell ref="AK13:AO13"/>
    <mergeCell ref="AR13:AR15"/>
    <mergeCell ref="AA13:AA15"/>
    <mergeCell ref="AB13:AB15"/>
    <mergeCell ref="R13:R15"/>
    <mergeCell ref="S13:S15"/>
    <mergeCell ref="T13:T15"/>
    <mergeCell ref="A19:A20"/>
    <mergeCell ref="AJ19:AJ20"/>
    <mergeCell ref="AK19:AK20"/>
    <mergeCell ref="AL19:AL20"/>
    <mergeCell ref="AJ17:AJ18"/>
    <mergeCell ref="AK17:AK18"/>
    <mergeCell ref="AL17:AL18"/>
    <mergeCell ref="AQ17:AQ18"/>
    <mergeCell ref="AR17:AR18"/>
    <mergeCell ref="AM17:AM18"/>
    <mergeCell ref="AN17:AN18"/>
    <mergeCell ref="A17:A18"/>
    <mergeCell ref="B17:B18"/>
    <mergeCell ref="C17:C18"/>
    <mergeCell ref="D17:D18"/>
    <mergeCell ref="B19:B20"/>
    <mergeCell ref="C19:C20"/>
    <mergeCell ref="D19:D20"/>
    <mergeCell ref="AJ25:AJ26"/>
    <mergeCell ref="AK25:AK26"/>
    <mergeCell ref="AO17:AO18"/>
    <mergeCell ref="AP17:AP18"/>
    <mergeCell ref="AZ19:AZ20"/>
    <mergeCell ref="AV19:AV20"/>
    <mergeCell ref="AX19:AX20"/>
    <mergeCell ref="AY19:AY20"/>
    <mergeCell ref="AS19:AS20"/>
    <mergeCell ref="AT19:AT20"/>
    <mergeCell ref="AU19:AU20"/>
    <mergeCell ref="AM19:AM20"/>
    <mergeCell ref="AN19:AN20"/>
    <mergeCell ref="AO19:AO20"/>
    <mergeCell ref="AP19:AP20"/>
    <mergeCell ref="AQ19:AQ20"/>
    <mergeCell ref="AR19:AR20"/>
    <mergeCell ref="AZ17:AZ18"/>
    <mergeCell ref="AS17:AS18"/>
    <mergeCell ref="AT17:AT18"/>
    <mergeCell ref="AU17:AU18"/>
    <mergeCell ref="AV17:AV18"/>
    <mergeCell ref="AX17:AX18"/>
    <mergeCell ref="AY17:AY18"/>
    <mergeCell ref="A21:A22"/>
    <mergeCell ref="AJ21:AJ22"/>
    <mergeCell ref="AX21:AX22"/>
    <mergeCell ref="AY21:AY22"/>
    <mergeCell ref="AZ21:AZ22"/>
    <mergeCell ref="AV21:AV22"/>
    <mergeCell ref="AQ21:AQ22"/>
    <mergeCell ref="AR21:AR22"/>
    <mergeCell ref="AS21:AS22"/>
    <mergeCell ref="AT21:AT22"/>
    <mergeCell ref="AU21:AU22"/>
    <mergeCell ref="AK21:AK22"/>
    <mergeCell ref="AL21:AL22"/>
    <mergeCell ref="AM21:AM22"/>
    <mergeCell ref="AN21:AN22"/>
    <mergeCell ref="AO21:AO22"/>
    <mergeCell ref="AP21:AP22"/>
    <mergeCell ref="AL25:AL26"/>
    <mergeCell ref="AM25:AM26"/>
    <mergeCell ref="AN25:AN26"/>
    <mergeCell ref="AU25:AU26"/>
    <mergeCell ref="AT25:AT26"/>
    <mergeCell ref="A23:A24"/>
    <mergeCell ref="AJ23:AJ24"/>
    <mergeCell ref="AK23:AK24"/>
    <mergeCell ref="AL23:AL24"/>
    <mergeCell ref="AO25:AO26"/>
    <mergeCell ref="AP25:AP26"/>
    <mergeCell ref="AQ25:AQ26"/>
    <mergeCell ref="AS23:AS24"/>
    <mergeCell ref="AT23:AT24"/>
    <mergeCell ref="AU23:AU24"/>
    <mergeCell ref="AM23:AM24"/>
    <mergeCell ref="AN23:AN24"/>
    <mergeCell ref="AO23:AO24"/>
    <mergeCell ref="AP23:AP24"/>
    <mergeCell ref="AQ23:AQ24"/>
    <mergeCell ref="AR23:AR24"/>
    <mergeCell ref="AR25:AR26"/>
    <mergeCell ref="AS25:AS26"/>
    <mergeCell ref="A25:A26"/>
    <mergeCell ref="AZ23:AZ24"/>
    <mergeCell ref="AV23:AV24"/>
    <mergeCell ref="AX23:AX24"/>
    <mergeCell ref="AY23:AY24"/>
    <mergeCell ref="AY31:AY32"/>
    <mergeCell ref="AZ31:AZ32"/>
    <mergeCell ref="AV31:AV32"/>
    <mergeCell ref="AV25:AV26"/>
    <mergeCell ref="AX25:AX26"/>
    <mergeCell ref="AY25:AY26"/>
    <mergeCell ref="AZ25:AZ26"/>
    <mergeCell ref="AY29:AY30"/>
    <mergeCell ref="AZ29:AZ30"/>
    <mergeCell ref="AT31:AT32"/>
    <mergeCell ref="AU31:AU32"/>
    <mergeCell ref="AK31:AK32"/>
    <mergeCell ref="AL31:AL32"/>
    <mergeCell ref="AM31:AM32"/>
    <mergeCell ref="AN31:AN32"/>
    <mergeCell ref="AO31:AO32"/>
    <mergeCell ref="AP31:AP32"/>
    <mergeCell ref="AX31:AX32"/>
    <mergeCell ref="AW31:AW32"/>
    <mergeCell ref="AU35:AU36"/>
    <mergeCell ref="B41:B42"/>
    <mergeCell ref="AZ33:AZ34"/>
    <mergeCell ref="AV33:AV34"/>
    <mergeCell ref="AX33:AX34"/>
    <mergeCell ref="AY33:AY34"/>
    <mergeCell ref="A31:A32"/>
    <mergeCell ref="AJ31:AJ32"/>
    <mergeCell ref="AS33:AS34"/>
    <mergeCell ref="AT33:AT34"/>
    <mergeCell ref="AU33:AU34"/>
    <mergeCell ref="AM33:AM34"/>
    <mergeCell ref="AN33:AN34"/>
    <mergeCell ref="AO33:AO34"/>
    <mergeCell ref="AP33:AP34"/>
    <mergeCell ref="AQ33:AQ34"/>
    <mergeCell ref="AR33:AR34"/>
    <mergeCell ref="A33:A34"/>
    <mergeCell ref="AJ33:AJ34"/>
    <mergeCell ref="AK33:AK34"/>
    <mergeCell ref="AL33:AL34"/>
    <mergeCell ref="AQ31:AQ32"/>
    <mergeCell ref="AR31:AR32"/>
    <mergeCell ref="AS31:AS32"/>
    <mergeCell ref="AO41:AO42"/>
    <mergeCell ref="AP41:AP42"/>
    <mergeCell ref="AV35:AV36"/>
    <mergeCell ref="AX35:AX36"/>
    <mergeCell ref="AY35:AY36"/>
    <mergeCell ref="AZ35:AZ36"/>
    <mergeCell ref="A41:A42"/>
    <mergeCell ref="AJ41:AJ42"/>
    <mergeCell ref="AO35:AO36"/>
    <mergeCell ref="AP35:AP36"/>
    <mergeCell ref="AQ35:AQ36"/>
    <mergeCell ref="AR35:AR36"/>
    <mergeCell ref="AS35:AS36"/>
    <mergeCell ref="AT35:AT36"/>
    <mergeCell ref="AX41:AX42"/>
    <mergeCell ref="AY41:AY42"/>
    <mergeCell ref="AZ41:AZ42"/>
    <mergeCell ref="AV41:AV42"/>
    <mergeCell ref="A35:A36"/>
    <mergeCell ref="AJ35:AJ36"/>
    <mergeCell ref="AK35:AK36"/>
    <mergeCell ref="AL35:AL36"/>
    <mergeCell ref="AM35:AM36"/>
    <mergeCell ref="AN35:AN36"/>
    <mergeCell ref="U48:Z48"/>
    <mergeCell ref="C41:C42"/>
    <mergeCell ref="D41:D42"/>
    <mergeCell ref="AY43:AY44"/>
    <mergeCell ref="AZ43:AZ44"/>
    <mergeCell ref="AV43:AV44"/>
    <mergeCell ref="A43:A44"/>
    <mergeCell ref="B43:B44"/>
    <mergeCell ref="C43:C44"/>
    <mergeCell ref="D43:D44"/>
    <mergeCell ref="AJ43:AJ44"/>
    <mergeCell ref="AK43:AK44"/>
    <mergeCell ref="AL43:AL44"/>
    <mergeCell ref="AM43:AM44"/>
    <mergeCell ref="AN43:AN44"/>
    <mergeCell ref="AQ41:AQ42"/>
    <mergeCell ref="AR41:AR42"/>
    <mergeCell ref="AS41:AS42"/>
    <mergeCell ref="AT41:AT42"/>
    <mergeCell ref="AU41:AU42"/>
    <mergeCell ref="AK41:AK42"/>
    <mergeCell ref="AL41:AL42"/>
    <mergeCell ref="AM41:AM42"/>
    <mergeCell ref="AN41:AN42"/>
    <mergeCell ref="AX43:AX44"/>
    <mergeCell ref="AS43:AS44"/>
    <mergeCell ref="AT43:AT44"/>
    <mergeCell ref="AU43:AU44"/>
    <mergeCell ref="D46:I46"/>
    <mergeCell ref="K46:M46"/>
    <mergeCell ref="O46:S46"/>
    <mergeCell ref="AO43:AO44"/>
    <mergeCell ref="AP43:AP44"/>
    <mergeCell ref="AQ43:AQ44"/>
    <mergeCell ref="AR43:AR44"/>
    <mergeCell ref="U46:Z46"/>
    <mergeCell ref="E58:Q58"/>
    <mergeCell ref="E59:Q59"/>
    <mergeCell ref="A46:C46"/>
    <mergeCell ref="D47:I47"/>
    <mergeCell ref="K47:M47"/>
    <mergeCell ref="O47:S47"/>
    <mergeCell ref="D48:I48"/>
    <mergeCell ref="K48:M48"/>
    <mergeCell ref="O48:S48"/>
    <mergeCell ref="D49:I49"/>
    <mergeCell ref="K49:M49"/>
    <mergeCell ref="O49:S49"/>
    <mergeCell ref="A39:A40"/>
    <mergeCell ref="B39:B40"/>
    <mergeCell ref="C39:C40"/>
    <mergeCell ref="D39:D40"/>
    <mergeCell ref="AJ39:AJ40"/>
    <mergeCell ref="AK39:AK40"/>
    <mergeCell ref="AL39:AL40"/>
    <mergeCell ref="AM39:AM40"/>
    <mergeCell ref="AN39:AN40"/>
    <mergeCell ref="AY39:AY40"/>
    <mergeCell ref="AZ39:AZ40"/>
    <mergeCell ref="AO39:AO40"/>
    <mergeCell ref="AP39:AP40"/>
    <mergeCell ref="AQ39:AQ40"/>
    <mergeCell ref="AR39:AR40"/>
    <mergeCell ref="AS39:AS40"/>
    <mergeCell ref="AT39:AT40"/>
    <mergeCell ref="AU39:AU40"/>
    <mergeCell ref="AV39:AV40"/>
    <mergeCell ref="AX39:AX40"/>
    <mergeCell ref="AR27:AR28"/>
    <mergeCell ref="AS27:AS28"/>
    <mergeCell ref="AT27:AT28"/>
    <mergeCell ref="AU27:AU28"/>
    <mergeCell ref="AV27:AV28"/>
    <mergeCell ref="AX27:AX28"/>
    <mergeCell ref="AY27:AY28"/>
    <mergeCell ref="AZ27:AZ28"/>
    <mergeCell ref="A27:A28"/>
    <mergeCell ref="B27:B28"/>
    <mergeCell ref="C27:C28"/>
    <mergeCell ref="D27:D28"/>
    <mergeCell ref="AJ27:AJ28"/>
    <mergeCell ref="AK27:AK28"/>
    <mergeCell ref="AL27:AL28"/>
    <mergeCell ref="AM27:AM28"/>
    <mergeCell ref="AN27:AN28"/>
    <mergeCell ref="AO27:AO28"/>
    <mergeCell ref="AP27:AP28"/>
    <mergeCell ref="AQ27:AQ28"/>
    <mergeCell ref="AW33:AW34"/>
    <mergeCell ref="AW35:AW36"/>
    <mergeCell ref="AW37:AW38"/>
    <mergeCell ref="AW39:AW40"/>
    <mergeCell ref="AW41:AW42"/>
    <mergeCell ref="AW43:AW44"/>
    <mergeCell ref="AW13:AW15"/>
    <mergeCell ref="AW17:AW18"/>
    <mergeCell ref="AW19:AW20"/>
    <mergeCell ref="AW21:AW22"/>
    <mergeCell ref="AW23:AW24"/>
    <mergeCell ref="AW25:AW26"/>
    <mergeCell ref="AW27:AW28"/>
    <mergeCell ref="AW29:AW30"/>
  </mergeCells>
  <conditionalFormatting sqref="E17">
    <cfRule type="expression" dxfId="654" priority="73" stopIfTrue="1">
      <formula>(E17="Р")</formula>
    </cfRule>
    <cfRule type="expression" dxfId="653" priority="74" stopIfTrue="1">
      <formula>(E17="ВЧ")</formula>
    </cfRule>
    <cfRule type="expression" dxfId="652" priority="75" stopIfTrue="1">
      <formula>(E17="ВЧ1")</formula>
    </cfRule>
    <cfRule type="expression" dxfId="651" priority="76" stopIfTrue="1">
      <formula>(E17="ВЧ2")</formula>
    </cfRule>
    <cfRule type="expression" dxfId="650" priority="77" stopIfTrue="1">
      <formula>(E17="РН")</formula>
    </cfRule>
    <cfRule type="expression" dxfId="649" priority="78" stopIfTrue="1">
      <formula>(E17="НУ")</formula>
    </cfRule>
    <cfRule type="expression" dxfId="648" priority="79" stopIfTrue="1">
      <formula>(E17="Р1")</formula>
    </cfRule>
    <cfRule type="expression" dxfId="647" priority="80" stopIfTrue="1">
      <formula>(E17="Р2")</formula>
    </cfRule>
    <cfRule type="expression" dxfId="646" priority="81" stopIfTrue="1">
      <formula>(E17="Р1/РВ")</formula>
    </cfRule>
    <cfRule type="expression" dxfId="645" priority="82" stopIfTrue="1">
      <formula>(E17="Р2/РВ")</formula>
    </cfRule>
    <cfRule type="expression" dxfId="644" priority="83" stopIfTrue="1">
      <formula>(E17="ВЧ/РВ")</formula>
    </cfRule>
    <cfRule type="expression" priority="84" stopIfTrue="1">
      <formula>(E17="РН/РВ")</formula>
    </cfRule>
  </conditionalFormatting>
  <conditionalFormatting sqref="F17:AI17">
    <cfRule type="expression" dxfId="643" priority="61" stopIfTrue="1">
      <formula>(F17="Р")</formula>
    </cfRule>
    <cfRule type="expression" dxfId="642" priority="62" stopIfTrue="1">
      <formula>(F17="ВЧ")</formula>
    </cfRule>
    <cfRule type="expression" dxfId="641" priority="63" stopIfTrue="1">
      <formula>(F17="ВЧ1")</formula>
    </cfRule>
    <cfRule type="expression" dxfId="640" priority="64" stopIfTrue="1">
      <formula>(F17="ВЧ2")</formula>
    </cfRule>
    <cfRule type="expression" dxfId="639" priority="65" stopIfTrue="1">
      <formula>(F17="РН")</formula>
    </cfRule>
    <cfRule type="expression" dxfId="638" priority="66" stopIfTrue="1">
      <formula>(F17="НУ")</formula>
    </cfRule>
    <cfRule type="expression" dxfId="637" priority="67" stopIfTrue="1">
      <formula>(F17="Р1")</formula>
    </cfRule>
    <cfRule type="expression" dxfId="636" priority="68" stopIfTrue="1">
      <formula>(F17="Р2")</formula>
    </cfRule>
    <cfRule type="expression" dxfId="635" priority="69" stopIfTrue="1">
      <formula>(F17="Р1/РВ")</formula>
    </cfRule>
    <cfRule type="expression" dxfId="634" priority="70" stopIfTrue="1">
      <formula>(F17="Р2/РВ")</formula>
    </cfRule>
    <cfRule type="expression" dxfId="633" priority="71" stopIfTrue="1">
      <formula>(F17="ВЧ/РВ")</formula>
    </cfRule>
    <cfRule type="expression" priority="72" stopIfTrue="1">
      <formula>(F17="РН/РВ")</formula>
    </cfRule>
  </conditionalFormatting>
  <conditionalFormatting sqref="E18">
    <cfRule type="expression" dxfId="632" priority="85" stopIfTrue="1">
      <formula>(E17="ВД")</formula>
    </cfRule>
    <cfRule type="expression" dxfId="631" priority="86" stopIfTrue="1">
      <formula>(E17="В")</formula>
    </cfRule>
    <cfRule type="expression" dxfId="630" priority="87" stopIfTrue="1">
      <formula>(E17="ВП")</formula>
    </cfRule>
    <cfRule type="expression" dxfId="629" priority="88" stopIfTrue="1">
      <formula>(E17="ДД")</formula>
    </cfRule>
    <cfRule type="expression" dxfId="628" priority="89" stopIfTrue="1">
      <formula>(E17="НА")</formula>
    </cfRule>
    <cfRule type="expression" dxfId="627" priority="90" stopIfTrue="1">
      <formula>(E17="Ч")</formula>
    </cfRule>
    <cfRule type="expression" dxfId="626" priority="91" stopIfTrue="1">
      <formula>(E17="Н")</formula>
    </cfRule>
    <cfRule type="expression" dxfId="625" priority="92" stopIfTrue="1">
      <formula>(E17="ТН")</formula>
    </cfRule>
    <cfRule type="expression" dxfId="624" priority="93" stopIfTrue="1">
      <formula>(E17="ДО")</formula>
    </cfRule>
    <cfRule type="expression" dxfId="623" priority="94" stopIfTrue="1">
      <formula>(E17="ІН")</formula>
    </cfRule>
    <cfRule type="expression" dxfId="622" priority="95" stopIfTrue="1">
      <formula>(E17="РВ")</formula>
    </cfRule>
    <cfRule type="expression" dxfId="621" priority="96" stopIfTrue="1">
      <formula>(E17="ВБ")</formula>
    </cfRule>
  </conditionalFormatting>
  <conditionalFormatting sqref="F18:AI18">
    <cfRule type="expression" dxfId="620" priority="49" stopIfTrue="1">
      <formula>(F17="ВД")</formula>
    </cfRule>
    <cfRule type="expression" dxfId="619" priority="50" stopIfTrue="1">
      <formula>(F17="В")</formula>
    </cfRule>
    <cfRule type="expression" dxfId="618" priority="51" stopIfTrue="1">
      <formula>(F17="ВП")</formula>
    </cfRule>
    <cfRule type="expression" dxfId="617" priority="52" stopIfTrue="1">
      <formula>(F17="ДД")</formula>
    </cfRule>
    <cfRule type="expression" dxfId="616" priority="53" stopIfTrue="1">
      <formula>(F17="НА")</formula>
    </cfRule>
    <cfRule type="expression" dxfId="615" priority="54" stopIfTrue="1">
      <formula>(F17="Ч")</formula>
    </cfRule>
    <cfRule type="expression" dxfId="614" priority="55" stopIfTrue="1">
      <formula>(F17="Н")</formula>
    </cfRule>
    <cfRule type="expression" dxfId="613" priority="56" stopIfTrue="1">
      <formula>(F17="ТН")</formula>
    </cfRule>
    <cfRule type="expression" dxfId="612" priority="57" stopIfTrue="1">
      <formula>(F17="ДО")</formula>
    </cfRule>
    <cfRule type="expression" dxfId="611" priority="58" stopIfTrue="1">
      <formula>(F17="ІН")</formula>
    </cfRule>
    <cfRule type="expression" dxfId="610" priority="59" stopIfTrue="1">
      <formula>(F17="РВ")</formula>
    </cfRule>
    <cfRule type="expression" dxfId="609" priority="60" stopIfTrue="1">
      <formula>(F17="ВБ")</formula>
    </cfRule>
  </conditionalFormatting>
  <conditionalFormatting sqref="E19 E21 E23 E25 E27 E29 E31 E33 E35 E37 E39 E41">
    <cfRule type="expression" dxfId="608" priority="25" stopIfTrue="1">
      <formula>(E19="Р")</formula>
    </cfRule>
    <cfRule type="expression" dxfId="607" priority="26" stopIfTrue="1">
      <formula>(E19="ВЧ")</formula>
    </cfRule>
    <cfRule type="expression" dxfId="606" priority="27" stopIfTrue="1">
      <formula>(E19="ВЧ1")</formula>
    </cfRule>
    <cfRule type="expression" dxfId="605" priority="28" stopIfTrue="1">
      <formula>(E19="ВЧ2")</formula>
    </cfRule>
    <cfRule type="expression" dxfId="604" priority="29" stopIfTrue="1">
      <formula>(E19="РН")</formula>
    </cfRule>
    <cfRule type="expression" dxfId="603" priority="30" stopIfTrue="1">
      <formula>(E19="НУ")</formula>
    </cfRule>
    <cfRule type="expression" dxfId="602" priority="31" stopIfTrue="1">
      <formula>(E19="Р1")</formula>
    </cfRule>
    <cfRule type="expression" dxfId="601" priority="32" stopIfTrue="1">
      <formula>(E19="Р2")</formula>
    </cfRule>
    <cfRule type="expression" dxfId="600" priority="33" stopIfTrue="1">
      <formula>(E19="Р1/РВ")</formula>
    </cfRule>
    <cfRule type="expression" dxfId="599" priority="34" stopIfTrue="1">
      <formula>(E19="Р2/РВ")</formula>
    </cfRule>
    <cfRule type="expression" dxfId="598" priority="35" stopIfTrue="1">
      <formula>(E19="ВЧ/РВ")</formula>
    </cfRule>
    <cfRule type="expression" priority="36" stopIfTrue="1">
      <formula>(E19="РН/РВ")</formula>
    </cfRule>
  </conditionalFormatting>
  <conditionalFormatting sqref="F19:AI19 F21:AI21 F23:AI23 F25:AI25 F27:AI27 F29:AI29 F31:AI31 F33:AI33 F35:AI35 F37:AI37 F39:AI39 F41:AI41">
    <cfRule type="expression" dxfId="597" priority="13" stopIfTrue="1">
      <formula>(F19="Р")</formula>
    </cfRule>
    <cfRule type="expression" dxfId="596" priority="14" stopIfTrue="1">
      <formula>(F19="ВЧ")</formula>
    </cfRule>
    <cfRule type="expression" dxfId="595" priority="15" stopIfTrue="1">
      <formula>(F19="ВЧ1")</formula>
    </cfRule>
    <cfRule type="expression" dxfId="594" priority="16" stopIfTrue="1">
      <formula>(F19="ВЧ2")</formula>
    </cfRule>
    <cfRule type="expression" dxfId="593" priority="17" stopIfTrue="1">
      <formula>(F19="РН")</formula>
    </cfRule>
    <cfRule type="expression" dxfId="592" priority="18" stopIfTrue="1">
      <formula>(F19="НУ")</formula>
    </cfRule>
    <cfRule type="expression" dxfId="591" priority="19" stopIfTrue="1">
      <formula>(F19="Р1")</formula>
    </cfRule>
    <cfRule type="expression" dxfId="590" priority="20" stopIfTrue="1">
      <formula>(F19="Р2")</formula>
    </cfRule>
    <cfRule type="expression" dxfId="589" priority="21" stopIfTrue="1">
      <formula>(F19="Р1/РВ")</formula>
    </cfRule>
    <cfRule type="expression" dxfId="588" priority="22" stopIfTrue="1">
      <formula>(F19="Р2/РВ")</formula>
    </cfRule>
    <cfRule type="expression" dxfId="587" priority="23" stopIfTrue="1">
      <formula>(F19="ВЧ/РВ")</formula>
    </cfRule>
    <cfRule type="expression" priority="24" stopIfTrue="1">
      <formula>(F19="РН/РВ")</formula>
    </cfRule>
  </conditionalFormatting>
  <conditionalFormatting sqref="E20 E22 E24 E26 E28 E30 E32 E34 E36 E38 E40 E42">
    <cfRule type="expression" dxfId="586" priority="37" stopIfTrue="1">
      <formula>(E19="ВД")</formula>
    </cfRule>
    <cfRule type="expression" dxfId="585" priority="38" stopIfTrue="1">
      <formula>(E19="В")</formula>
    </cfRule>
    <cfRule type="expression" dxfId="584" priority="39" stopIfTrue="1">
      <formula>(E19="ВП")</formula>
    </cfRule>
    <cfRule type="expression" dxfId="583" priority="40" stopIfTrue="1">
      <formula>(E19="ДД")</formula>
    </cfRule>
    <cfRule type="expression" dxfId="582" priority="41" stopIfTrue="1">
      <formula>(E19="НА")</formula>
    </cfRule>
    <cfRule type="expression" dxfId="581" priority="42" stopIfTrue="1">
      <formula>(E19="Ч")</formula>
    </cfRule>
    <cfRule type="expression" dxfId="580" priority="43" stopIfTrue="1">
      <formula>(E19="Н")</formula>
    </cfRule>
    <cfRule type="expression" dxfId="579" priority="44" stopIfTrue="1">
      <formula>(E19="ТН")</formula>
    </cfRule>
    <cfRule type="expression" dxfId="578" priority="45" stopIfTrue="1">
      <formula>(E19="ДО")</formula>
    </cfRule>
    <cfRule type="expression" dxfId="577" priority="46" stopIfTrue="1">
      <formula>(E19="ІН")</formula>
    </cfRule>
    <cfRule type="expression" dxfId="576" priority="47" stopIfTrue="1">
      <formula>(E19="РВ")</formula>
    </cfRule>
    <cfRule type="expression" dxfId="575" priority="48" stopIfTrue="1">
      <formula>(E19="ВБ")</formula>
    </cfRule>
  </conditionalFormatting>
  <conditionalFormatting sqref="F20:AI20 F22:AI22 F24:AI24 F26:AI26 F28:AI28 F30:AI30 F32:AI32 F34:AI34 F36:AI36 F38:AI38 F40:AI40 F42:AI42">
    <cfRule type="expression" dxfId="574" priority="1" stopIfTrue="1">
      <formula>(F19="ВД")</formula>
    </cfRule>
    <cfRule type="expression" dxfId="573" priority="2" stopIfTrue="1">
      <formula>(F19="В")</formula>
    </cfRule>
    <cfRule type="expression" dxfId="572" priority="3" stopIfTrue="1">
      <formula>(F19="ВП")</formula>
    </cfRule>
    <cfRule type="expression" dxfId="571" priority="4" stopIfTrue="1">
      <formula>(F19="ДД")</formula>
    </cfRule>
    <cfRule type="expression" dxfId="570" priority="5" stopIfTrue="1">
      <formula>(F19="НА")</formula>
    </cfRule>
    <cfRule type="expression" dxfId="569" priority="6" stopIfTrue="1">
      <formula>(F19="Ч")</formula>
    </cfRule>
    <cfRule type="expression" dxfId="568" priority="7" stopIfTrue="1">
      <formula>(F19="Н")</formula>
    </cfRule>
    <cfRule type="expression" dxfId="567" priority="8" stopIfTrue="1">
      <formula>(F19="ТН")</formula>
    </cfRule>
    <cfRule type="expression" dxfId="566" priority="9" stopIfTrue="1">
      <formula>(F19="ДО")</formula>
    </cfRule>
    <cfRule type="expression" dxfId="565" priority="10" stopIfTrue="1">
      <formula>(F19="ІН")</formula>
    </cfRule>
    <cfRule type="expression" dxfId="564" priority="11" stopIfTrue="1">
      <formula>(F19="РВ")</formula>
    </cfRule>
    <cfRule type="expression" dxfId="563" priority="12" stopIfTrue="1">
      <formula>(F19="ВБ")</formula>
    </cfRule>
  </conditionalFormatting>
  <printOptions horizontalCentered="1"/>
  <pageMargins left="0.39370078740157483" right="0.39370078740157483" top="0.39370078740157483" bottom="0.47244094488188981" header="0" footer="0"/>
  <pageSetup paperSize="8" scale="83" fitToHeight="999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796" r:id="rId4" name="Button 4">
              <controlPr defaultSize="0" print="0" autoFill="0" autoPict="0" macro="[0]!Макрос1">
                <anchor moveWithCells="1" sizeWithCells="1">
                  <from>
                    <xdr:col>16</xdr:col>
                    <xdr:colOff>219075</xdr:colOff>
                    <xdr:row>1</xdr:row>
                    <xdr:rowOff>19050</xdr:rowOff>
                  </from>
                  <to>
                    <xdr:col>21</xdr:col>
                    <xdr:colOff>0</xdr:colOff>
                    <xdr:row>2</xdr:row>
                    <xdr:rowOff>95250</xdr:rowOff>
                  </to>
                </anchor>
              </controlPr>
            </control>
          </mc:Choice>
        </mc:AlternateContent>
        <mc:AlternateContent xmlns:mc="http://schemas.openxmlformats.org/markup-compatibility/2006">
          <mc:Choice Requires="x14">
            <control shapeId="33797" r:id="rId5" name="Button 5">
              <controlPr defaultSize="0" print="0" autoFill="0" autoPict="0" macro="[0]!Макрос2">
                <anchor moveWithCells="1" sizeWithCells="1">
                  <from>
                    <xdr:col>16</xdr:col>
                    <xdr:colOff>219075</xdr:colOff>
                    <xdr:row>3</xdr:row>
                    <xdr:rowOff>76200</xdr:rowOff>
                  </from>
                  <to>
                    <xdr:col>21</xdr:col>
                    <xdr:colOff>9525</xdr:colOff>
                    <xdr:row>4</xdr:row>
                    <xdr:rowOff>114300</xdr:rowOff>
                  </to>
                </anchor>
              </controlPr>
            </control>
          </mc:Choice>
        </mc:AlternateContent>
        <mc:AlternateContent xmlns:mc="http://schemas.openxmlformats.org/markup-compatibility/2006">
          <mc:Choice Requires="x14">
            <control shapeId="33798" r:id="rId6" name="Button 6">
              <controlPr defaultSize="0" print="0" autoFill="0" autoPict="0" macro="[0]!Макрос3">
                <anchor moveWithCells="1" sizeWithCells="1">
                  <from>
                    <xdr:col>15</xdr:col>
                    <xdr:colOff>66675</xdr:colOff>
                    <xdr:row>5</xdr:row>
                    <xdr:rowOff>104775</xdr:rowOff>
                  </from>
                  <to>
                    <xdr:col>21</xdr:col>
                    <xdr:colOff>9525</xdr:colOff>
                    <xdr:row>6</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3">
    <pageSetUpPr fitToPage="1"/>
  </sheetPr>
  <dimension ref="A2:AZ49"/>
  <sheetViews>
    <sheetView showZeros="0" topLeftCell="C1" zoomScale="85" zoomScaleNormal="85" zoomScaleSheetLayoutView="80" workbookViewId="0">
      <pane ySplit="15" topLeftCell="A16" activePane="bottomLeft" state="frozen"/>
      <selection pane="bottomLeft" activeCell="P23" sqref="P23:AI23"/>
    </sheetView>
  </sheetViews>
  <sheetFormatPr defaultColWidth="9.140625" defaultRowHeight="12.75" x14ac:dyDescent="0.2"/>
  <cols>
    <col min="1" max="1" width="5.28515625" style="51" customWidth="1"/>
    <col min="2" max="2" width="25.85546875" style="51" customWidth="1"/>
    <col min="3" max="3" width="5.85546875" style="13" customWidth="1"/>
    <col min="4" max="18" width="3.7109375" style="51" customWidth="1"/>
    <col min="19" max="19" width="5.28515625" style="51" customWidth="1"/>
    <col min="20" max="35" width="3.7109375" style="51" customWidth="1"/>
    <col min="36" max="36" width="4.7109375" style="51" customWidth="1"/>
    <col min="37" max="37" width="6.7109375" style="51" customWidth="1"/>
    <col min="38" max="42" width="4.7109375" style="51" customWidth="1"/>
    <col min="43" max="43" width="5.85546875" style="51" customWidth="1"/>
    <col min="44" max="44" width="6.28515625" style="51" customWidth="1"/>
    <col min="45" max="48" width="4.7109375" style="51" customWidth="1"/>
    <col min="49" max="49" width="4.7109375" style="131" customWidth="1"/>
    <col min="50" max="52" width="4.7109375" style="51" customWidth="1"/>
    <col min="53" max="16384" width="9.140625" style="5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108</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109</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4"/>
      <c r="U9" s="44"/>
      <c r="V9" s="44"/>
      <c r="W9" s="44"/>
      <c r="X9" s="44"/>
      <c r="Y9" s="44"/>
      <c r="Z9" s="44"/>
      <c r="AA9" s="44"/>
      <c r="AB9" s="44"/>
      <c r="AC9" s="44"/>
      <c r="AD9" s="44"/>
      <c r="AE9" s="44"/>
      <c r="AF9" s="44"/>
      <c r="AG9" s="44"/>
      <c r="AH9" s="44"/>
      <c r="AI9" s="44"/>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67">
        <v>1</v>
      </c>
      <c r="B16" s="66">
        <v>2</v>
      </c>
      <c r="C16" s="71">
        <v>3</v>
      </c>
      <c r="D16" s="71" t="s">
        <v>27</v>
      </c>
      <c r="E16" s="232">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45">
        <v>6</v>
      </c>
      <c r="AK16" s="233">
        <v>7</v>
      </c>
      <c r="AL16" s="232"/>
      <c r="AM16" s="232"/>
      <c r="AN16" s="232"/>
      <c r="AO16" s="234"/>
      <c r="AP16" s="45">
        <v>8</v>
      </c>
      <c r="AQ16" s="27">
        <v>9</v>
      </c>
      <c r="AR16" s="28"/>
      <c r="AS16" s="28"/>
      <c r="AT16" s="28"/>
      <c r="AU16" s="28"/>
      <c r="AV16" s="28"/>
      <c r="AW16" s="28"/>
      <c r="AX16" s="28"/>
      <c r="AY16" s="29"/>
      <c r="AZ16" s="30"/>
    </row>
    <row r="17" spans="1:52" ht="20.100000000000001" customHeight="1" x14ac:dyDescent="0.2">
      <c r="A17" s="305">
        <v>1</v>
      </c>
      <c r="B17" s="228" t="s">
        <v>111</v>
      </c>
      <c r="C17" s="279">
        <v>718</v>
      </c>
      <c r="D17" s="279" t="s">
        <v>65</v>
      </c>
      <c r="E17" s="185" t="s">
        <v>142</v>
      </c>
      <c r="F17" s="191" t="s">
        <v>142</v>
      </c>
      <c r="G17" s="191" t="s">
        <v>4</v>
      </c>
      <c r="H17" s="191" t="s">
        <v>4</v>
      </c>
      <c r="I17" s="191" t="s">
        <v>4</v>
      </c>
      <c r="J17" s="191" t="s">
        <v>4</v>
      </c>
      <c r="K17" s="191" t="s">
        <v>4</v>
      </c>
      <c r="L17" s="191" t="s">
        <v>47</v>
      </c>
      <c r="M17" s="191" t="s">
        <v>142</v>
      </c>
      <c r="N17" s="191" t="s">
        <v>4</v>
      </c>
      <c r="O17" s="191" t="s">
        <v>4</v>
      </c>
      <c r="P17" s="191" t="s">
        <v>4</v>
      </c>
      <c r="Q17" s="191" t="s">
        <v>4</v>
      </c>
      <c r="R17" s="191" t="s">
        <v>4</v>
      </c>
      <c r="S17" s="191" t="s">
        <v>142</v>
      </c>
      <c r="T17" s="191" t="s">
        <v>142</v>
      </c>
      <c r="U17" s="191" t="s">
        <v>4</v>
      </c>
      <c r="V17" s="191" t="s">
        <v>4</v>
      </c>
      <c r="W17" s="191" t="s">
        <v>4</v>
      </c>
      <c r="X17" s="191" t="s">
        <v>4</v>
      </c>
      <c r="Y17" s="191" t="s">
        <v>4</v>
      </c>
      <c r="Z17" s="191" t="s">
        <v>142</v>
      </c>
      <c r="AA17" s="191" t="s">
        <v>142</v>
      </c>
      <c r="AB17" s="191" t="s">
        <v>4</v>
      </c>
      <c r="AC17" s="191" t="s">
        <v>4</v>
      </c>
      <c r="AD17" s="191" t="s">
        <v>4</v>
      </c>
      <c r="AE17" s="191" t="s">
        <v>4</v>
      </c>
      <c r="AF17" s="191" t="s">
        <v>4</v>
      </c>
      <c r="AG17" s="191" t="s">
        <v>142</v>
      </c>
      <c r="AH17" s="191" t="s">
        <v>142</v>
      </c>
      <c r="AI17" s="191" t="s">
        <v>4</v>
      </c>
      <c r="AJ17" s="294">
        <f>IFERROR(COUNTIF(E17:AI17,"=Р")+COUNTIF(E17:AI17,"=Р1")+COUNTIF(E17:AI17,"=ВЧ")+COUNTIF(E17:AI17,"=РН")+COUNTIF(E17:AI17,"=Р2")+COUNTIF(E17:AI17,"=Р1/РВ")+COUNTIF(E17:AI17,"=Р2/РВ")+COUNTIF(E17:AI17,"=ВЧ/РВ")+COUNTIF(E17:AI17,"=РН/РВ"),0)</f>
        <v>21</v>
      </c>
      <c r="AK17" s="211">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167.99999999999997</v>
      </c>
      <c r="AL17" s="211">
        <f>IFERROR(SUMIF(E17:AI17,"=НУ",E18:AI18),0)</f>
        <v>0</v>
      </c>
      <c r="AM17" s="211">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11">
        <f>IFERROR(SUMIF(E17:AI17,"=РВ",E18:AI18)+SUMIF(E17:AI17,"=ВЧ/РВ",E18:AI18)+SUMIF(E17:AI17,"=РН/РВ",E18:AI18)+SUMIF(E17:AI17,"=Р1/РВ",E18:AI18)+SUMIF(E17:AI17,"=ВЧ2/РВ",E18:AI18)+SUMIF(E17:AI17,"=Р2/РВ",E18:AI18),0)</f>
        <v>4.5</v>
      </c>
      <c r="AP17" s="211">
        <f>IFERROR(COUNTIF(E17:AI17,"=ВВ")+COUNTIF(E17:AI17,"=Р1/ВВ")+COUNTIF(E17:AI17,"=РН/ВВ")+COUNTIF(E17:AI17,"=ВЧ/ВВ"),0)</f>
        <v>9</v>
      </c>
      <c r="AQ17" s="211">
        <f>SUM(AR17:AZ17)</f>
        <v>0</v>
      </c>
      <c r="AR17" s="211">
        <f>IFERROR(SUMIF(E17:AI17,"=В",E18:AI18)+SUMIF(E17:AI17,"=Ч",E18:AI18)+SUMIF(E17:AI17,"=ВБ",E18:AI18),0)</f>
        <v>0</v>
      </c>
      <c r="AS17" s="211">
        <f>IFERROR(SUMIF(E17:AI17,"=Н",E18:AI18),0)</f>
        <v>0</v>
      </c>
      <c r="AT17" s="211">
        <f>IFERROR(SUMIF(E17:AI17,"=НА",E18:AI18),0)</f>
        <v>0</v>
      </c>
      <c r="AU17" s="211">
        <f>IFERROR(SUMIF(E17:AI17,"=ВП",E18:AI18),0)</f>
        <v>0</v>
      </c>
      <c r="AV17" s="211">
        <f>IFERROR(SUMIF(E17:AI17,"=ДД",E18:AI18),0)</f>
        <v>0</v>
      </c>
      <c r="AW17" s="202">
        <f>IFERROR(SUMIF(E17:AI17,"=ДО",E18:AI18),0)</f>
        <v>0</v>
      </c>
      <c r="AX17" s="211">
        <f>IFERROR(SUMIF(E17:AI17,"=ТН",E18:AI18),0)</f>
        <v>0</v>
      </c>
      <c r="AY17" s="211">
        <f>IFERROR(SUMIF(E17:AI17,"=ВД",E18:AI18),0)</f>
        <v>0</v>
      </c>
      <c r="AZ17" s="312">
        <f>IFERROR(SUMIF(E17:AI17,"=ІН",E18:AI18),0)+SUMIF(E17:AI17,"=НЗ",E18:AI18)</f>
        <v>0</v>
      </c>
    </row>
    <row r="18" spans="1:52" ht="20.100000000000001" customHeight="1" thickBot="1" x14ac:dyDescent="0.25">
      <c r="A18" s="306"/>
      <c r="B18" s="229"/>
      <c r="C18" s="280"/>
      <c r="D18" s="280"/>
      <c r="E18" s="186"/>
      <c r="F18" s="192"/>
      <c r="G18" s="192">
        <v>8.1999999999999993</v>
      </c>
      <c r="H18" s="192">
        <v>8.1999999999999993</v>
      </c>
      <c r="I18" s="192">
        <v>8.1999999999999993</v>
      </c>
      <c r="J18" s="192">
        <v>8.1999999999999993</v>
      </c>
      <c r="K18" s="192">
        <v>7</v>
      </c>
      <c r="L18" s="192">
        <v>4.5</v>
      </c>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c r="AH18" s="192"/>
      <c r="AI18" s="192">
        <v>8.1999999999999993</v>
      </c>
      <c r="AJ18" s="314"/>
      <c r="AK18" s="212"/>
      <c r="AL18" s="212"/>
      <c r="AM18" s="212"/>
      <c r="AN18" s="212"/>
      <c r="AO18" s="212"/>
      <c r="AP18" s="212"/>
      <c r="AQ18" s="311"/>
      <c r="AR18" s="311"/>
      <c r="AS18" s="311"/>
      <c r="AT18" s="311"/>
      <c r="AU18" s="311"/>
      <c r="AV18" s="311"/>
      <c r="AW18" s="203"/>
      <c r="AX18" s="311"/>
      <c r="AY18" s="311"/>
      <c r="AZ18" s="313"/>
    </row>
    <row r="19" spans="1:52" ht="20.100000000000001" customHeight="1" x14ac:dyDescent="0.2">
      <c r="A19" s="305">
        <f>A17+1</f>
        <v>2</v>
      </c>
      <c r="B19" s="228" t="s">
        <v>225</v>
      </c>
      <c r="C19" s="279">
        <v>1802</v>
      </c>
      <c r="D19" s="279" t="s">
        <v>65</v>
      </c>
      <c r="E19" s="191" t="s">
        <v>68</v>
      </c>
      <c r="F19" s="191" t="s">
        <v>68</v>
      </c>
      <c r="G19" s="191" t="s">
        <v>68</v>
      </c>
      <c r="H19" s="191" t="s">
        <v>68</v>
      </c>
      <c r="I19" s="191" t="s">
        <v>68</v>
      </c>
      <c r="J19" s="191" t="s">
        <v>68</v>
      </c>
      <c r="K19" s="191" t="s">
        <v>68</v>
      </c>
      <c r="L19" s="191" t="s">
        <v>68</v>
      </c>
      <c r="M19" s="191" t="s">
        <v>68</v>
      </c>
      <c r="N19" s="191" t="s">
        <v>68</v>
      </c>
      <c r="O19" s="191" t="s">
        <v>68</v>
      </c>
      <c r="P19" s="191" t="s">
        <v>68</v>
      </c>
      <c r="Q19" s="191" t="s">
        <v>68</v>
      </c>
      <c r="R19" s="191" t="s">
        <v>68</v>
      </c>
      <c r="S19" s="191" t="s">
        <v>68</v>
      </c>
      <c r="T19" s="191" t="s">
        <v>68</v>
      </c>
      <c r="U19" s="191" t="s">
        <v>68</v>
      </c>
      <c r="V19" s="191" t="s">
        <v>68</v>
      </c>
      <c r="W19" s="191" t="s">
        <v>68</v>
      </c>
      <c r="X19" s="191" t="s">
        <v>68</v>
      </c>
      <c r="Y19" s="191" t="s">
        <v>68</v>
      </c>
      <c r="Z19" s="191" t="s">
        <v>68</v>
      </c>
      <c r="AA19" s="191" t="s">
        <v>68</v>
      </c>
      <c r="AB19" s="191" t="s">
        <v>68</v>
      </c>
      <c r="AC19" s="191" t="s">
        <v>68</v>
      </c>
      <c r="AD19" s="191" t="s">
        <v>68</v>
      </c>
      <c r="AE19" s="191" t="s">
        <v>68</v>
      </c>
      <c r="AF19" s="191" t="s">
        <v>68</v>
      </c>
      <c r="AG19" s="191" t="s">
        <v>68</v>
      </c>
      <c r="AH19" s="191" t="s">
        <v>68</v>
      </c>
      <c r="AI19" s="191" t="s">
        <v>68</v>
      </c>
      <c r="AJ19" s="294">
        <f>IFERROR(COUNTIF(E19:AI19,"=Р")+COUNTIF(E19:AI19,"=Р1")+COUNTIF(E19:AI19,"=ВЧ")+COUNTIF(E19:AI19,"=РН")+COUNTIF(E19:AI19,"=Р2")+COUNTIF(E19:AI19,"=Р1/РВ")+COUNTIF(E19:AI19,"=Р2/РВ")+COUNTIF(E19:AI19,"=ВЧ/РВ")+COUNTIF(E19:AI19,"=РН/РВ"),0)</f>
        <v>0</v>
      </c>
      <c r="AK19" s="211">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0</v>
      </c>
      <c r="AL19" s="211">
        <f>IFERROR(SUMIF(E19:AI19,"=НУ",E20:AI20),0)</f>
        <v>0</v>
      </c>
      <c r="AM19" s="211">
        <f>IFERROR(SUMIF(E19:AI19,"=РН",E20:AI20)+SUMIF(E19:AI19,"=РН/РВ",E20:AI20)+SUMIFS(E20:AI20,E19:AI19,"=Р2",E20:AI20,"=8"),0)</f>
        <v>0</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0</v>
      </c>
      <c r="AO19" s="211">
        <f>IFERROR(SUMIF(E19:AI19,"=РВ",E20:AI20)+SUMIF(E19:AI19,"=ВЧ/РВ",E20:AI20)+SUMIF(E19:AI19,"=РН/РВ",E20:AI20)+SUMIF(E19:AI19,"=Р1/РВ",E20:AI20)+SUMIF(E19:AI19,"=ВЧ2/РВ",E20:AI20)+SUMIF(E19:AI19,"=Р2/РВ",E20:AI20),0)</f>
        <v>0</v>
      </c>
      <c r="AP19" s="211">
        <f>IFERROR(COUNTIF(E19:AI19,"=ВВ")+COUNTIF(E19:AI19,"=Р1/ВВ")+COUNTIF(E19:AI19,"=РН/ВВ")+COUNTIF(E19:AI19,"=ВЧ/ВВ"),0)</f>
        <v>0</v>
      </c>
      <c r="AQ19" s="211">
        <f>SUM(AR19:AZ19)</f>
        <v>167.99999999999997</v>
      </c>
      <c r="AR19" s="211">
        <f>IFERROR(SUMIF(E19:AI19,"=В",E20:AI20)+SUMIF(E19:AI19,"=Ч",E20:AI20)+SUMIF(E19:AI19,"=ВБ",E20:AI20),0)</f>
        <v>0</v>
      </c>
      <c r="AS19" s="211">
        <f>IFERROR(SUMIF(E19:AI19,"=Н",E20:AI20),0)</f>
        <v>0</v>
      </c>
      <c r="AT19" s="211">
        <f>IFERROR(SUMIF(E19:AI19,"=НА",E20:AI20),0)</f>
        <v>0</v>
      </c>
      <c r="AU19" s="211">
        <f>IFERROR(SUMIF(E19:AI19,"=ВП",E20:AI20),0)</f>
        <v>0</v>
      </c>
      <c r="AV19" s="211">
        <f>IFERROR(SUMIF(E19:AI19,"=ДД",E20:AI20),0)</f>
        <v>0</v>
      </c>
      <c r="AW19" s="202">
        <f>IFERROR(SUMIF(E19:AI19,"=ДО",E20:AI20),0)</f>
        <v>0</v>
      </c>
      <c r="AX19" s="211">
        <f>IFERROR(SUMIF(E19:AI19,"=ТН",E20:AI20),0)</f>
        <v>0</v>
      </c>
      <c r="AY19" s="211">
        <f>IFERROR(SUMIF(E19:AI19,"=ВД",E20:AI20),0)</f>
        <v>0</v>
      </c>
      <c r="AZ19" s="312">
        <f>IFERROR(SUMIF(E19:AI19,"=ІН",E20:AI20),0)+SUMIF(E19:AI19,"=НЗ",E20:AI20)</f>
        <v>167.99999999999997</v>
      </c>
    </row>
    <row r="20" spans="1:52" ht="20.100000000000001" customHeight="1" thickBot="1" x14ac:dyDescent="0.25">
      <c r="A20" s="306"/>
      <c r="B20" s="229"/>
      <c r="C20" s="280"/>
      <c r="D20" s="280"/>
      <c r="E20" s="192"/>
      <c r="F20" s="192"/>
      <c r="G20" s="192">
        <v>8.1999999999999993</v>
      </c>
      <c r="H20" s="192">
        <v>8.1999999999999993</v>
      </c>
      <c r="I20" s="192">
        <v>8.1999999999999993</v>
      </c>
      <c r="J20" s="192">
        <v>8.1999999999999993</v>
      </c>
      <c r="K20" s="192">
        <v>7</v>
      </c>
      <c r="L20" s="192"/>
      <c r="M20" s="192"/>
      <c r="N20" s="192">
        <v>8.1999999999999993</v>
      </c>
      <c r="O20" s="192">
        <v>8.1999999999999993</v>
      </c>
      <c r="P20" s="192">
        <v>8.1999999999999993</v>
      </c>
      <c r="Q20" s="192">
        <v>8.1999999999999993</v>
      </c>
      <c r="R20" s="192">
        <v>7.2</v>
      </c>
      <c r="S20" s="192"/>
      <c r="T20" s="192"/>
      <c r="U20" s="192">
        <v>8.1999999999999993</v>
      </c>
      <c r="V20" s="192">
        <v>8.1999999999999993</v>
      </c>
      <c r="W20" s="192">
        <v>8.1999999999999993</v>
      </c>
      <c r="X20" s="192">
        <v>8.1999999999999993</v>
      </c>
      <c r="Y20" s="192">
        <v>7.2</v>
      </c>
      <c r="Z20" s="192"/>
      <c r="AA20" s="192"/>
      <c r="AB20" s="192">
        <v>8.1999999999999993</v>
      </c>
      <c r="AC20" s="192">
        <v>8.1999999999999993</v>
      </c>
      <c r="AD20" s="192">
        <v>8.1999999999999993</v>
      </c>
      <c r="AE20" s="192">
        <v>8.1999999999999993</v>
      </c>
      <c r="AF20" s="192">
        <v>7.2</v>
      </c>
      <c r="AG20" s="192"/>
      <c r="AH20" s="192"/>
      <c r="AI20" s="192">
        <v>8.1999999999999993</v>
      </c>
      <c r="AJ20" s="314"/>
      <c r="AK20" s="212"/>
      <c r="AL20" s="212"/>
      <c r="AM20" s="212"/>
      <c r="AN20" s="212"/>
      <c r="AO20" s="212"/>
      <c r="AP20" s="212"/>
      <c r="AQ20" s="311"/>
      <c r="AR20" s="311"/>
      <c r="AS20" s="311"/>
      <c r="AT20" s="311"/>
      <c r="AU20" s="311"/>
      <c r="AV20" s="311"/>
      <c r="AW20" s="203"/>
      <c r="AX20" s="311"/>
      <c r="AY20" s="311"/>
      <c r="AZ20" s="313"/>
    </row>
    <row r="21" spans="1:52" ht="20.100000000000001" customHeight="1" x14ac:dyDescent="0.2">
      <c r="A21" s="305">
        <f t="shared" ref="A21" si="0">A19+1</f>
        <v>3</v>
      </c>
      <c r="B21" s="228" t="s">
        <v>113</v>
      </c>
      <c r="C21" s="279">
        <v>1623</v>
      </c>
      <c r="D21" s="279" t="s">
        <v>65</v>
      </c>
      <c r="E21" s="191" t="s">
        <v>142</v>
      </c>
      <c r="F21" s="191" t="s">
        <v>142</v>
      </c>
      <c r="G21" s="191" t="s">
        <v>4</v>
      </c>
      <c r="H21" s="191" t="s">
        <v>4</v>
      </c>
      <c r="I21" s="191" t="s">
        <v>4</v>
      </c>
      <c r="J21" s="191" t="s">
        <v>4</v>
      </c>
      <c r="K21" s="191" t="s">
        <v>4</v>
      </c>
      <c r="L21" s="191" t="s">
        <v>142</v>
      </c>
      <c r="M21" s="191" t="s">
        <v>142</v>
      </c>
      <c r="N21" s="191" t="s">
        <v>4</v>
      </c>
      <c r="O21" s="191" t="s">
        <v>4</v>
      </c>
      <c r="P21" s="191" t="s">
        <v>4</v>
      </c>
      <c r="Q21" s="191" t="s">
        <v>4</v>
      </c>
      <c r="R21" s="191" t="s">
        <v>4</v>
      </c>
      <c r="S21" s="191" t="s">
        <v>142</v>
      </c>
      <c r="T21" s="191" t="s">
        <v>142</v>
      </c>
      <c r="U21" s="191" t="s">
        <v>4</v>
      </c>
      <c r="V21" s="191" t="s">
        <v>4</v>
      </c>
      <c r="W21" s="191" t="s">
        <v>4</v>
      </c>
      <c r="X21" s="191" t="s">
        <v>4</v>
      </c>
      <c r="Y21" s="191" t="s">
        <v>4</v>
      </c>
      <c r="Z21" s="191" t="s">
        <v>142</v>
      </c>
      <c r="AA21" s="191" t="s">
        <v>142</v>
      </c>
      <c r="AB21" s="191" t="s">
        <v>4</v>
      </c>
      <c r="AC21" s="191" t="s">
        <v>4</v>
      </c>
      <c r="AD21" s="191" t="s">
        <v>4</v>
      </c>
      <c r="AE21" s="191" t="s">
        <v>4</v>
      </c>
      <c r="AF21" s="191" t="s">
        <v>4</v>
      </c>
      <c r="AG21" s="191" t="s">
        <v>142</v>
      </c>
      <c r="AH21" s="191" t="s">
        <v>142</v>
      </c>
      <c r="AI21" s="191" t="s">
        <v>4</v>
      </c>
      <c r="AJ21" s="294">
        <f>IFERROR(COUNTIF(E21:AI21,"=Р")+COUNTIF(E21:AI21,"=Р1")+COUNTIF(E21:AI21,"=ВЧ")+COUNTIF(E21:AI21,"=РН")+COUNTIF(E21:AI21,"=Р2")+COUNTIF(E21:AI21,"=Р1/РВ")+COUNTIF(E21:AI21,"=Р2/РВ")+COUNTIF(E21:AI21,"=ВЧ/РВ")+COUNTIF(E21:AI21,"=РН/РВ"),0)</f>
        <v>21</v>
      </c>
      <c r="AK21" s="211">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167.99999999999997</v>
      </c>
      <c r="AL21" s="211">
        <f>IFERROR(SUMIF(E21:AI21,"=НУ",E22:AI22),0)</f>
        <v>0</v>
      </c>
      <c r="AM21" s="211">
        <f>IFERROR(SUMIF(E21:AI21,"=РН",E22:AI22)+SUMIF(E21:AI21,"=РН/РВ",E22:AI22)+SUMIFS(E22:AI22,E21:AI21,"=Р2",E22:AI22,"=8"),0)</f>
        <v>0</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0</v>
      </c>
      <c r="AO21" s="211">
        <f>IFERROR(SUMIF(E21:AI21,"=РВ",E22:AI22)+SUMIF(E21:AI21,"=ВЧ/РВ",E22:AI22)+SUMIF(E21:AI21,"=РН/РВ",E22:AI22)+SUMIF(E21:AI21,"=Р1/РВ",E22:AI22)+SUMIF(E21:AI21,"=ВЧ2/РВ",E22:AI22)+SUMIF(E21:AI21,"=Р2/РВ",E22:AI22),0)</f>
        <v>0</v>
      </c>
      <c r="AP21" s="211">
        <f>IFERROR(COUNTIF(E21:AI21,"=ВВ")+COUNTIF(E21:AI21,"=Р1/ВВ")+COUNTIF(E21:AI21,"=РН/ВВ")+COUNTIF(E21:AI21,"=ВЧ/ВВ"),0)</f>
        <v>10</v>
      </c>
      <c r="AQ21" s="211">
        <f>SUM(AR21:AZ21)</f>
        <v>0</v>
      </c>
      <c r="AR21" s="211">
        <f>IFERROR(SUMIF(E21:AI21,"=В",E22:AI22)+SUMIF(E21:AI21,"=Ч",E22:AI22)+SUMIF(E21:AI21,"=ВБ",E22:AI22),0)</f>
        <v>0</v>
      </c>
      <c r="AS21" s="211">
        <f>IFERROR(SUMIF(E21:AI21,"=Н",E22:AI22),0)</f>
        <v>0</v>
      </c>
      <c r="AT21" s="211">
        <f>IFERROR(SUMIF(E21:AI21,"=НА",E22:AI22),0)</f>
        <v>0</v>
      </c>
      <c r="AU21" s="211">
        <f>IFERROR(SUMIF(E21:AI21,"=ВП",E22:AI22),0)</f>
        <v>0</v>
      </c>
      <c r="AV21" s="211">
        <f>IFERROR(SUMIF(E21:AI21,"=ДД",E22:AI22),0)</f>
        <v>0</v>
      </c>
      <c r="AW21" s="202">
        <f>IFERROR(SUMIF(E21:AI21,"=ДО",E22:AI22),0)</f>
        <v>0</v>
      </c>
      <c r="AX21" s="211">
        <f>IFERROR(SUMIF(E21:AI21,"=ТН",E22:AI22),0)</f>
        <v>0</v>
      </c>
      <c r="AY21" s="211">
        <f>IFERROR(SUMIF(E21:AI21,"=ВД",E22:AI22),0)</f>
        <v>0</v>
      </c>
      <c r="AZ21" s="312">
        <f>IFERROR(SUMIF(E21:AI21,"=ІН",E22:AI22),0)+SUMIF(E21:AI21,"=НЗ",E22:AI22)</f>
        <v>0</v>
      </c>
    </row>
    <row r="22" spans="1:52" ht="20.100000000000001" customHeight="1" thickBot="1" x14ac:dyDescent="0.25">
      <c r="A22" s="306"/>
      <c r="B22" s="229"/>
      <c r="C22" s="280"/>
      <c r="D22" s="280"/>
      <c r="E22" s="192"/>
      <c r="F22" s="192"/>
      <c r="G22" s="192">
        <v>8.1999999999999993</v>
      </c>
      <c r="H22" s="192">
        <v>8.1999999999999993</v>
      </c>
      <c r="I22" s="192">
        <v>8.1999999999999993</v>
      </c>
      <c r="J22" s="192">
        <v>8.1999999999999993</v>
      </c>
      <c r="K22" s="192">
        <v>7</v>
      </c>
      <c r="L22" s="192"/>
      <c r="M22" s="192"/>
      <c r="N22" s="192">
        <v>8.1999999999999993</v>
      </c>
      <c r="O22" s="192">
        <v>8.1999999999999993</v>
      </c>
      <c r="P22" s="192">
        <v>8.1999999999999993</v>
      </c>
      <c r="Q22" s="192">
        <v>8.1999999999999993</v>
      </c>
      <c r="R22" s="192">
        <v>7.2</v>
      </c>
      <c r="S22" s="192"/>
      <c r="T22" s="192"/>
      <c r="U22" s="192">
        <v>8.1999999999999993</v>
      </c>
      <c r="V22" s="192">
        <v>8.1999999999999993</v>
      </c>
      <c r="W22" s="192">
        <v>8.1999999999999993</v>
      </c>
      <c r="X22" s="192">
        <v>8.1999999999999993</v>
      </c>
      <c r="Y22" s="192">
        <v>7.2</v>
      </c>
      <c r="Z22" s="192"/>
      <c r="AA22" s="192"/>
      <c r="AB22" s="192">
        <v>8.1999999999999993</v>
      </c>
      <c r="AC22" s="192">
        <v>8.1999999999999993</v>
      </c>
      <c r="AD22" s="192">
        <v>8.1999999999999993</v>
      </c>
      <c r="AE22" s="192">
        <v>8.1999999999999993</v>
      </c>
      <c r="AF22" s="192">
        <v>7.2</v>
      </c>
      <c r="AG22" s="192"/>
      <c r="AH22" s="192"/>
      <c r="AI22" s="192">
        <v>8.1999999999999993</v>
      </c>
      <c r="AJ22" s="314"/>
      <c r="AK22" s="212"/>
      <c r="AL22" s="212"/>
      <c r="AM22" s="212"/>
      <c r="AN22" s="212"/>
      <c r="AO22" s="212"/>
      <c r="AP22" s="212"/>
      <c r="AQ22" s="311"/>
      <c r="AR22" s="311"/>
      <c r="AS22" s="311"/>
      <c r="AT22" s="311"/>
      <c r="AU22" s="311"/>
      <c r="AV22" s="311"/>
      <c r="AW22" s="203"/>
      <c r="AX22" s="311"/>
      <c r="AY22" s="311"/>
      <c r="AZ22" s="313"/>
    </row>
    <row r="23" spans="1:52" ht="20.100000000000001" customHeight="1" x14ac:dyDescent="0.2">
      <c r="A23" s="305">
        <f t="shared" ref="A23" si="1">A21+1</f>
        <v>4</v>
      </c>
      <c r="B23" s="228" t="s">
        <v>112</v>
      </c>
      <c r="C23" s="279">
        <v>1786</v>
      </c>
      <c r="D23" s="279" t="s">
        <v>65</v>
      </c>
      <c r="E23" s="191" t="s">
        <v>52</v>
      </c>
      <c r="F23" s="191" t="s">
        <v>52</v>
      </c>
      <c r="G23" s="191" t="s">
        <v>52</v>
      </c>
      <c r="H23" s="191" t="s">
        <v>52</v>
      </c>
      <c r="I23" s="191" t="s">
        <v>52</v>
      </c>
      <c r="J23" s="191" t="s">
        <v>52</v>
      </c>
      <c r="K23" s="191" t="s">
        <v>52</v>
      </c>
      <c r="L23" s="191" t="s">
        <v>52</v>
      </c>
      <c r="M23" s="191" t="s">
        <v>52</v>
      </c>
      <c r="N23" s="191" t="s">
        <v>52</v>
      </c>
      <c r="O23" s="191" t="s">
        <v>52</v>
      </c>
      <c r="P23" s="191" t="s">
        <v>52</v>
      </c>
      <c r="Q23" s="191" t="s">
        <v>52</v>
      </c>
      <c r="R23" s="191" t="s">
        <v>52</v>
      </c>
      <c r="S23" s="191" t="s">
        <v>52</v>
      </c>
      <c r="T23" s="191" t="s">
        <v>52</v>
      </c>
      <c r="U23" s="191" t="s">
        <v>52</v>
      </c>
      <c r="V23" s="191" t="s">
        <v>52</v>
      </c>
      <c r="W23" s="191" t="s">
        <v>52</v>
      </c>
      <c r="X23" s="191" t="s">
        <v>52</v>
      </c>
      <c r="Y23" s="191" t="s">
        <v>52</v>
      </c>
      <c r="Z23" s="191" t="s">
        <v>52</v>
      </c>
      <c r="AA23" s="191" t="s">
        <v>52</v>
      </c>
      <c r="AB23" s="191" t="s">
        <v>52</v>
      </c>
      <c r="AC23" s="191" t="s">
        <v>52</v>
      </c>
      <c r="AD23" s="191" t="s">
        <v>52</v>
      </c>
      <c r="AE23" s="191" t="s">
        <v>52</v>
      </c>
      <c r="AF23" s="191" t="s">
        <v>52</v>
      </c>
      <c r="AG23" s="191" t="s">
        <v>52</v>
      </c>
      <c r="AH23" s="191" t="s">
        <v>52</v>
      </c>
      <c r="AI23" s="191" t="s">
        <v>52</v>
      </c>
      <c r="AJ23" s="294">
        <f>IFERROR(COUNTIF(E23:AI23,"=Р")+COUNTIF(E23:AI23,"=Р1")+COUNTIF(E23:AI23,"=ВЧ")+COUNTIF(E23:AI23,"=РН")+COUNTIF(E23:AI23,"=Р2")+COUNTIF(E23:AI23,"=Р1/РВ")+COUNTIF(E23:AI23,"=Р2/РВ")+COUNTIF(E23:AI23,"=ВЧ/РВ")+COUNTIF(E23:AI23,"=РН/РВ"),0)</f>
        <v>0</v>
      </c>
      <c r="AK23" s="211">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0</v>
      </c>
      <c r="AL23" s="211">
        <f>IFERROR(SUMIF(E23:AI23,"=НУ",E24:AI24),0)</f>
        <v>0</v>
      </c>
      <c r="AM23" s="211">
        <f>IFERROR(SUMIF(E23:AI23,"=РН",E24:AI24)+SUMIF(E23:AI23,"=РН/РВ",E24:AI24)+SUMIFS(E24:AI24,E23:AI23,"=Р2",E24:AI24,"=8"),0)</f>
        <v>0</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0</v>
      </c>
      <c r="AO23" s="211">
        <f>IFERROR(SUMIF(E23:AI23,"=РВ",E24:AI24)+SUMIF(E23:AI23,"=ВЧ/РВ",E24:AI24)+SUMIF(E23:AI23,"=РН/РВ",E24:AI24)+SUMIF(E23:AI23,"=Р1/РВ",E24:AI24)+SUMIF(E23:AI23,"=ВЧ2/РВ",E24:AI24)+SUMIF(E23:AI23,"=Р2/РВ",E24:AI24),0)</f>
        <v>0</v>
      </c>
      <c r="AP23" s="211">
        <f>IFERROR(COUNTIF(E23:AI23,"=ВВ")+COUNTIF(E23:AI23,"=Р1/ВВ")+COUNTIF(E23:AI23,"=РН/ВВ")+COUNTIF(E23:AI23,"=ВЧ/ВВ"),0)</f>
        <v>0</v>
      </c>
      <c r="AQ23" s="211">
        <f>SUM(AR23:AZ23)</f>
        <v>167.99999999999997</v>
      </c>
      <c r="AR23" s="211">
        <f>IFERROR(SUMIF(E23:AI23,"=В",E24:AI24)+SUMIF(E23:AI23,"=Ч",E24:AI24)+SUMIF(E23:AI23,"=ВБ",E24:AI24),0)</f>
        <v>0</v>
      </c>
      <c r="AS23" s="211">
        <f>IFERROR(SUMIF(E23:AI23,"=Н",E24:AI24),0)</f>
        <v>0</v>
      </c>
      <c r="AT23" s="211">
        <f>IFERROR(SUMIF(E23:AI23,"=НА",E24:AI24),0)</f>
        <v>0</v>
      </c>
      <c r="AU23" s="211">
        <f>IFERROR(SUMIF(E23:AI23,"=ВП",E24:AI24),0)</f>
        <v>0</v>
      </c>
      <c r="AV23" s="211">
        <f>IFERROR(SUMIF(E23:AI23,"=ДД",E24:AI24),0)</f>
        <v>0</v>
      </c>
      <c r="AW23" s="202">
        <f>IFERROR(SUMIF(E23:AI23,"=ДО",E24:AI24),0)</f>
        <v>0</v>
      </c>
      <c r="AX23" s="211">
        <f>IFERROR(SUMIF(E23:AI23,"=ТН",E24:AI24),0)</f>
        <v>167.99999999999997</v>
      </c>
      <c r="AY23" s="211">
        <f>IFERROR(SUMIF(E23:AI23,"=ВД",E24:AI24),0)</f>
        <v>0</v>
      </c>
      <c r="AZ23" s="312">
        <f>IFERROR(SUMIF(E23:AI23,"=ІН",E24:AI24),0)+SUMIF(E23:AI23,"=НЗ",E24:AI24)</f>
        <v>0</v>
      </c>
    </row>
    <row r="24" spans="1:52" ht="20.100000000000001" customHeight="1" thickBot="1" x14ac:dyDescent="0.25">
      <c r="A24" s="306"/>
      <c r="B24" s="229"/>
      <c r="C24" s="280"/>
      <c r="D24" s="280"/>
      <c r="E24" s="192"/>
      <c r="F24" s="192"/>
      <c r="G24" s="192">
        <v>8.1999999999999993</v>
      </c>
      <c r="H24" s="192">
        <v>8.1999999999999993</v>
      </c>
      <c r="I24" s="192">
        <v>8.1999999999999993</v>
      </c>
      <c r="J24" s="192">
        <v>8.1999999999999993</v>
      </c>
      <c r="K24" s="192">
        <v>7</v>
      </c>
      <c r="L24" s="192"/>
      <c r="M24" s="192"/>
      <c r="N24" s="192">
        <v>8.1999999999999993</v>
      </c>
      <c r="O24" s="192">
        <v>8.1999999999999993</v>
      </c>
      <c r="P24" s="192">
        <v>8.1999999999999993</v>
      </c>
      <c r="Q24" s="192">
        <v>8.1999999999999993</v>
      </c>
      <c r="R24" s="192">
        <v>7.2</v>
      </c>
      <c r="S24" s="192"/>
      <c r="T24" s="192"/>
      <c r="U24" s="192">
        <v>8.1999999999999993</v>
      </c>
      <c r="V24" s="192">
        <v>8.1999999999999993</v>
      </c>
      <c r="W24" s="192">
        <v>8.1999999999999993</v>
      </c>
      <c r="X24" s="192">
        <v>8.1999999999999993</v>
      </c>
      <c r="Y24" s="192">
        <v>7.2</v>
      </c>
      <c r="Z24" s="192"/>
      <c r="AA24" s="192"/>
      <c r="AB24" s="192">
        <v>8.1999999999999993</v>
      </c>
      <c r="AC24" s="192">
        <v>8.1999999999999993</v>
      </c>
      <c r="AD24" s="192">
        <v>8.1999999999999993</v>
      </c>
      <c r="AE24" s="192">
        <v>8.1999999999999993</v>
      </c>
      <c r="AF24" s="192">
        <v>7.2</v>
      </c>
      <c r="AG24" s="192"/>
      <c r="AH24" s="192"/>
      <c r="AI24" s="192">
        <v>8.1999999999999993</v>
      </c>
      <c r="AJ24" s="314"/>
      <c r="AK24" s="212"/>
      <c r="AL24" s="212"/>
      <c r="AM24" s="212"/>
      <c r="AN24" s="212"/>
      <c r="AO24" s="212"/>
      <c r="AP24" s="212"/>
      <c r="AQ24" s="311"/>
      <c r="AR24" s="311"/>
      <c r="AS24" s="311"/>
      <c r="AT24" s="311"/>
      <c r="AU24" s="311"/>
      <c r="AV24" s="311"/>
      <c r="AW24" s="203"/>
      <c r="AX24" s="311"/>
      <c r="AY24" s="311"/>
      <c r="AZ24" s="313"/>
    </row>
    <row r="25" spans="1:52" ht="20.100000000000001" customHeight="1" x14ac:dyDescent="0.2">
      <c r="A25" s="305">
        <f t="shared" ref="A25" si="2">A23+1</f>
        <v>5</v>
      </c>
      <c r="B25" s="228" t="s">
        <v>110</v>
      </c>
      <c r="C25" s="279">
        <v>1902</v>
      </c>
      <c r="D25" s="279" t="s">
        <v>65</v>
      </c>
      <c r="E25" s="191" t="s">
        <v>142</v>
      </c>
      <c r="F25" s="191" t="s">
        <v>142</v>
      </c>
      <c r="G25" s="191" t="s">
        <v>4</v>
      </c>
      <c r="H25" s="191" t="s">
        <v>4</v>
      </c>
      <c r="I25" s="191" t="s">
        <v>4</v>
      </c>
      <c r="J25" s="191" t="s">
        <v>4</v>
      </c>
      <c r="K25" s="191" t="s">
        <v>4</v>
      </c>
      <c r="L25" s="191" t="s">
        <v>142</v>
      </c>
      <c r="M25" s="191" t="s">
        <v>142</v>
      </c>
      <c r="N25" s="191" t="s">
        <v>4</v>
      </c>
      <c r="O25" s="191" t="s">
        <v>4</v>
      </c>
      <c r="P25" s="191" t="s">
        <v>4</v>
      </c>
      <c r="Q25" s="191" t="s">
        <v>4</v>
      </c>
      <c r="R25" s="191" t="s">
        <v>4</v>
      </c>
      <c r="S25" s="191" t="s">
        <v>142</v>
      </c>
      <c r="T25" s="191" t="s">
        <v>142</v>
      </c>
      <c r="U25" s="191" t="s">
        <v>4</v>
      </c>
      <c r="V25" s="191" t="s">
        <v>4</v>
      </c>
      <c r="W25" s="191" t="s">
        <v>4</v>
      </c>
      <c r="X25" s="191" t="s">
        <v>4</v>
      </c>
      <c r="Y25" s="191" t="s">
        <v>4</v>
      </c>
      <c r="Z25" s="191" t="s">
        <v>142</v>
      </c>
      <c r="AA25" s="191" t="s">
        <v>142</v>
      </c>
      <c r="AB25" s="191" t="s">
        <v>4</v>
      </c>
      <c r="AC25" s="191" t="s">
        <v>4</v>
      </c>
      <c r="AD25" s="191" t="s">
        <v>4</v>
      </c>
      <c r="AE25" s="191" t="s">
        <v>4</v>
      </c>
      <c r="AF25" s="191" t="s">
        <v>4</v>
      </c>
      <c r="AG25" s="191" t="s">
        <v>142</v>
      </c>
      <c r="AH25" s="191" t="s">
        <v>142</v>
      </c>
      <c r="AI25" s="191" t="s">
        <v>4</v>
      </c>
      <c r="AJ25" s="294">
        <f>IFERROR(COUNTIF(E25:AI25,"=Р")+COUNTIF(E25:AI25,"=Р1")+COUNTIF(E25:AI25,"=ВЧ")+COUNTIF(E25:AI25,"=РН")+COUNTIF(E25:AI25,"=Р2")+COUNTIF(E25:AI25,"=Р1/РВ")+COUNTIF(E25:AI25,"=Р2/РВ")+COUNTIF(E25:AI25,"=ВЧ/РВ")+COUNTIF(E25:AI25,"=РН/РВ"),0)</f>
        <v>21</v>
      </c>
      <c r="AK25" s="211">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167.99999999999997</v>
      </c>
      <c r="AL25" s="211">
        <f>IFERROR(SUMIF(E25:AI25,"=НУ",E26:AI26),0)</f>
        <v>0</v>
      </c>
      <c r="AM25" s="211">
        <f>IFERROR(SUMIF(E25:AI25,"=РН",E26:AI26)+SUMIF(E25:AI25,"=РН/РВ",E26:AI26)+SUMIFS(E26:AI26,E25:AI25,"=Р2",E26:AI26,"=8"),0)</f>
        <v>0</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0</v>
      </c>
      <c r="AO25" s="211">
        <f>IFERROR(SUMIF(E25:AI25,"=РВ",E26:AI26)+SUMIF(E25:AI25,"=ВЧ/РВ",E26:AI26)+SUMIF(E25:AI25,"=РН/РВ",E26:AI26)+SUMIF(E25:AI25,"=Р1/РВ",E26:AI26)+SUMIF(E25:AI25,"=ВЧ2/РВ",E26:AI26)+SUMIF(E25:AI25,"=Р2/РВ",E26:AI26),0)</f>
        <v>0</v>
      </c>
      <c r="AP25" s="211">
        <f>IFERROR(COUNTIF(E25:AI25,"=ВВ")+COUNTIF(E25:AI25,"=Р1/ВВ")+COUNTIF(E25:AI25,"=РН/ВВ")+COUNTIF(E25:AI25,"=ВЧ/ВВ"),0)</f>
        <v>10</v>
      </c>
      <c r="AQ25" s="211">
        <f>SUM(AR25:AZ25)</f>
        <v>0</v>
      </c>
      <c r="AR25" s="211">
        <f>IFERROR(SUMIF(E25:AI25,"=В",E26:AI26)+SUMIF(E25:AI25,"=Ч",E26:AI26)+SUMIF(E25:AI25,"=ВБ",E26:AI26),0)</f>
        <v>0</v>
      </c>
      <c r="AS25" s="211">
        <f>IFERROR(SUMIF(E25:AI25,"=Н",E26:AI26),0)</f>
        <v>0</v>
      </c>
      <c r="AT25" s="211">
        <f>IFERROR(SUMIF(E25:AI25,"=НА",E26:AI26),0)</f>
        <v>0</v>
      </c>
      <c r="AU25" s="211">
        <f>IFERROR(SUMIF(E25:AI25,"=ВП",E26:AI26),0)</f>
        <v>0</v>
      </c>
      <c r="AV25" s="211">
        <f>IFERROR(SUMIF(E25:AI25,"=ДД",E26:AI26),0)</f>
        <v>0</v>
      </c>
      <c r="AW25" s="202">
        <f>IFERROR(SUMIF(E25:AI25,"=ДО",E26:AI26),0)</f>
        <v>0</v>
      </c>
      <c r="AX25" s="211">
        <f>IFERROR(SUMIF(E25:AI25,"=ТН",E26:AI26),0)</f>
        <v>0</v>
      </c>
      <c r="AY25" s="211">
        <f>IFERROR(SUMIF(E25:AI25,"=ВД",E26:AI26),0)</f>
        <v>0</v>
      </c>
      <c r="AZ25" s="312">
        <f>IFERROR(SUMIF(E25:AI25,"=ІН",E26:AI26),0)+SUMIF(E25:AI25,"=НЗ",E26:AI26)</f>
        <v>0</v>
      </c>
    </row>
    <row r="26" spans="1:52" ht="20.100000000000001" customHeight="1" thickBot="1" x14ac:dyDescent="0.25">
      <c r="A26" s="306"/>
      <c r="B26" s="229"/>
      <c r="C26" s="280"/>
      <c r="D26" s="280"/>
      <c r="E26" s="192"/>
      <c r="F26" s="192"/>
      <c r="G26" s="192">
        <v>8.1999999999999993</v>
      </c>
      <c r="H26" s="192">
        <v>8.1999999999999993</v>
      </c>
      <c r="I26" s="192">
        <v>8.1999999999999993</v>
      </c>
      <c r="J26" s="192">
        <v>8.1999999999999993</v>
      </c>
      <c r="K26" s="192">
        <v>7</v>
      </c>
      <c r="L26" s="192"/>
      <c r="M26" s="192"/>
      <c r="N26" s="192">
        <v>8.1999999999999993</v>
      </c>
      <c r="O26" s="192">
        <v>8.1999999999999993</v>
      </c>
      <c r="P26" s="192">
        <v>8.1999999999999993</v>
      </c>
      <c r="Q26" s="192">
        <v>8.1999999999999993</v>
      </c>
      <c r="R26" s="192">
        <v>7.2</v>
      </c>
      <c r="S26" s="192"/>
      <c r="T26" s="192"/>
      <c r="U26" s="192">
        <v>8.1999999999999993</v>
      </c>
      <c r="V26" s="192">
        <v>8.1999999999999993</v>
      </c>
      <c r="W26" s="192">
        <v>8.1999999999999993</v>
      </c>
      <c r="X26" s="192">
        <v>8.1999999999999993</v>
      </c>
      <c r="Y26" s="192">
        <v>7.2</v>
      </c>
      <c r="Z26" s="192"/>
      <c r="AA26" s="192"/>
      <c r="AB26" s="192">
        <v>8.1999999999999993</v>
      </c>
      <c r="AC26" s="192">
        <v>8.1999999999999993</v>
      </c>
      <c r="AD26" s="192">
        <v>8.1999999999999993</v>
      </c>
      <c r="AE26" s="192">
        <v>8.1999999999999993</v>
      </c>
      <c r="AF26" s="192">
        <v>7.2</v>
      </c>
      <c r="AG26" s="192"/>
      <c r="AH26" s="192"/>
      <c r="AI26" s="192">
        <v>8.1999999999999993</v>
      </c>
      <c r="AJ26" s="314"/>
      <c r="AK26" s="212"/>
      <c r="AL26" s="212"/>
      <c r="AM26" s="212"/>
      <c r="AN26" s="212"/>
      <c r="AO26" s="212"/>
      <c r="AP26" s="212"/>
      <c r="AQ26" s="311"/>
      <c r="AR26" s="311"/>
      <c r="AS26" s="311"/>
      <c r="AT26" s="311"/>
      <c r="AU26" s="311"/>
      <c r="AV26" s="311"/>
      <c r="AW26" s="203"/>
      <c r="AX26" s="311"/>
      <c r="AY26" s="311"/>
      <c r="AZ26" s="313"/>
    </row>
    <row r="27" spans="1:52" ht="20.100000000000001" customHeight="1" x14ac:dyDescent="0.2">
      <c r="A27" s="305">
        <f t="shared" ref="A27:A31" si="3">A25+1</f>
        <v>6</v>
      </c>
      <c r="B27" s="228" t="s">
        <v>114</v>
      </c>
      <c r="C27" s="279">
        <v>1992</v>
      </c>
      <c r="D27" s="279" t="s">
        <v>65</v>
      </c>
      <c r="E27" s="191" t="s">
        <v>142</v>
      </c>
      <c r="F27" s="191" t="s">
        <v>142</v>
      </c>
      <c r="G27" s="191" t="s">
        <v>4</v>
      </c>
      <c r="H27" s="191" t="s">
        <v>4</v>
      </c>
      <c r="I27" s="191" t="s">
        <v>4</v>
      </c>
      <c r="J27" s="191" t="s">
        <v>4</v>
      </c>
      <c r="K27" s="191" t="s">
        <v>4</v>
      </c>
      <c r="L27" s="191" t="s">
        <v>142</v>
      </c>
      <c r="M27" s="191" t="s">
        <v>142</v>
      </c>
      <c r="N27" s="191" t="s">
        <v>4</v>
      </c>
      <c r="O27" s="191" t="s">
        <v>4</v>
      </c>
      <c r="P27" s="191" t="s">
        <v>4</v>
      </c>
      <c r="Q27" s="191" t="s">
        <v>4</v>
      </c>
      <c r="R27" s="191" t="s">
        <v>4</v>
      </c>
      <c r="S27" s="191" t="s">
        <v>142</v>
      </c>
      <c r="T27" s="191" t="s">
        <v>142</v>
      </c>
      <c r="U27" s="191" t="s">
        <v>4</v>
      </c>
      <c r="V27" s="191" t="s">
        <v>4</v>
      </c>
      <c r="W27" s="191" t="s">
        <v>4</v>
      </c>
      <c r="X27" s="191" t="s">
        <v>4</v>
      </c>
      <c r="Y27" s="191" t="s">
        <v>4</v>
      </c>
      <c r="Z27" s="191" t="s">
        <v>142</v>
      </c>
      <c r="AA27" s="191" t="s">
        <v>142</v>
      </c>
      <c r="AB27" s="191" t="s">
        <v>4</v>
      </c>
      <c r="AC27" s="191" t="s">
        <v>4</v>
      </c>
      <c r="AD27" s="191" t="s">
        <v>4</v>
      </c>
      <c r="AE27" s="191" t="s">
        <v>4</v>
      </c>
      <c r="AF27" s="191" t="s">
        <v>4</v>
      </c>
      <c r="AG27" s="191" t="s">
        <v>142</v>
      </c>
      <c r="AH27" s="191" t="s">
        <v>142</v>
      </c>
      <c r="AI27" s="191" t="s">
        <v>4</v>
      </c>
      <c r="AJ27" s="294">
        <f>IFERROR(COUNTIF(E27:AI27,"=Р")+COUNTIF(E27:AI27,"=Р1")+COUNTIF(E27:AI27,"=ВЧ")+COUNTIF(E27:AI27,"=РН")+COUNTIF(E27:AI27,"=Р2")+COUNTIF(E27:AI27,"=Р1/РВ")+COUNTIF(E27:AI27,"=Р2/РВ")+COUNTIF(E27:AI27,"=ВЧ/РВ")+COUNTIF(E27:AI27,"=РН/РВ"),0)</f>
        <v>21</v>
      </c>
      <c r="AK27" s="211">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167.99999999999997</v>
      </c>
      <c r="AL27" s="211">
        <f>IFERROR(SUMIF(E27:AI27,"=НУ",E28:AI28),0)</f>
        <v>0</v>
      </c>
      <c r="AM27" s="211">
        <f>IFERROR(SUMIF(E27:AI27,"=РН",E28:AI28)+SUMIF(E27:AI27,"=РН/РВ",E28:AI28)+SUMIFS(E28:AI28,E27:AI27,"=Р2",E28:AI28,"=8"),0)</f>
        <v>0</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0</v>
      </c>
      <c r="AO27" s="211">
        <f>IFERROR(SUMIF(E27:AI27,"=РВ",E28:AI28)+SUMIF(E27:AI27,"=ВЧ/РВ",E28:AI28)+SUMIF(E27:AI27,"=РН/РВ",E28:AI28)+SUMIF(E27:AI27,"=Р1/РВ",E28:AI28)+SUMIF(E27:AI27,"=ВЧ2/РВ",E28:AI28)+SUMIF(E27:AI27,"=Р2/РВ",E28:AI28),0)</f>
        <v>0</v>
      </c>
      <c r="AP27" s="211">
        <f>IFERROR(COUNTIF(E27:AI27,"=ВВ")+COUNTIF(E27:AI27,"=Р1/ВВ")+COUNTIF(E27:AI27,"=РН/ВВ")+COUNTIF(E27:AI27,"=ВЧ/ВВ"),0)</f>
        <v>10</v>
      </c>
      <c r="AQ27" s="211">
        <f>SUM(AR27:AZ27)</f>
        <v>0</v>
      </c>
      <c r="AR27" s="211">
        <f>IFERROR(SUMIF(E27:AI27,"=В",E28:AI28)+SUMIF(E27:AI27,"=Ч",E28:AI28)+SUMIF(E27:AI27,"=ВБ",E28:AI28),0)</f>
        <v>0</v>
      </c>
      <c r="AS27" s="211">
        <f>IFERROR(SUMIF(E27:AI27,"=Н",E28:AI28),0)</f>
        <v>0</v>
      </c>
      <c r="AT27" s="211">
        <f>IFERROR(SUMIF(E27:AI27,"=НА",E28:AI28),0)</f>
        <v>0</v>
      </c>
      <c r="AU27" s="211">
        <f>IFERROR(SUMIF(E27:AI27,"=ВП",E28:AI28),0)</f>
        <v>0</v>
      </c>
      <c r="AV27" s="211">
        <f>IFERROR(SUMIF(E27:AI27,"=ДД",E28:AI28),0)</f>
        <v>0</v>
      </c>
      <c r="AW27" s="202">
        <f>IFERROR(SUMIF(E27:AI27,"=ДО",E28:AI28),0)</f>
        <v>0</v>
      </c>
      <c r="AX27" s="211">
        <f>IFERROR(SUMIF(E27:AI27,"=ТН",E28:AI28),0)</f>
        <v>0</v>
      </c>
      <c r="AY27" s="211">
        <f>IFERROR(SUMIF(E27:AI27,"=ВД",E28:AI28),0)</f>
        <v>0</v>
      </c>
      <c r="AZ27" s="312">
        <f>IFERROR(SUMIF(E27:AI27,"=ІН",E28:AI28),0)+SUMIF(E27:AI27,"=НЗ",E28:AI28)</f>
        <v>0</v>
      </c>
    </row>
    <row r="28" spans="1:52" ht="20.100000000000001" customHeight="1" thickBot="1" x14ac:dyDescent="0.25">
      <c r="A28" s="306"/>
      <c r="B28" s="229"/>
      <c r="C28" s="280"/>
      <c r="D28" s="280"/>
      <c r="E28" s="192"/>
      <c r="F28" s="192"/>
      <c r="G28" s="192">
        <v>8.1999999999999993</v>
      </c>
      <c r="H28" s="192">
        <v>8.1999999999999993</v>
      </c>
      <c r="I28" s="192">
        <v>8.1999999999999993</v>
      </c>
      <c r="J28" s="192">
        <v>8.1999999999999993</v>
      </c>
      <c r="K28" s="192">
        <v>7</v>
      </c>
      <c r="L28" s="192"/>
      <c r="M28" s="192"/>
      <c r="N28" s="192">
        <v>8.1999999999999993</v>
      </c>
      <c r="O28" s="192">
        <v>8.1999999999999993</v>
      </c>
      <c r="P28" s="192">
        <v>8.1999999999999993</v>
      </c>
      <c r="Q28" s="192">
        <v>8.1999999999999993</v>
      </c>
      <c r="R28" s="192">
        <v>7.2</v>
      </c>
      <c r="S28" s="192"/>
      <c r="T28" s="192"/>
      <c r="U28" s="192">
        <v>8.1999999999999993</v>
      </c>
      <c r="V28" s="192">
        <v>8.1999999999999993</v>
      </c>
      <c r="W28" s="192">
        <v>8.1999999999999993</v>
      </c>
      <c r="X28" s="192">
        <v>8.1999999999999993</v>
      </c>
      <c r="Y28" s="192">
        <v>7.2</v>
      </c>
      <c r="Z28" s="192"/>
      <c r="AA28" s="192"/>
      <c r="AB28" s="192">
        <v>8.1999999999999993</v>
      </c>
      <c r="AC28" s="192">
        <v>8.1999999999999993</v>
      </c>
      <c r="AD28" s="192">
        <v>8.1999999999999993</v>
      </c>
      <c r="AE28" s="192">
        <v>8.1999999999999993</v>
      </c>
      <c r="AF28" s="192">
        <v>7.2</v>
      </c>
      <c r="AG28" s="192"/>
      <c r="AH28" s="192"/>
      <c r="AI28" s="192">
        <v>8.1999999999999993</v>
      </c>
      <c r="AJ28" s="314"/>
      <c r="AK28" s="212"/>
      <c r="AL28" s="212"/>
      <c r="AM28" s="212"/>
      <c r="AN28" s="212"/>
      <c r="AO28" s="212"/>
      <c r="AP28" s="212"/>
      <c r="AQ28" s="311"/>
      <c r="AR28" s="311"/>
      <c r="AS28" s="311"/>
      <c r="AT28" s="311"/>
      <c r="AU28" s="311"/>
      <c r="AV28" s="311"/>
      <c r="AW28" s="203"/>
      <c r="AX28" s="311"/>
      <c r="AY28" s="311"/>
      <c r="AZ28" s="313"/>
    </row>
    <row r="29" spans="1:52" s="184" customFormat="1" ht="20.100000000000001" customHeight="1" x14ac:dyDescent="0.2">
      <c r="A29" s="305">
        <f t="shared" si="3"/>
        <v>7</v>
      </c>
      <c r="B29" s="228" t="s">
        <v>462</v>
      </c>
      <c r="C29" s="279">
        <v>1299</v>
      </c>
      <c r="D29" s="279" t="s">
        <v>65</v>
      </c>
      <c r="E29" s="191" t="s">
        <v>142</v>
      </c>
      <c r="F29" s="191" t="s">
        <v>142</v>
      </c>
      <c r="G29" s="191" t="s">
        <v>4</v>
      </c>
      <c r="H29" s="191" t="s">
        <v>4</v>
      </c>
      <c r="I29" s="191" t="s">
        <v>4</v>
      </c>
      <c r="J29" s="191" t="s">
        <v>4</v>
      </c>
      <c r="K29" s="191" t="s">
        <v>4</v>
      </c>
      <c r="L29" s="191" t="s">
        <v>47</v>
      </c>
      <c r="M29" s="191" t="s">
        <v>142</v>
      </c>
      <c r="N29" s="191" t="s">
        <v>4</v>
      </c>
      <c r="O29" s="191" t="s">
        <v>4</v>
      </c>
      <c r="P29" s="191" t="s">
        <v>4</v>
      </c>
      <c r="Q29" s="191" t="s">
        <v>4</v>
      </c>
      <c r="R29" s="191" t="s">
        <v>4</v>
      </c>
      <c r="S29" s="191" t="s">
        <v>142</v>
      </c>
      <c r="T29" s="191" t="s">
        <v>142</v>
      </c>
      <c r="U29" s="191" t="s">
        <v>4</v>
      </c>
      <c r="V29" s="191" t="s">
        <v>4</v>
      </c>
      <c r="W29" s="191" t="s">
        <v>4</v>
      </c>
      <c r="X29" s="191" t="s">
        <v>4</v>
      </c>
      <c r="Y29" s="191" t="s">
        <v>4</v>
      </c>
      <c r="Z29" s="191" t="s">
        <v>142</v>
      </c>
      <c r="AA29" s="191" t="s">
        <v>142</v>
      </c>
      <c r="AB29" s="191" t="s">
        <v>4</v>
      </c>
      <c r="AC29" s="191" t="s">
        <v>4</v>
      </c>
      <c r="AD29" s="191" t="s">
        <v>4</v>
      </c>
      <c r="AE29" s="191" t="s">
        <v>4</v>
      </c>
      <c r="AF29" s="191" t="s">
        <v>4</v>
      </c>
      <c r="AG29" s="191" t="s">
        <v>142</v>
      </c>
      <c r="AH29" s="191" t="s">
        <v>142</v>
      </c>
      <c r="AI29" s="191" t="s">
        <v>4</v>
      </c>
      <c r="AJ29" s="294">
        <f>IFERROR(COUNTIF(E29:AI29,"=Р")+COUNTIF(E29:AI29,"=Р1")+COUNTIF(E29:AI29,"=ВЧ")+COUNTIF(E29:AI29,"=РН")+COUNTIF(E29:AI29,"=Р2")+COUNTIF(E29:AI29,"=Р1/РВ")+COUNTIF(E29:AI29,"=Р2/РВ")+COUNTIF(E29:AI29,"=ВЧ/РВ")+COUNTIF(E29:AI29,"=РН/РВ"),0)</f>
        <v>21</v>
      </c>
      <c r="AK29" s="211">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167.99999999999997</v>
      </c>
      <c r="AL29" s="211">
        <f>IFERROR(SUMIF(E29:AI29,"=НУ",E30:AI30),0)</f>
        <v>0</v>
      </c>
      <c r="AM29" s="211">
        <f>IFERROR(SUMIF(E29:AI29,"=РН",E30:AI30)+SUMIF(E29:AI29,"=РН/РВ",E30:AI30)+SUMIFS(E30:AI30,E29:AI29,"=Р2",E30:AI30,"=8"),0)</f>
        <v>0</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0</v>
      </c>
      <c r="AO29" s="211">
        <f>IFERROR(SUMIF(E29:AI29,"=РВ",E30:AI30)+SUMIF(E29:AI29,"=ВЧ/РВ",E30:AI30)+SUMIF(E29:AI29,"=РН/РВ",E30:AI30)+SUMIF(E29:AI29,"=Р1/РВ",E30:AI30)+SUMIF(E29:AI29,"=ВЧ2/РВ",E30:AI30)+SUMIF(E29:AI29,"=Р2/РВ",E30:AI30),0)</f>
        <v>4.5</v>
      </c>
      <c r="AP29" s="211">
        <f>IFERROR(COUNTIF(E29:AI29,"=ВВ")+COUNTIF(E29:AI29,"=Р1/ВВ")+COUNTIF(E29:AI29,"=РН/ВВ")+COUNTIF(E29:AI29,"=ВЧ/ВВ"),0)</f>
        <v>9</v>
      </c>
      <c r="AQ29" s="211">
        <f>SUM(AR29:AZ29)</f>
        <v>0</v>
      </c>
      <c r="AR29" s="211">
        <f>IFERROR(SUMIF(E29:AI29,"=В",E30:AI30)+SUMIF(E29:AI29,"=Ч",E30:AI30)+SUMIF(E29:AI29,"=ВБ",E30:AI30),0)</f>
        <v>0</v>
      </c>
      <c r="AS29" s="211">
        <f>IFERROR(SUMIF(E29:AI29,"=Н",E30:AI30),0)</f>
        <v>0</v>
      </c>
      <c r="AT29" s="211">
        <f>IFERROR(SUMIF(E29:AI29,"=НА",E30:AI30),0)</f>
        <v>0</v>
      </c>
      <c r="AU29" s="211">
        <f>IFERROR(SUMIF(E29:AI29,"=ВП",E30:AI30),0)</f>
        <v>0</v>
      </c>
      <c r="AV29" s="211">
        <f>IFERROR(SUMIF(E29:AI29,"=ДД",E30:AI30),0)</f>
        <v>0</v>
      </c>
      <c r="AW29" s="202">
        <f>IFERROR(SUMIF(E29:AI29,"=ДО",E30:AI30),0)</f>
        <v>0</v>
      </c>
      <c r="AX29" s="211">
        <f>IFERROR(SUMIF(E29:AI29,"=ТН",E30:AI30),0)</f>
        <v>0</v>
      </c>
      <c r="AY29" s="211">
        <f>IFERROR(SUMIF(E29:AI29,"=ВД",E30:AI30),0)</f>
        <v>0</v>
      </c>
      <c r="AZ29" s="312">
        <f>IFERROR(SUMIF(E29:AI29,"=ІН",E30:AI30),0)+SUMIF(E29:AI29,"=НЗ",E30:AI30)</f>
        <v>0</v>
      </c>
    </row>
    <row r="30" spans="1:52" s="184" customFormat="1" ht="20.100000000000001" customHeight="1" thickBot="1" x14ac:dyDescent="0.25">
      <c r="A30" s="306"/>
      <c r="B30" s="229"/>
      <c r="C30" s="280"/>
      <c r="D30" s="280"/>
      <c r="E30" s="192"/>
      <c r="F30" s="192"/>
      <c r="G30" s="192">
        <v>8.1999999999999993</v>
      </c>
      <c r="H30" s="192">
        <v>8.1999999999999993</v>
      </c>
      <c r="I30" s="192">
        <v>8.1999999999999993</v>
      </c>
      <c r="J30" s="192">
        <v>8.1999999999999993</v>
      </c>
      <c r="K30" s="192">
        <v>7</v>
      </c>
      <c r="L30" s="192">
        <v>4.5</v>
      </c>
      <c r="M30" s="192"/>
      <c r="N30" s="192">
        <v>8.1999999999999993</v>
      </c>
      <c r="O30" s="192">
        <v>8.1999999999999993</v>
      </c>
      <c r="P30" s="192">
        <v>8.1999999999999993</v>
      </c>
      <c r="Q30" s="192">
        <v>8.1999999999999993</v>
      </c>
      <c r="R30" s="192">
        <v>7.2</v>
      </c>
      <c r="S30" s="192"/>
      <c r="T30" s="192"/>
      <c r="U30" s="192">
        <v>8.1999999999999993</v>
      </c>
      <c r="V30" s="192">
        <v>8.1999999999999993</v>
      </c>
      <c r="W30" s="192">
        <v>8.1999999999999993</v>
      </c>
      <c r="X30" s="192">
        <v>8.1999999999999993</v>
      </c>
      <c r="Y30" s="192">
        <v>7.2</v>
      </c>
      <c r="Z30" s="192"/>
      <c r="AA30" s="192"/>
      <c r="AB30" s="192">
        <v>8.1999999999999993</v>
      </c>
      <c r="AC30" s="192">
        <v>8.1999999999999993</v>
      </c>
      <c r="AD30" s="192">
        <v>8.1999999999999993</v>
      </c>
      <c r="AE30" s="192">
        <v>8.1999999999999993</v>
      </c>
      <c r="AF30" s="192">
        <v>7.2</v>
      </c>
      <c r="AG30" s="192"/>
      <c r="AH30" s="192"/>
      <c r="AI30" s="192">
        <v>8.1999999999999993</v>
      </c>
      <c r="AJ30" s="314"/>
      <c r="AK30" s="212"/>
      <c r="AL30" s="212"/>
      <c r="AM30" s="212"/>
      <c r="AN30" s="212"/>
      <c r="AO30" s="212"/>
      <c r="AP30" s="212"/>
      <c r="AQ30" s="311"/>
      <c r="AR30" s="311"/>
      <c r="AS30" s="311"/>
      <c r="AT30" s="311"/>
      <c r="AU30" s="311"/>
      <c r="AV30" s="311"/>
      <c r="AW30" s="203"/>
      <c r="AX30" s="311"/>
      <c r="AY30" s="311"/>
      <c r="AZ30" s="313"/>
    </row>
    <row r="31" spans="1:52" s="129" customFormat="1" ht="20.100000000000001" customHeight="1" x14ac:dyDescent="0.2">
      <c r="A31" s="305">
        <f t="shared" si="3"/>
        <v>8</v>
      </c>
      <c r="B31" s="228" t="s">
        <v>316</v>
      </c>
      <c r="C31" s="279">
        <v>2199</v>
      </c>
      <c r="D31" s="279" t="s">
        <v>65</v>
      </c>
      <c r="E31" s="191" t="s">
        <v>142</v>
      </c>
      <c r="F31" s="191" t="s">
        <v>142</v>
      </c>
      <c r="G31" s="191" t="s">
        <v>4</v>
      </c>
      <c r="H31" s="191" t="s">
        <v>4</v>
      </c>
      <c r="I31" s="191" t="s">
        <v>4</v>
      </c>
      <c r="J31" s="191" t="s">
        <v>4</v>
      </c>
      <c r="K31" s="191" t="s">
        <v>4</v>
      </c>
      <c r="L31" s="191" t="s">
        <v>47</v>
      </c>
      <c r="M31" s="191" t="s">
        <v>142</v>
      </c>
      <c r="N31" s="191" t="s">
        <v>4</v>
      </c>
      <c r="O31" s="191" t="s">
        <v>4</v>
      </c>
      <c r="P31" s="191" t="s">
        <v>4</v>
      </c>
      <c r="Q31" s="191" t="s">
        <v>4</v>
      </c>
      <c r="R31" s="191" t="s">
        <v>4</v>
      </c>
      <c r="S31" s="191" t="s">
        <v>142</v>
      </c>
      <c r="T31" s="191" t="s">
        <v>142</v>
      </c>
      <c r="U31" s="191" t="s">
        <v>4</v>
      </c>
      <c r="V31" s="191" t="s">
        <v>4</v>
      </c>
      <c r="W31" s="191" t="s">
        <v>4</v>
      </c>
      <c r="X31" s="191" t="s">
        <v>4</v>
      </c>
      <c r="Y31" s="191" t="s">
        <v>4</v>
      </c>
      <c r="Z31" s="191" t="s">
        <v>142</v>
      </c>
      <c r="AA31" s="191" t="s">
        <v>142</v>
      </c>
      <c r="AB31" s="191" t="s">
        <v>4</v>
      </c>
      <c r="AC31" s="191" t="s">
        <v>4</v>
      </c>
      <c r="AD31" s="191" t="s">
        <v>4</v>
      </c>
      <c r="AE31" s="191" t="s">
        <v>4</v>
      </c>
      <c r="AF31" s="191" t="s">
        <v>4</v>
      </c>
      <c r="AG31" s="191" t="s">
        <v>142</v>
      </c>
      <c r="AH31" s="191" t="s">
        <v>142</v>
      </c>
      <c r="AI31" s="191" t="s">
        <v>4</v>
      </c>
      <c r="AJ31" s="294">
        <f>IFERROR(COUNTIF(E31:AI31,"=Р")+COUNTIF(E31:AI31,"=Р1")+COUNTIF(E31:AI31,"=ВЧ")+COUNTIF(E31:AI31,"=РН")+COUNTIF(E31:AI31,"=Р2")+COUNTIF(E31:AI31,"=Р1/РВ")+COUNTIF(E31:AI31,"=Р2/РВ")+COUNTIF(E31:AI31,"=ВЧ/РВ")+COUNTIF(E31:AI31,"=РН/РВ"),0)</f>
        <v>21</v>
      </c>
      <c r="AK31" s="211">
        <f>IFERROR(SUMIF(E31:AI31,"=Р2",E32:AI32)+SUMIF(E31:AI31,"=ВЧ/РВ",E32:AI32)+SUMIF(E31:AI31,"=РН/РВ",E32:AI32)+SUMIF(E31:AI31,"=Р1/РВ",E32:AI32)+SUMIF(E31:AI31,"=ВЧ2/РВ",E32:AI32)+SUMIF(E31:AI31,"=Р2/РВ",E32:AI32)+SUMIF(E31:AI31,"=Р",E32:AI32)+SUMIF(E31:AI31,"=Р1",E32:AI32)+SUMIF(E31:AI31,"=ВЧ1",E32:AI32)+SUMIF(E31:AI31,"=РН",E32:AI32)+SUMIF(E31:AI31,"=ВЧ",E32:AI32),0)+AL31</f>
        <v>167.99999999999997</v>
      </c>
      <c r="AL31" s="211">
        <f>IFERROR(SUMIF(E31:AI31,"=НУ",E32:AI32),0)</f>
        <v>0</v>
      </c>
      <c r="AM31" s="211">
        <f>IFERROR(SUMIF(E31:AI31,"=РН",E32:AI32)+SUMIF(E31:AI31,"=РН/РВ",E32:AI32)+SUMIFS(E32:AI32,E31:AI31,"=Р2",E32:AI32,"=8"),0)</f>
        <v>0</v>
      </c>
      <c r="AN31" s="211">
        <f>IFERROR(SUMIF(E31:AI31,"=ВЧ",E32:AI32)+SUMIF(E31:AI31,"=ВЧ/РВ",E32:AI32)+CEILING(COUNTIFS(E31:AI31,"=Р2",E32:AI32,"=7")*4,1)+CEILING(COUNTIFS(E31:AI31,"=Р2/РВ",E32:AI32,"=7")*4,1)+SUMIFS(E32:AI32,E31:AI31,"=Р1/РВ",E32:AI32,"=12")/6+SUMIFS(E32:AI32,E31:AI31,"=ВЧ2/РВ",E32:AI32,"=4")/2+SUMIFS(E32:AI32,E31:AI31,"=Р1",E32:AI32,"=12")/6+SUMIFS(E32:AI32,E31:AI31,"=Р1",E32:AI32,"=8")/4+SUMIF(E31:AI31,"=ВЧ1",E32:AI32)/2,0)</f>
        <v>0</v>
      </c>
      <c r="AO31" s="211">
        <f>IFERROR(SUMIF(E31:AI31,"=РВ",E32:AI32)+SUMIF(E31:AI31,"=ВЧ/РВ",E32:AI32)+SUMIF(E31:AI31,"=РН/РВ",E32:AI32)+SUMIF(E31:AI31,"=Р1/РВ",E32:AI32)+SUMIF(E31:AI31,"=ВЧ2/РВ",E32:AI32)+SUMIF(E31:AI31,"=Р2/РВ",E32:AI32),0)</f>
        <v>4.5</v>
      </c>
      <c r="AP31" s="211">
        <f>IFERROR(COUNTIF(E31:AI31,"=ВВ")+COUNTIF(E31:AI31,"=Р1/ВВ")+COUNTIF(E31:AI31,"=РН/ВВ")+COUNTIF(E31:AI31,"=ВЧ/ВВ"),0)</f>
        <v>9</v>
      </c>
      <c r="AQ31" s="211">
        <f>SUM(AR31:AZ31)</f>
        <v>0</v>
      </c>
      <c r="AR31" s="211">
        <f>IFERROR(SUMIF(E31:AI31,"=В",E32:AI32)+SUMIF(E31:AI31,"=Ч",E32:AI32)+SUMIF(E31:AI31,"=ВБ",E32:AI32),0)</f>
        <v>0</v>
      </c>
      <c r="AS31" s="211">
        <f>IFERROR(SUMIF(E31:AI31,"=Н",E32:AI32),0)</f>
        <v>0</v>
      </c>
      <c r="AT31" s="211">
        <f>IFERROR(SUMIF(E31:AI31,"=НА",E32:AI32),0)</f>
        <v>0</v>
      </c>
      <c r="AU31" s="211">
        <f>IFERROR(SUMIF(E31:AI31,"=ВП",E32:AI32),0)</f>
        <v>0</v>
      </c>
      <c r="AV31" s="211">
        <f>IFERROR(SUMIF(E31:AI31,"=ДД",E32:AI32),0)</f>
        <v>0</v>
      </c>
      <c r="AW31" s="202">
        <f>IFERROR(SUMIF(E31:AI31,"=ДО",E32:AI32),0)</f>
        <v>0</v>
      </c>
      <c r="AX31" s="211">
        <f>IFERROR(SUMIF(E31:AI31,"=ТН",E32:AI32),0)</f>
        <v>0</v>
      </c>
      <c r="AY31" s="211">
        <f>IFERROR(SUMIF(E31:AI31,"=ВД",E32:AI32),0)</f>
        <v>0</v>
      </c>
      <c r="AZ31" s="312">
        <f>IFERROR(SUMIF(E31:AI31,"=ІН",E32:AI32),0)+SUMIF(E31:AI31,"=НЗ",E32:AI32)</f>
        <v>0</v>
      </c>
    </row>
    <row r="32" spans="1:52" s="129" customFormat="1" ht="20.100000000000001" customHeight="1" thickBot="1" x14ac:dyDescent="0.25">
      <c r="A32" s="306"/>
      <c r="B32" s="229"/>
      <c r="C32" s="280"/>
      <c r="D32" s="280"/>
      <c r="E32" s="192"/>
      <c r="F32" s="192"/>
      <c r="G32" s="192">
        <v>8.1999999999999993</v>
      </c>
      <c r="H32" s="192">
        <v>8.1999999999999993</v>
      </c>
      <c r="I32" s="192">
        <v>8.1999999999999993</v>
      </c>
      <c r="J32" s="192">
        <v>8.1999999999999993</v>
      </c>
      <c r="K32" s="192">
        <v>7</v>
      </c>
      <c r="L32" s="192">
        <v>4.5</v>
      </c>
      <c r="M32" s="192"/>
      <c r="N32" s="192">
        <v>8.1999999999999993</v>
      </c>
      <c r="O32" s="192">
        <v>8.1999999999999993</v>
      </c>
      <c r="P32" s="192">
        <v>8.1999999999999993</v>
      </c>
      <c r="Q32" s="192">
        <v>8.1999999999999993</v>
      </c>
      <c r="R32" s="192">
        <v>7.2</v>
      </c>
      <c r="S32" s="192"/>
      <c r="T32" s="192"/>
      <c r="U32" s="192">
        <v>8.1999999999999993</v>
      </c>
      <c r="V32" s="192">
        <v>8.1999999999999993</v>
      </c>
      <c r="W32" s="192">
        <v>8.1999999999999993</v>
      </c>
      <c r="X32" s="192">
        <v>8.1999999999999993</v>
      </c>
      <c r="Y32" s="192">
        <v>7.2</v>
      </c>
      <c r="Z32" s="192"/>
      <c r="AA32" s="192"/>
      <c r="AB32" s="192">
        <v>8.1999999999999993</v>
      </c>
      <c r="AC32" s="192">
        <v>8.1999999999999993</v>
      </c>
      <c r="AD32" s="192">
        <v>8.1999999999999993</v>
      </c>
      <c r="AE32" s="192">
        <v>8.1999999999999993</v>
      </c>
      <c r="AF32" s="192">
        <v>7.2</v>
      </c>
      <c r="AG32" s="192"/>
      <c r="AH32" s="192"/>
      <c r="AI32" s="192">
        <v>8.1999999999999993</v>
      </c>
      <c r="AJ32" s="314"/>
      <c r="AK32" s="212"/>
      <c r="AL32" s="212"/>
      <c r="AM32" s="212"/>
      <c r="AN32" s="212"/>
      <c r="AO32" s="212"/>
      <c r="AP32" s="212"/>
      <c r="AQ32" s="311"/>
      <c r="AR32" s="311"/>
      <c r="AS32" s="311"/>
      <c r="AT32" s="311"/>
      <c r="AU32" s="311"/>
      <c r="AV32" s="311"/>
      <c r="AW32" s="203"/>
      <c r="AX32" s="311"/>
      <c r="AY32" s="311"/>
      <c r="AZ32" s="313"/>
    </row>
    <row r="33" spans="1:52" ht="20.100000000000001" customHeight="1" x14ac:dyDescent="0.2">
      <c r="A33" s="310">
        <v>0</v>
      </c>
      <c r="B33" s="293" t="s">
        <v>74</v>
      </c>
      <c r="C33" s="284">
        <v>0</v>
      </c>
      <c r="D33" s="284">
        <v>0</v>
      </c>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320">
        <f t="shared" ref="AJ33:AZ33" si="4">SUM(AJ17:AJ32)</f>
        <v>126</v>
      </c>
      <c r="AK33" s="315">
        <f t="shared" si="4"/>
        <v>1007.9999999999999</v>
      </c>
      <c r="AL33" s="315">
        <f t="shared" si="4"/>
        <v>0</v>
      </c>
      <c r="AM33" s="315">
        <f t="shared" si="4"/>
        <v>0</v>
      </c>
      <c r="AN33" s="315">
        <f t="shared" si="4"/>
        <v>0</v>
      </c>
      <c r="AO33" s="315">
        <f t="shared" si="4"/>
        <v>13.5</v>
      </c>
      <c r="AP33" s="315">
        <f t="shared" si="4"/>
        <v>57</v>
      </c>
      <c r="AQ33" s="315">
        <f t="shared" si="4"/>
        <v>335.99999999999994</v>
      </c>
      <c r="AR33" s="315">
        <f t="shared" si="4"/>
        <v>0</v>
      </c>
      <c r="AS33" s="315">
        <f t="shared" si="4"/>
        <v>0</v>
      </c>
      <c r="AT33" s="315">
        <f t="shared" si="4"/>
        <v>0</v>
      </c>
      <c r="AU33" s="315">
        <f t="shared" si="4"/>
        <v>0</v>
      </c>
      <c r="AV33" s="315">
        <f t="shared" si="4"/>
        <v>0</v>
      </c>
      <c r="AW33" s="315">
        <f t="shared" si="4"/>
        <v>0</v>
      </c>
      <c r="AX33" s="315">
        <f t="shared" si="4"/>
        <v>167.99999999999997</v>
      </c>
      <c r="AY33" s="315">
        <f t="shared" si="4"/>
        <v>0</v>
      </c>
      <c r="AZ33" s="318">
        <f t="shared" si="4"/>
        <v>167.99999999999997</v>
      </c>
    </row>
    <row r="34" spans="1:52" ht="20.100000000000001" customHeight="1" thickBot="1" x14ac:dyDescent="0.25">
      <c r="A34" s="306"/>
      <c r="B34" s="229"/>
      <c r="C34" s="280"/>
      <c r="D34" s="280"/>
      <c r="E34" s="38">
        <v>0</v>
      </c>
      <c r="F34" s="38">
        <v>0</v>
      </c>
      <c r="G34" s="38">
        <v>0</v>
      </c>
      <c r="H34" s="38">
        <v>0</v>
      </c>
      <c r="I34" s="38">
        <v>0</v>
      </c>
      <c r="J34" s="38">
        <v>0</v>
      </c>
      <c r="K34" s="38">
        <v>0</v>
      </c>
      <c r="L34" s="38">
        <v>0</v>
      </c>
      <c r="M34" s="38">
        <v>0</v>
      </c>
      <c r="N34" s="38">
        <v>0</v>
      </c>
      <c r="O34" s="38">
        <v>0</v>
      </c>
      <c r="P34" s="38">
        <v>0</v>
      </c>
      <c r="Q34" s="38">
        <v>0</v>
      </c>
      <c r="R34" s="38">
        <v>0</v>
      </c>
      <c r="S34" s="38">
        <v>0</v>
      </c>
      <c r="T34" s="38"/>
      <c r="U34" s="38"/>
      <c r="V34" s="38"/>
      <c r="W34" s="38"/>
      <c r="X34" s="38"/>
      <c r="Y34" s="38"/>
      <c r="Z34" s="38"/>
      <c r="AA34" s="38"/>
      <c r="AB34" s="38"/>
      <c r="AC34" s="38"/>
      <c r="AD34" s="38"/>
      <c r="AE34" s="38"/>
      <c r="AF34" s="38"/>
      <c r="AG34" s="38"/>
      <c r="AH34" s="38"/>
      <c r="AI34" s="38"/>
      <c r="AJ34" s="321"/>
      <c r="AK34" s="316"/>
      <c r="AL34" s="316"/>
      <c r="AM34" s="316"/>
      <c r="AN34" s="316"/>
      <c r="AO34" s="316"/>
      <c r="AP34" s="316"/>
      <c r="AQ34" s="317"/>
      <c r="AR34" s="317"/>
      <c r="AS34" s="317"/>
      <c r="AT34" s="317"/>
      <c r="AU34" s="317"/>
      <c r="AV34" s="317"/>
      <c r="AW34" s="317"/>
      <c r="AX34" s="317"/>
      <c r="AY34" s="317"/>
      <c r="AZ34" s="319"/>
    </row>
    <row r="35" spans="1:52" ht="14.25" customHeight="1" x14ac:dyDescent="0.2">
      <c r="C35" s="20"/>
      <c r="D35" s="8"/>
      <c r="AJ35" s="26"/>
    </row>
    <row r="36" spans="1:52" ht="12.75" customHeight="1" x14ac:dyDescent="0.2">
      <c r="A36" s="226" t="s">
        <v>32</v>
      </c>
      <c r="B36" s="226"/>
      <c r="C36" s="226"/>
      <c r="D36" s="227" t="s">
        <v>81</v>
      </c>
      <c r="E36" s="227"/>
      <c r="F36" s="227"/>
      <c r="G36" s="227"/>
      <c r="H36" s="227"/>
      <c r="I36" s="227"/>
      <c r="J36" s="69"/>
      <c r="K36" s="224"/>
      <c r="L36" s="224"/>
      <c r="M36" s="224"/>
      <c r="N36" s="69"/>
      <c r="O36" s="225" t="s">
        <v>278</v>
      </c>
      <c r="P36" s="225"/>
      <c r="Q36" s="225"/>
      <c r="R36" s="225"/>
      <c r="S36" s="225"/>
      <c r="T36" s="9"/>
      <c r="U36" s="283">
        <v>45747</v>
      </c>
      <c r="V36" s="283"/>
      <c r="W36" s="283"/>
      <c r="X36" s="283"/>
      <c r="Y36" s="283"/>
      <c r="Z36" s="283"/>
      <c r="AA36" s="69"/>
      <c r="AB36" s="69"/>
      <c r="AC36" s="69"/>
      <c r="AD36" s="69"/>
      <c r="AE36" s="69"/>
      <c r="AF36" s="69"/>
      <c r="AG36" s="69"/>
      <c r="AH36" s="69"/>
      <c r="AI36" s="69"/>
      <c r="AJ36" s="69"/>
      <c r="AK36" s="69"/>
      <c r="AL36" s="69"/>
      <c r="AM36" s="69"/>
      <c r="AN36" s="69"/>
      <c r="AO36" s="69"/>
      <c r="AP36" s="69"/>
      <c r="AQ36" s="69"/>
      <c r="AR36" s="69"/>
      <c r="AS36" s="69"/>
      <c r="AT36" s="69"/>
    </row>
    <row r="37" spans="1:52" x14ac:dyDescent="0.15">
      <c r="A37" s="13"/>
      <c r="B37" s="16"/>
      <c r="D37" s="222" t="s">
        <v>34</v>
      </c>
      <c r="E37" s="222"/>
      <c r="F37" s="222"/>
      <c r="G37" s="222"/>
      <c r="H37" s="222"/>
      <c r="I37" s="222"/>
      <c r="J37" s="13"/>
      <c r="K37" s="222" t="s">
        <v>35</v>
      </c>
      <c r="L37" s="222"/>
      <c r="M37" s="222"/>
      <c r="N37" s="13"/>
      <c r="O37" s="222" t="s">
        <v>36</v>
      </c>
      <c r="P37" s="222"/>
      <c r="Q37" s="222"/>
      <c r="R37" s="222"/>
      <c r="S37" s="222"/>
      <c r="T37" s="13"/>
      <c r="U37" s="13"/>
      <c r="V37" s="31"/>
      <c r="W37" s="13"/>
      <c r="X37" s="17"/>
      <c r="Y37" s="17"/>
      <c r="Z37" s="17"/>
      <c r="AA37" s="13"/>
      <c r="AB37" s="13"/>
      <c r="AC37" s="13"/>
      <c r="AD37" s="13"/>
      <c r="AE37" s="13"/>
      <c r="AF37" s="13"/>
      <c r="AG37" s="13"/>
      <c r="AH37" s="13"/>
      <c r="AI37" s="13"/>
      <c r="AJ37" s="13"/>
      <c r="AK37" s="13"/>
      <c r="AL37" s="13"/>
      <c r="AM37" s="13"/>
      <c r="AN37" s="13"/>
      <c r="AO37" s="13"/>
      <c r="AP37" s="13"/>
      <c r="AQ37" s="13"/>
      <c r="AR37" s="13"/>
      <c r="AS37" s="13"/>
      <c r="AT37" s="13"/>
    </row>
    <row r="38" spans="1:52" ht="12.75" customHeight="1" x14ac:dyDescent="0.2">
      <c r="A38" s="32" t="s">
        <v>33</v>
      </c>
      <c r="B38" s="32"/>
      <c r="C38" s="69"/>
      <c r="D38" s="223" t="s">
        <v>277</v>
      </c>
      <c r="E38" s="223"/>
      <c r="F38" s="223"/>
      <c r="G38" s="223"/>
      <c r="H38" s="223"/>
      <c r="I38" s="223"/>
      <c r="J38" s="69"/>
      <c r="K38" s="224"/>
      <c r="L38" s="224"/>
      <c r="M38" s="224"/>
      <c r="N38" s="69"/>
      <c r="O38" s="225" t="s">
        <v>279</v>
      </c>
      <c r="P38" s="225"/>
      <c r="Q38" s="225"/>
      <c r="R38" s="225"/>
      <c r="S38" s="225"/>
      <c r="T38" s="9"/>
      <c r="U38" s="283">
        <f>U36</f>
        <v>45747</v>
      </c>
      <c r="V38" s="283"/>
      <c r="W38" s="283"/>
      <c r="X38" s="283"/>
      <c r="Y38" s="283"/>
      <c r="Z38" s="283"/>
      <c r="AA38" s="69"/>
      <c r="AB38" s="69"/>
      <c r="AC38" s="69"/>
      <c r="AD38" s="69"/>
      <c r="AE38" s="69"/>
      <c r="AF38" s="69"/>
      <c r="AG38" s="69"/>
      <c r="AH38" s="69"/>
      <c r="AI38" s="69"/>
      <c r="AJ38" s="69"/>
      <c r="AK38" s="69"/>
      <c r="AL38" s="69"/>
      <c r="AM38" s="69"/>
      <c r="AN38" s="69"/>
      <c r="AO38" s="69"/>
      <c r="AP38" s="69"/>
      <c r="AQ38" s="69"/>
      <c r="AR38" s="69"/>
      <c r="AS38" s="69"/>
      <c r="AT38" s="69"/>
    </row>
    <row r="39" spans="1:52" ht="24" customHeight="1" x14ac:dyDescent="0.2">
      <c r="A39" s="13"/>
      <c r="B39" s="13"/>
      <c r="D39" s="222" t="s">
        <v>34</v>
      </c>
      <c r="E39" s="222"/>
      <c r="F39" s="222"/>
      <c r="G39" s="222"/>
      <c r="H39" s="222"/>
      <c r="I39" s="222"/>
      <c r="J39" s="13"/>
      <c r="K39" s="222" t="s">
        <v>35</v>
      </c>
      <c r="L39" s="222"/>
      <c r="M39" s="222"/>
      <c r="N39" s="13"/>
      <c r="O39" s="222" t="s">
        <v>36</v>
      </c>
      <c r="P39" s="222"/>
      <c r="Q39" s="222"/>
      <c r="R39" s="222"/>
      <c r="S39" s="222"/>
      <c r="T39" s="17"/>
      <c r="U39" s="17"/>
      <c r="V39" s="13"/>
      <c r="W39" s="17"/>
      <c r="X39" s="17"/>
      <c r="Y39" s="17"/>
      <c r="Z39" s="69"/>
      <c r="AA39" s="69"/>
      <c r="AB39" s="69"/>
      <c r="AC39" s="69"/>
      <c r="AD39" s="69"/>
      <c r="AE39" s="69"/>
      <c r="AF39" s="69"/>
      <c r="AG39" s="69"/>
      <c r="AH39" s="69"/>
      <c r="AI39" s="69"/>
      <c r="AJ39" s="69"/>
      <c r="AK39" s="69"/>
      <c r="AL39" s="69"/>
      <c r="AM39" s="69"/>
      <c r="AN39" s="69"/>
      <c r="AO39" s="69"/>
      <c r="AP39" s="69"/>
      <c r="AQ39" s="69"/>
      <c r="AR39" s="69"/>
      <c r="AS39" s="69"/>
      <c r="AT39" s="69"/>
    </row>
    <row r="40" spans="1:52" x14ac:dyDescent="0.2">
      <c r="A40" s="69"/>
      <c r="B40" s="69"/>
      <c r="C40" s="33" t="s">
        <v>39</v>
      </c>
      <c r="D40" s="70"/>
      <c r="E40" s="70"/>
      <c r="F40" s="70"/>
      <c r="G40" s="70"/>
      <c r="H40" s="70"/>
      <c r="I40" s="70"/>
      <c r="J40" s="70"/>
      <c r="K40" s="70"/>
      <c r="L40" s="70"/>
      <c r="M40" s="70"/>
      <c r="N40" s="70"/>
      <c r="O40" s="70"/>
      <c r="P40" s="70"/>
      <c r="Q40" s="70"/>
      <c r="R40" s="69"/>
      <c r="S40" s="69"/>
      <c r="T40" s="69"/>
      <c r="U40" s="69"/>
      <c r="V40" s="69"/>
      <c r="W40" s="69"/>
      <c r="X40" s="69"/>
      <c r="Y40" s="69"/>
      <c r="Z40" s="69"/>
      <c r="AA40" s="69"/>
      <c r="AB40" s="69"/>
      <c r="AC40" s="69"/>
      <c r="AD40" s="69"/>
      <c r="AE40" s="69"/>
      <c r="AF40" s="69"/>
      <c r="AG40" s="69"/>
      <c r="AH40" s="69"/>
      <c r="AI40" s="69"/>
      <c r="AJ40" s="69"/>
      <c r="AK40" s="69"/>
      <c r="AL40" s="69"/>
      <c r="AM40" s="69"/>
      <c r="AN40" s="69"/>
      <c r="AO40" s="69"/>
      <c r="AP40" s="69"/>
      <c r="AQ40" s="69"/>
      <c r="AR40" s="69"/>
      <c r="AS40" s="69"/>
      <c r="AT40" s="69"/>
    </row>
    <row r="41" spans="1:52" x14ac:dyDescent="0.2">
      <c r="A41" s="69"/>
      <c r="B41" s="69"/>
      <c r="C41" s="34" t="s">
        <v>4</v>
      </c>
      <c r="D41" s="35" t="s">
        <v>49</v>
      </c>
      <c r="E41" t="s">
        <v>5</v>
      </c>
      <c r="F41"/>
      <c r="G41"/>
      <c r="H41"/>
      <c r="I41"/>
      <c r="J41"/>
      <c r="K41"/>
      <c r="L41"/>
      <c r="M41"/>
      <c r="N41" s="36"/>
      <c r="O41" s="3"/>
      <c r="P41" s="37"/>
      <c r="Q41" s="37"/>
      <c r="R41" s="69"/>
      <c r="S41" s="69"/>
      <c r="T41" s="69"/>
      <c r="U41" s="21" t="s">
        <v>2</v>
      </c>
      <c r="V41" s="15" t="s">
        <v>49</v>
      </c>
      <c r="W41" t="s">
        <v>61</v>
      </c>
      <c r="X41"/>
      <c r="Y41" s="69"/>
      <c r="Z41" s="69"/>
      <c r="AA41" s="69"/>
      <c r="AB41" s="69"/>
      <c r="AC41" s="69"/>
      <c r="AD41" s="69"/>
      <c r="AE41" s="69"/>
      <c r="AF41" s="69"/>
      <c r="AG41" s="69"/>
      <c r="AH41" s="69"/>
      <c r="AI41" s="69"/>
      <c r="AJ41" s="69"/>
      <c r="AK41" s="69"/>
      <c r="AL41" s="69"/>
      <c r="AM41" s="69"/>
      <c r="AN41" s="69"/>
      <c r="AO41" s="69"/>
      <c r="AP41" s="69"/>
      <c r="AQ41" s="69"/>
      <c r="AR41" s="69"/>
      <c r="AS41" s="69"/>
      <c r="AT41" s="69"/>
    </row>
    <row r="42" spans="1:52" x14ac:dyDescent="0.2">
      <c r="A42" s="69"/>
      <c r="B42" s="69"/>
      <c r="C42" s="34" t="s">
        <v>41</v>
      </c>
      <c r="D42" s="35" t="s">
        <v>49</v>
      </c>
      <c r="E42" t="s">
        <v>40</v>
      </c>
      <c r="F42"/>
      <c r="G42"/>
      <c r="H42"/>
      <c r="I42"/>
      <c r="J42"/>
      <c r="K42"/>
      <c r="L42"/>
      <c r="M42"/>
      <c r="N42" s="36"/>
      <c r="O42" s="3"/>
      <c r="P42" s="37"/>
      <c r="Q42" s="37"/>
      <c r="R42" s="69"/>
      <c r="S42" s="69"/>
      <c r="T42" s="69"/>
      <c r="U42" s="21" t="s">
        <v>50</v>
      </c>
      <c r="V42" s="15" t="s">
        <v>49</v>
      </c>
      <c r="W42" t="s">
        <v>62</v>
      </c>
      <c r="X42"/>
      <c r="Y42" s="69"/>
      <c r="Z42" s="69"/>
      <c r="AA42" s="69"/>
      <c r="AB42" s="69"/>
      <c r="AC42" s="69"/>
      <c r="AD42" s="69"/>
      <c r="AE42" s="69"/>
      <c r="AF42" s="69"/>
      <c r="AG42" s="69"/>
      <c r="AH42" s="69"/>
      <c r="AI42" s="69"/>
      <c r="AJ42" s="69"/>
      <c r="AK42" s="69"/>
      <c r="AL42" s="69"/>
      <c r="AM42" s="69"/>
      <c r="AN42" s="69"/>
      <c r="AO42" s="69"/>
      <c r="AP42" s="69"/>
      <c r="AQ42" s="69"/>
      <c r="AR42" s="69"/>
      <c r="AS42" s="69"/>
      <c r="AT42" s="69"/>
    </row>
    <row r="43" spans="1:52" x14ac:dyDescent="0.2">
      <c r="A43" s="69"/>
      <c r="B43" s="69"/>
      <c r="C43" s="34" t="s">
        <v>43</v>
      </c>
      <c r="D43" s="35" t="s">
        <v>49</v>
      </c>
      <c r="E43" t="s">
        <v>42</v>
      </c>
      <c r="F43"/>
      <c r="G43"/>
      <c r="H43"/>
      <c r="I43"/>
      <c r="J43"/>
      <c r="K43"/>
      <c r="L43"/>
      <c r="M43"/>
      <c r="N43" s="36"/>
      <c r="O43" s="3"/>
      <c r="P43" s="37"/>
      <c r="Q43" s="37"/>
      <c r="R43" s="69"/>
      <c r="S43" s="69"/>
      <c r="T43" s="69"/>
      <c r="U43" s="21" t="s">
        <v>51</v>
      </c>
      <c r="V43" s="15" t="s">
        <v>49</v>
      </c>
      <c r="W43" t="s">
        <v>53</v>
      </c>
      <c r="X43"/>
      <c r="Y43" s="69"/>
      <c r="Z43" s="69"/>
      <c r="AA43" s="69"/>
      <c r="AB43" s="69"/>
      <c r="AC43" s="69"/>
      <c r="AD43" s="69"/>
      <c r="AE43" s="69"/>
      <c r="AF43" s="69"/>
      <c r="AG43" s="69"/>
      <c r="AH43" s="69"/>
      <c r="AI43" s="69"/>
      <c r="AJ43" s="69"/>
      <c r="AK43" s="69"/>
      <c r="AL43" s="69"/>
      <c r="AM43" s="69"/>
      <c r="AN43" s="69"/>
      <c r="AO43" s="69"/>
      <c r="AP43" s="69"/>
      <c r="AQ43" s="69"/>
      <c r="AR43" s="69"/>
      <c r="AS43" s="69"/>
      <c r="AT43" s="69"/>
    </row>
    <row r="44" spans="1:52" x14ac:dyDescent="0.2">
      <c r="A44" s="69"/>
      <c r="B44" s="69"/>
      <c r="C44" s="34" t="s">
        <v>45</v>
      </c>
      <c r="D44" s="35" t="s">
        <v>49</v>
      </c>
      <c r="E44" t="s">
        <v>44</v>
      </c>
      <c r="F44"/>
      <c r="G44"/>
      <c r="H44"/>
      <c r="I44"/>
      <c r="J44"/>
      <c r="K44"/>
      <c r="L44"/>
      <c r="M44"/>
      <c r="N44" s="3"/>
      <c r="O44" s="3"/>
      <c r="P44" s="37"/>
      <c r="Q44" s="37"/>
      <c r="R44" s="69"/>
      <c r="S44" s="69"/>
      <c r="T44" s="69"/>
      <c r="U44" s="15" t="s">
        <v>63</v>
      </c>
      <c r="V44" s="15" t="s">
        <v>49</v>
      </c>
      <c r="W44" t="s">
        <v>64</v>
      </c>
      <c r="X44"/>
      <c r="Y44" s="69"/>
      <c r="Z44" s="69"/>
      <c r="AA44" s="69"/>
      <c r="AB44" s="69"/>
      <c r="AC44" s="69"/>
      <c r="AD44" s="69"/>
      <c r="AE44" s="69"/>
      <c r="AF44" s="69"/>
      <c r="AG44" s="69"/>
      <c r="AH44" s="69"/>
      <c r="AI44" s="69"/>
      <c r="AJ44" s="69"/>
      <c r="AK44" s="69"/>
      <c r="AL44" s="69"/>
      <c r="AM44" s="69"/>
      <c r="AN44" s="69"/>
      <c r="AO44" s="69"/>
      <c r="AP44" s="69"/>
      <c r="AQ44" s="69"/>
      <c r="AR44" s="69"/>
      <c r="AS44" s="69"/>
      <c r="AT44" s="69"/>
    </row>
    <row r="45" spans="1:52" x14ac:dyDescent="0.2">
      <c r="A45" s="69"/>
      <c r="B45" s="69"/>
      <c r="C45" s="34" t="s">
        <v>47</v>
      </c>
      <c r="D45" s="35" t="s">
        <v>49</v>
      </c>
      <c r="E45" t="s">
        <v>46</v>
      </c>
      <c r="F45"/>
      <c r="G45"/>
      <c r="H45"/>
      <c r="I45"/>
      <c r="J45"/>
      <c r="K45"/>
      <c r="L45"/>
      <c r="M45"/>
      <c r="N45" s="3"/>
      <c r="O45" s="3"/>
      <c r="P45" s="37"/>
      <c r="Q45" s="37"/>
      <c r="R45" s="69"/>
      <c r="S45" s="69"/>
      <c r="T45" s="69"/>
      <c r="U45" s="15" t="s">
        <v>65</v>
      </c>
      <c r="V45" s="15" t="s">
        <v>49</v>
      </c>
      <c r="W45" t="s">
        <v>66</v>
      </c>
      <c r="X45"/>
      <c r="Y45" s="69"/>
      <c r="Z45" s="69"/>
      <c r="AA45" s="69"/>
      <c r="AB45" s="69"/>
      <c r="AC45" s="69"/>
      <c r="AD45" s="69"/>
      <c r="AE45" s="69"/>
      <c r="AF45" s="69"/>
      <c r="AG45" s="69"/>
      <c r="AH45" s="69"/>
      <c r="AI45" s="69"/>
      <c r="AJ45" s="69"/>
      <c r="AK45" s="69"/>
      <c r="AL45" s="69"/>
      <c r="AM45" s="69"/>
      <c r="AN45" s="69"/>
      <c r="AO45" s="69"/>
      <c r="AP45" s="69"/>
      <c r="AQ45" s="69"/>
      <c r="AR45" s="69"/>
      <c r="AS45" s="69"/>
      <c r="AT45" s="69"/>
    </row>
    <row r="46" spans="1:52" x14ac:dyDescent="0.2">
      <c r="A46" s="69"/>
      <c r="B46" s="69"/>
      <c r="C46" s="34" t="s">
        <v>48</v>
      </c>
      <c r="D46" s="35" t="s">
        <v>49</v>
      </c>
      <c r="E46" t="s">
        <v>29</v>
      </c>
      <c r="F46"/>
      <c r="G46"/>
      <c r="H46"/>
      <c r="I46"/>
      <c r="J46"/>
      <c r="K46"/>
      <c r="L46"/>
      <c r="M46"/>
      <c r="N46" s="36"/>
      <c r="O46" s="3"/>
      <c r="P46" s="37"/>
      <c r="Q46" s="37"/>
      <c r="R46" s="69"/>
      <c r="S46" s="69"/>
      <c r="T46" s="69"/>
      <c r="U46" s="21" t="s">
        <v>52</v>
      </c>
      <c r="V46" s="15" t="s">
        <v>49</v>
      </c>
      <c r="W46" t="s">
        <v>54</v>
      </c>
      <c r="X46"/>
      <c r="Y46" s="69"/>
      <c r="Z46" s="69"/>
      <c r="AA46" s="69"/>
      <c r="AB46" s="69"/>
      <c r="AC46" s="69"/>
      <c r="AD46" s="69"/>
      <c r="AE46" s="69"/>
      <c r="AF46" s="69"/>
      <c r="AG46" s="69"/>
      <c r="AH46" s="69"/>
      <c r="AI46" s="69"/>
      <c r="AJ46" s="69"/>
      <c r="AK46" s="69"/>
      <c r="AL46" s="69"/>
      <c r="AM46" s="69"/>
      <c r="AN46" s="69"/>
      <c r="AO46" s="69"/>
      <c r="AP46" s="69"/>
      <c r="AQ46" s="69"/>
      <c r="AR46" s="69"/>
      <c r="AS46" s="69"/>
      <c r="AT46" s="69"/>
    </row>
    <row r="47" spans="1:52" x14ac:dyDescent="0.2">
      <c r="A47" s="69"/>
      <c r="B47" s="69"/>
      <c r="C47" s="34" t="s">
        <v>3</v>
      </c>
      <c r="D47" s="35" t="s">
        <v>49</v>
      </c>
      <c r="E47" t="s">
        <v>67</v>
      </c>
      <c r="F47"/>
      <c r="G47"/>
      <c r="H47"/>
      <c r="I47"/>
      <c r="J47"/>
      <c r="K47"/>
      <c r="L47"/>
      <c r="M47"/>
      <c r="N47" s="36"/>
      <c r="O47" s="3"/>
      <c r="P47" s="37"/>
      <c r="Q47" s="37"/>
      <c r="R47" s="69"/>
      <c r="S47" s="69"/>
      <c r="T47" s="69"/>
      <c r="U47" s="21" t="s">
        <v>68</v>
      </c>
      <c r="V47" s="15" t="s">
        <v>49</v>
      </c>
      <c r="W47" t="s">
        <v>31</v>
      </c>
      <c r="X47"/>
      <c r="Y47" s="69"/>
      <c r="Z47" s="69"/>
      <c r="AA47" s="69"/>
      <c r="AB47" s="69"/>
      <c r="AC47" s="69"/>
      <c r="AD47" s="69"/>
      <c r="AE47" s="69"/>
      <c r="AF47" s="69"/>
      <c r="AG47" s="69"/>
      <c r="AH47" s="69"/>
      <c r="AI47" s="69"/>
      <c r="AJ47" s="69"/>
      <c r="AK47" s="69"/>
      <c r="AL47" s="69"/>
      <c r="AM47" s="69"/>
      <c r="AN47" s="69"/>
      <c r="AO47" s="69"/>
      <c r="AP47" s="69"/>
      <c r="AQ47" s="69"/>
      <c r="AR47" s="69"/>
      <c r="AS47" s="69"/>
      <c r="AT47" s="69"/>
    </row>
    <row r="48" spans="1:52" x14ac:dyDescent="0.2">
      <c r="A48" s="69"/>
      <c r="B48" s="69"/>
      <c r="C48" s="34" t="s">
        <v>73</v>
      </c>
      <c r="D48" s="35" t="s">
        <v>49</v>
      </c>
      <c r="E48" s="219" t="s">
        <v>75</v>
      </c>
      <c r="F48" s="220"/>
      <c r="G48" s="220"/>
      <c r="H48" s="220"/>
      <c r="I48" s="220"/>
      <c r="J48" s="220"/>
      <c r="K48" s="220"/>
      <c r="L48" s="220"/>
      <c r="M48" s="220"/>
      <c r="N48" s="220"/>
      <c r="O48" s="220"/>
      <c r="P48" s="220"/>
      <c r="Q48" s="220"/>
      <c r="R48" s="69"/>
      <c r="S48" s="69"/>
      <c r="T48" s="69"/>
      <c r="U48" s="21" t="s">
        <v>76</v>
      </c>
      <c r="V48" s="15" t="s">
        <v>49</v>
      </c>
      <c r="W48" t="s">
        <v>77</v>
      </c>
      <c r="X48" s="69"/>
      <c r="Y48" s="69"/>
      <c r="Z48" s="69"/>
      <c r="AA48" s="69"/>
      <c r="AB48" s="69"/>
      <c r="AC48" s="69"/>
      <c r="AD48" s="69"/>
      <c r="AE48" s="69"/>
      <c r="AF48" s="69"/>
      <c r="AG48" s="69"/>
      <c r="AH48" s="69"/>
      <c r="AI48" s="69"/>
      <c r="AJ48" s="69"/>
      <c r="AK48" s="69"/>
      <c r="AL48" s="69"/>
      <c r="AM48" s="69"/>
      <c r="AN48" s="69"/>
      <c r="AO48" s="69"/>
      <c r="AP48" s="69"/>
      <c r="AQ48" s="69"/>
      <c r="AR48" s="69"/>
      <c r="AS48" s="69"/>
      <c r="AT48" s="69"/>
    </row>
    <row r="49" spans="1:46" x14ac:dyDescent="0.2">
      <c r="A49" s="69"/>
      <c r="B49" s="69"/>
      <c r="C49" s="34" t="s">
        <v>142</v>
      </c>
      <c r="D49" s="35" t="s">
        <v>49</v>
      </c>
      <c r="E49" s="219" t="s">
        <v>143</v>
      </c>
      <c r="F49" s="220"/>
      <c r="G49" s="220"/>
      <c r="H49" s="220"/>
      <c r="I49" s="220"/>
      <c r="J49" s="220"/>
      <c r="K49" s="220"/>
      <c r="L49" s="220"/>
      <c r="M49" s="220"/>
      <c r="N49" s="220"/>
      <c r="O49" s="220"/>
      <c r="P49" s="220"/>
      <c r="Q49" s="220"/>
      <c r="R49" s="69"/>
      <c r="S49" s="69"/>
      <c r="T49" s="69"/>
      <c r="U49" s="69"/>
      <c r="V49" s="69"/>
      <c r="W49" s="69"/>
      <c r="X49" s="69"/>
      <c r="Y49" s="69"/>
      <c r="Z49" s="69"/>
      <c r="AA49" s="69"/>
      <c r="AB49" s="69"/>
      <c r="AC49" s="69"/>
      <c r="AD49" s="69"/>
      <c r="AE49" s="69"/>
      <c r="AF49" s="69"/>
      <c r="AG49" s="69"/>
      <c r="AH49" s="69"/>
      <c r="AI49" s="69"/>
      <c r="AJ49" s="69"/>
      <c r="AK49" s="69"/>
      <c r="AL49" s="69"/>
      <c r="AM49" s="69"/>
      <c r="AN49" s="69"/>
      <c r="AO49" s="69"/>
      <c r="AP49" s="69"/>
      <c r="AQ49" s="69"/>
      <c r="AR49" s="69"/>
      <c r="AS49" s="69"/>
      <c r="AT49" s="69"/>
    </row>
  </sheetData>
  <sheetProtection insertColumns="0" insertRows="0" deleteColumns="0" deleteRows="0" autoFilter="0"/>
  <mergeCells count="276">
    <mergeCell ref="U36:Z36"/>
    <mergeCell ref="U38:Z38"/>
    <mergeCell ref="B25:B26"/>
    <mergeCell ref="C25:C26"/>
    <mergeCell ref="D25:D26"/>
    <mergeCell ref="B19:B20"/>
    <mergeCell ref="C19:C20"/>
    <mergeCell ref="D19:D20"/>
    <mergeCell ref="D27:D28"/>
    <mergeCell ref="B21:B22"/>
    <mergeCell ref="C21:C22"/>
    <mergeCell ref="D21:D22"/>
    <mergeCell ref="D23:D24"/>
    <mergeCell ref="B27:B28"/>
    <mergeCell ref="E16:AI16"/>
    <mergeCell ref="L13:L15"/>
    <mergeCell ref="M13:M15"/>
    <mergeCell ref="B17:B18"/>
    <mergeCell ref="C17:C18"/>
    <mergeCell ref="D17:D18"/>
    <mergeCell ref="AC13:AC15"/>
    <mergeCell ref="A2:N2"/>
    <mergeCell ref="W2:AB2"/>
    <mergeCell ref="W3:Y3"/>
    <mergeCell ref="Z3:AB3"/>
    <mergeCell ref="W4:Y4"/>
    <mergeCell ref="Z4:AB4"/>
    <mergeCell ref="A5:N5"/>
    <mergeCell ref="A6:N6"/>
    <mergeCell ref="W6:Y7"/>
    <mergeCell ref="Z6:AB7"/>
    <mergeCell ref="A8:B8"/>
    <mergeCell ref="C8:F8"/>
    <mergeCell ref="W8:Y8"/>
    <mergeCell ref="Z8:AB8"/>
    <mergeCell ref="H9:S9"/>
    <mergeCell ref="D10:P10"/>
    <mergeCell ref="E12:AI12"/>
    <mergeCell ref="X13:X15"/>
    <mergeCell ref="Y13:Y15"/>
    <mergeCell ref="Z13:Z15"/>
    <mergeCell ref="AA13:AA15"/>
    <mergeCell ref="AB13:AB15"/>
    <mergeCell ref="N13:N15"/>
    <mergeCell ref="E13:E15"/>
    <mergeCell ref="F13:F15"/>
    <mergeCell ref="G13:G15"/>
    <mergeCell ref="H13:H15"/>
    <mergeCell ref="I13:I15"/>
    <mergeCell ref="J13:J15"/>
    <mergeCell ref="K13:K15"/>
    <mergeCell ref="Q13:Q15"/>
    <mergeCell ref="R13:R15"/>
    <mergeCell ref="S13:S15"/>
    <mergeCell ref="T13:T15"/>
    <mergeCell ref="AZ13:AZ15"/>
    <mergeCell ref="AK14:AK15"/>
    <mergeCell ref="AL14:AO14"/>
    <mergeCell ref="AY13:AY15"/>
    <mergeCell ref="AS13:AS15"/>
    <mergeCell ref="AT13:AT15"/>
    <mergeCell ref="AU13:AU15"/>
    <mergeCell ref="AV13:AV15"/>
    <mergeCell ref="AX13:AX15"/>
    <mergeCell ref="AK13:AO13"/>
    <mergeCell ref="AR13:AR15"/>
    <mergeCell ref="AW13:AW15"/>
    <mergeCell ref="AK16:AO16"/>
    <mergeCell ref="AP12:AP15"/>
    <mergeCell ref="AQ12:AQ15"/>
    <mergeCell ref="AM17:AM18"/>
    <mergeCell ref="AN17:AN18"/>
    <mergeCell ref="AO17:AO18"/>
    <mergeCell ref="AP17:AP18"/>
    <mergeCell ref="A12:A15"/>
    <mergeCell ref="B12:B15"/>
    <mergeCell ref="C12:C15"/>
    <mergeCell ref="D12:D15"/>
    <mergeCell ref="O13:O15"/>
    <mergeCell ref="P13:P15"/>
    <mergeCell ref="AJ12:AO12"/>
    <mergeCell ref="AG13:AG15"/>
    <mergeCell ref="AH13:AH15"/>
    <mergeCell ref="AI13:AI15"/>
    <mergeCell ref="AJ13:AJ15"/>
    <mergeCell ref="AD13:AD15"/>
    <mergeCell ref="AE13:AE15"/>
    <mergeCell ref="AF13:AF15"/>
    <mergeCell ref="U13:U15"/>
    <mergeCell ref="V13:V15"/>
    <mergeCell ref="W13:W15"/>
    <mergeCell ref="A17:A18"/>
    <mergeCell ref="AJ17:AJ18"/>
    <mergeCell ref="AX17:AX18"/>
    <mergeCell ref="AY17:AY18"/>
    <mergeCell ref="AZ17:AZ18"/>
    <mergeCell ref="AV17:AV18"/>
    <mergeCell ref="AQ17:AQ18"/>
    <mergeCell ref="AR17:AR18"/>
    <mergeCell ref="AS17:AS18"/>
    <mergeCell ref="AT17:AT18"/>
    <mergeCell ref="AU17:AU18"/>
    <mergeCell ref="AK17:AK18"/>
    <mergeCell ref="AL17:AL18"/>
    <mergeCell ref="AW17:AW18"/>
    <mergeCell ref="A21:A22"/>
    <mergeCell ref="AJ21:AJ22"/>
    <mergeCell ref="AK21:AK22"/>
    <mergeCell ref="AL21:AL22"/>
    <mergeCell ref="AM21:AM22"/>
    <mergeCell ref="AN21:AN22"/>
    <mergeCell ref="AS19:AS20"/>
    <mergeCell ref="AQ19:AQ20"/>
    <mergeCell ref="AR19:AR20"/>
    <mergeCell ref="A19:A20"/>
    <mergeCell ref="AM19:AM20"/>
    <mergeCell ref="AN19:AN20"/>
    <mergeCell ref="AO19:AO20"/>
    <mergeCell ref="AP19:AP20"/>
    <mergeCell ref="AJ19:AJ20"/>
    <mergeCell ref="AK19:AK20"/>
    <mergeCell ref="AL19:AL20"/>
    <mergeCell ref="AO21:AO22"/>
    <mergeCell ref="AP21:AP22"/>
    <mergeCell ref="AQ21:AQ22"/>
    <mergeCell ref="AR21:AR22"/>
    <mergeCell ref="AS21:AS22"/>
    <mergeCell ref="AZ25:AZ26"/>
    <mergeCell ref="AV25:AV26"/>
    <mergeCell ref="AX25:AX26"/>
    <mergeCell ref="AY25:AY26"/>
    <mergeCell ref="AY23:AY24"/>
    <mergeCell ref="AZ23:AZ24"/>
    <mergeCell ref="AV23:AV24"/>
    <mergeCell ref="AY21:AY22"/>
    <mergeCell ref="AZ21:AZ22"/>
    <mergeCell ref="AM23:AM24"/>
    <mergeCell ref="AN23:AN24"/>
    <mergeCell ref="AO23:AO24"/>
    <mergeCell ref="AP23:AP24"/>
    <mergeCell ref="AX23:AX24"/>
    <mergeCell ref="AZ19:AZ20"/>
    <mergeCell ref="AU21:AU22"/>
    <mergeCell ref="AV21:AV22"/>
    <mergeCell ref="AX21:AX22"/>
    <mergeCell ref="AX19:AX20"/>
    <mergeCell ref="AT19:AT20"/>
    <mergeCell ref="AU19:AU20"/>
    <mergeCell ref="AV19:AV20"/>
    <mergeCell ref="AT21:AT22"/>
    <mergeCell ref="A23:A24"/>
    <mergeCell ref="AJ23:AJ24"/>
    <mergeCell ref="AS25:AS26"/>
    <mergeCell ref="AT25:AT26"/>
    <mergeCell ref="AU25:AU26"/>
    <mergeCell ref="AM25:AM26"/>
    <mergeCell ref="AN25:AN26"/>
    <mergeCell ref="AO25:AO26"/>
    <mergeCell ref="AP25:AP26"/>
    <mergeCell ref="AQ25:AQ26"/>
    <mergeCell ref="AR25:AR26"/>
    <mergeCell ref="A25:A26"/>
    <mergeCell ref="AJ25:AJ26"/>
    <mergeCell ref="AK25:AK26"/>
    <mergeCell ref="AL25:AL26"/>
    <mergeCell ref="AQ23:AQ24"/>
    <mergeCell ref="AR23:AR24"/>
    <mergeCell ref="AS23:AS24"/>
    <mergeCell ref="AT23:AT24"/>
    <mergeCell ref="AU23:AU24"/>
    <mergeCell ref="AK23:AK24"/>
    <mergeCell ref="AL23:AL24"/>
    <mergeCell ref="B23:B24"/>
    <mergeCell ref="C23:C24"/>
    <mergeCell ref="AV27:AV28"/>
    <mergeCell ref="AX27:AX28"/>
    <mergeCell ref="AY27:AY28"/>
    <mergeCell ref="AZ27:AZ28"/>
    <mergeCell ref="AO27:AO28"/>
    <mergeCell ref="AP27:AP28"/>
    <mergeCell ref="AQ27:AQ28"/>
    <mergeCell ref="AR27:AR28"/>
    <mergeCell ref="AS27:AS28"/>
    <mergeCell ref="AT27:AT28"/>
    <mergeCell ref="A27:A28"/>
    <mergeCell ref="AJ27:AJ28"/>
    <mergeCell ref="AK27:AK28"/>
    <mergeCell ref="AL27:AL28"/>
    <mergeCell ref="AM27:AM28"/>
    <mergeCell ref="AN27:AN28"/>
    <mergeCell ref="AU27:AU28"/>
    <mergeCell ref="C27:C28"/>
    <mergeCell ref="A31:A32"/>
    <mergeCell ref="B31:B32"/>
    <mergeCell ref="C31:C32"/>
    <mergeCell ref="D31:D32"/>
    <mergeCell ref="AJ31:AJ32"/>
    <mergeCell ref="AK31:AK32"/>
    <mergeCell ref="AL31:AL32"/>
    <mergeCell ref="AM31:AM32"/>
    <mergeCell ref="AN31:AN32"/>
    <mergeCell ref="A29:A30"/>
    <mergeCell ref="B29:B30"/>
    <mergeCell ref="C29:C30"/>
    <mergeCell ref="D29:D30"/>
    <mergeCell ref="AJ29:AJ30"/>
    <mergeCell ref="AK29:AK30"/>
    <mergeCell ref="AL29:AL30"/>
    <mergeCell ref="AZ33:AZ34"/>
    <mergeCell ref="A36:C36"/>
    <mergeCell ref="D36:I36"/>
    <mergeCell ref="K36:M36"/>
    <mergeCell ref="O36:S36"/>
    <mergeCell ref="AS33:AS34"/>
    <mergeCell ref="AT33:AT34"/>
    <mergeCell ref="AU33:AU34"/>
    <mergeCell ref="AV33:AV34"/>
    <mergeCell ref="AX33:AX34"/>
    <mergeCell ref="AY33:AY34"/>
    <mergeCell ref="AM33:AM34"/>
    <mergeCell ref="AN33:AN34"/>
    <mergeCell ref="AO33:AO34"/>
    <mergeCell ref="AP33:AP34"/>
    <mergeCell ref="AQ33:AQ34"/>
    <mergeCell ref="AR33:AR34"/>
    <mergeCell ref="A33:A34"/>
    <mergeCell ref="B33:B34"/>
    <mergeCell ref="C33:C34"/>
    <mergeCell ref="D33:D34"/>
    <mergeCell ref="AJ33:AJ34"/>
    <mergeCell ref="AK33:AK34"/>
    <mergeCell ref="AL33:AL34"/>
    <mergeCell ref="D39:I39"/>
    <mergeCell ref="K39:M39"/>
    <mergeCell ref="O39:S39"/>
    <mergeCell ref="D38:I38"/>
    <mergeCell ref="E48:Q48"/>
    <mergeCell ref="E49:Q49"/>
    <mergeCell ref="D37:I37"/>
    <mergeCell ref="K37:M37"/>
    <mergeCell ref="O37:S37"/>
    <mergeCell ref="K38:M38"/>
    <mergeCell ref="O38:S38"/>
    <mergeCell ref="AZ31:AZ32"/>
    <mergeCell ref="AO31:AO32"/>
    <mergeCell ref="AP31:AP32"/>
    <mergeCell ref="AQ31:AQ32"/>
    <mergeCell ref="AR31:AR32"/>
    <mergeCell ref="AS31:AS32"/>
    <mergeCell ref="AT31:AT32"/>
    <mergeCell ref="AU31:AU32"/>
    <mergeCell ref="AV31:AV32"/>
    <mergeCell ref="AX31:AX32"/>
    <mergeCell ref="AW33:AW34"/>
    <mergeCell ref="AW19:AW20"/>
    <mergeCell ref="AW21:AW22"/>
    <mergeCell ref="AW23:AW24"/>
    <mergeCell ref="AW25:AW26"/>
    <mergeCell ref="AW27:AW28"/>
    <mergeCell ref="AW31:AW32"/>
    <mergeCell ref="AY31:AY32"/>
    <mergeCell ref="AY19:AY20"/>
    <mergeCell ref="AV29:AV30"/>
    <mergeCell ref="AW29:AW30"/>
    <mergeCell ref="AX29:AX30"/>
    <mergeCell ref="AY29:AY30"/>
    <mergeCell ref="AZ29:AZ30"/>
    <mergeCell ref="AM29:AM30"/>
    <mergeCell ref="AN29:AN30"/>
    <mergeCell ref="AO29:AO30"/>
    <mergeCell ref="AP29:AP30"/>
    <mergeCell ref="AQ29:AQ30"/>
    <mergeCell ref="AR29:AR30"/>
    <mergeCell ref="AS29:AS30"/>
    <mergeCell ref="AT29:AT30"/>
    <mergeCell ref="AU29:AU30"/>
  </mergeCells>
  <conditionalFormatting sqref="E17">
    <cfRule type="expression" dxfId="562" priority="73" stopIfTrue="1">
      <formula>(E17="Р")</formula>
    </cfRule>
    <cfRule type="expression" dxfId="561" priority="74" stopIfTrue="1">
      <formula>(E17="ВЧ")</formula>
    </cfRule>
    <cfRule type="expression" dxfId="560" priority="75" stopIfTrue="1">
      <formula>(E17="ВЧ1")</formula>
    </cfRule>
    <cfRule type="expression" dxfId="559" priority="76" stopIfTrue="1">
      <formula>(E17="ВЧ2")</formula>
    </cfRule>
    <cfRule type="expression" dxfId="558" priority="77" stopIfTrue="1">
      <formula>(E17="РН")</formula>
    </cfRule>
    <cfRule type="expression" dxfId="557" priority="78" stopIfTrue="1">
      <formula>(E17="НУ")</formula>
    </cfRule>
    <cfRule type="expression" dxfId="556" priority="79" stopIfTrue="1">
      <formula>(E17="Р1")</formula>
    </cfRule>
    <cfRule type="expression" dxfId="555" priority="80" stopIfTrue="1">
      <formula>(E17="Р2")</formula>
    </cfRule>
    <cfRule type="expression" dxfId="554" priority="81" stopIfTrue="1">
      <formula>(E17="Р1/РВ")</formula>
    </cfRule>
    <cfRule type="expression" dxfId="553" priority="82" stopIfTrue="1">
      <formula>(E17="Р2/РВ")</formula>
    </cfRule>
    <cfRule type="expression" dxfId="552" priority="83" stopIfTrue="1">
      <formula>(E17="ВЧ/РВ")</formula>
    </cfRule>
    <cfRule type="expression" priority="84" stopIfTrue="1">
      <formula>(E17="РН/РВ")</formula>
    </cfRule>
  </conditionalFormatting>
  <conditionalFormatting sqref="F17:AI17">
    <cfRule type="expression" dxfId="551" priority="61" stopIfTrue="1">
      <formula>(F17="Р")</formula>
    </cfRule>
    <cfRule type="expression" dxfId="550" priority="62" stopIfTrue="1">
      <formula>(F17="ВЧ")</formula>
    </cfRule>
    <cfRule type="expression" dxfId="549" priority="63" stopIfTrue="1">
      <formula>(F17="ВЧ1")</formula>
    </cfRule>
    <cfRule type="expression" dxfId="548" priority="64" stopIfTrue="1">
      <formula>(F17="ВЧ2")</formula>
    </cfRule>
    <cfRule type="expression" dxfId="547" priority="65" stopIfTrue="1">
      <formula>(F17="РН")</formula>
    </cfRule>
    <cfRule type="expression" dxfId="546" priority="66" stopIfTrue="1">
      <formula>(F17="НУ")</formula>
    </cfRule>
    <cfRule type="expression" dxfId="545" priority="67" stopIfTrue="1">
      <formula>(F17="Р1")</formula>
    </cfRule>
    <cfRule type="expression" dxfId="544" priority="68" stopIfTrue="1">
      <formula>(F17="Р2")</formula>
    </cfRule>
    <cfRule type="expression" dxfId="543" priority="69" stopIfTrue="1">
      <formula>(F17="Р1/РВ")</formula>
    </cfRule>
    <cfRule type="expression" dxfId="542" priority="70" stopIfTrue="1">
      <formula>(F17="Р2/РВ")</formula>
    </cfRule>
    <cfRule type="expression" dxfId="541" priority="71" stopIfTrue="1">
      <formula>(F17="ВЧ/РВ")</formula>
    </cfRule>
    <cfRule type="expression" priority="72" stopIfTrue="1">
      <formula>(F17="РН/РВ")</formula>
    </cfRule>
  </conditionalFormatting>
  <conditionalFormatting sqref="E18">
    <cfRule type="expression" dxfId="540" priority="85" stopIfTrue="1">
      <formula>(E17="ВД")</formula>
    </cfRule>
    <cfRule type="expression" dxfId="539" priority="86" stopIfTrue="1">
      <formula>(E17="В")</formula>
    </cfRule>
    <cfRule type="expression" dxfId="538" priority="87" stopIfTrue="1">
      <formula>(E17="ВП")</formula>
    </cfRule>
    <cfRule type="expression" dxfId="537" priority="88" stopIfTrue="1">
      <formula>(E17="ДД")</formula>
    </cfRule>
    <cfRule type="expression" dxfId="536" priority="89" stopIfTrue="1">
      <formula>(E17="НА")</formula>
    </cfRule>
    <cfRule type="expression" dxfId="535" priority="90" stopIfTrue="1">
      <formula>(E17="Ч")</formula>
    </cfRule>
    <cfRule type="expression" dxfId="534" priority="91" stopIfTrue="1">
      <formula>(E17="Н")</formula>
    </cfRule>
    <cfRule type="expression" dxfId="533" priority="92" stopIfTrue="1">
      <formula>(E17="ТН")</formula>
    </cfRule>
    <cfRule type="expression" dxfId="532" priority="93" stopIfTrue="1">
      <formula>(E17="ДО")</formula>
    </cfRule>
    <cfRule type="expression" dxfId="531" priority="94" stopIfTrue="1">
      <formula>(E17="ІН")</formula>
    </cfRule>
    <cfRule type="expression" dxfId="530" priority="95" stopIfTrue="1">
      <formula>(E17="РВ")</formula>
    </cfRule>
    <cfRule type="expression" dxfId="529" priority="96" stopIfTrue="1">
      <formula>(E17="ВБ")</formula>
    </cfRule>
  </conditionalFormatting>
  <conditionalFormatting sqref="F18:AI18">
    <cfRule type="expression" dxfId="528" priority="49" stopIfTrue="1">
      <formula>(F17="ВД")</formula>
    </cfRule>
    <cfRule type="expression" dxfId="527" priority="50" stopIfTrue="1">
      <formula>(F17="В")</formula>
    </cfRule>
    <cfRule type="expression" dxfId="526" priority="51" stopIfTrue="1">
      <formula>(F17="ВП")</formula>
    </cfRule>
    <cfRule type="expression" dxfId="525" priority="52" stopIfTrue="1">
      <formula>(F17="ДД")</formula>
    </cfRule>
    <cfRule type="expression" dxfId="524" priority="53" stopIfTrue="1">
      <formula>(F17="НА")</formula>
    </cfRule>
    <cfRule type="expression" dxfId="523" priority="54" stopIfTrue="1">
      <formula>(F17="Ч")</formula>
    </cfRule>
    <cfRule type="expression" dxfId="522" priority="55" stopIfTrue="1">
      <formula>(F17="Н")</formula>
    </cfRule>
    <cfRule type="expression" dxfId="521" priority="56" stopIfTrue="1">
      <formula>(F17="ТН")</formula>
    </cfRule>
    <cfRule type="expression" dxfId="520" priority="57" stopIfTrue="1">
      <formula>(F17="ДО")</formula>
    </cfRule>
    <cfRule type="expression" dxfId="519" priority="58" stopIfTrue="1">
      <formula>(F17="ІН")</formula>
    </cfRule>
    <cfRule type="expression" dxfId="518" priority="59" stopIfTrue="1">
      <formula>(F17="РВ")</formula>
    </cfRule>
    <cfRule type="expression" dxfId="517" priority="60" stopIfTrue="1">
      <formula>(F17="ВБ")</formula>
    </cfRule>
  </conditionalFormatting>
  <conditionalFormatting sqref="E19 E21 E23 E25 E27 E29 E31">
    <cfRule type="expression" dxfId="516" priority="25" stopIfTrue="1">
      <formula>(E19="Р")</formula>
    </cfRule>
    <cfRule type="expression" dxfId="515" priority="26" stopIfTrue="1">
      <formula>(E19="ВЧ")</formula>
    </cfRule>
    <cfRule type="expression" dxfId="514" priority="27" stopIfTrue="1">
      <formula>(E19="ВЧ1")</formula>
    </cfRule>
    <cfRule type="expression" dxfId="513" priority="28" stopIfTrue="1">
      <formula>(E19="ВЧ2")</formula>
    </cfRule>
    <cfRule type="expression" dxfId="512" priority="29" stopIfTrue="1">
      <formula>(E19="РН")</formula>
    </cfRule>
    <cfRule type="expression" dxfId="511" priority="30" stopIfTrue="1">
      <formula>(E19="НУ")</formula>
    </cfRule>
    <cfRule type="expression" dxfId="510" priority="31" stopIfTrue="1">
      <formula>(E19="Р1")</formula>
    </cfRule>
    <cfRule type="expression" dxfId="509" priority="32" stopIfTrue="1">
      <formula>(E19="Р2")</formula>
    </cfRule>
    <cfRule type="expression" dxfId="508" priority="33" stopIfTrue="1">
      <formula>(E19="Р1/РВ")</formula>
    </cfRule>
    <cfRule type="expression" dxfId="507" priority="34" stopIfTrue="1">
      <formula>(E19="Р2/РВ")</formula>
    </cfRule>
    <cfRule type="expression" dxfId="506" priority="35" stopIfTrue="1">
      <formula>(E19="ВЧ/РВ")</formula>
    </cfRule>
    <cfRule type="expression" priority="36" stopIfTrue="1">
      <formula>(E19="РН/РВ")</formula>
    </cfRule>
  </conditionalFormatting>
  <conditionalFormatting sqref="F19:AI19 F21:AI21 F25:AI25 F27:AI27 F29:AI29 F31:AI31 F23:AI23">
    <cfRule type="expression" dxfId="505" priority="13" stopIfTrue="1">
      <formula>(F19="Р")</formula>
    </cfRule>
    <cfRule type="expression" dxfId="504" priority="14" stopIfTrue="1">
      <formula>(F19="ВЧ")</formula>
    </cfRule>
    <cfRule type="expression" dxfId="503" priority="15" stopIfTrue="1">
      <formula>(F19="ВЧ1")</formula>
    </cfRule>
    <cfRule type="expression" dxfId="502" priority="16" stopIfTrue="1">
      <formula>(F19="ВЧ2")</formula>
    </cfRule>
    <cfRule type="expression" dxfId="501" priority="17" stopIfTrue="1">
      <formula>(F19="РН")</formula>
    </cfRule>
    <cfRule type="expression" dxfId="500" priority="18" stopIfTrue="1">
      <formula>(F19="НУ")</formula>
    </cfRule>
    <cfRule type="expression" dxfId="499" priority="19" stopIfTrue="1">
      <formula>(F19="Р1")</formula>
    </cfRule>
    <cfRule type="expression" dxfId="498" priority="20" stopIfTrue="1">
      <formula>(F19="Р2")</formula>
    </cfRule>
    <cfRule type="expression" dxfId="497" priority="21" stopIfTrue="1">
      <formula>(F19="Р1/РВ")</formula>
    </cfRule>
    <cfRule type="expression" dxfId="496" priority="22" stopIfTrue="1">
      <formula>(F19="Р2/РВ")</formula>
    </cfRule>
    <cfRule type="expression" dxfId="495" priority="23" stopIfTrue="1">
      <formula>(F19="ВЧ/РВ")</formula>
    </cfRule>
    <cfRule type="expression" priority="24" stopIfTrue="1">
      <formula>(F19="РН/РВ")</formula>
    </cfRule>
  </conditionalFormatting>
  <conditionalFormatting sqref="E20 E22 E24 E26 E28 E30 E32">
    <cfRule type="expression" dxfId="494" priority="37" stopIfTrue="1">
      <formula>(E19="ВД")</formula>
    </cfRule>
    <cfRule type="expression" dxfId="493" priority="38" stopIfTrue="1">
      <formula>(E19="В")</formula>
    </cfRule>
    <cfRule type="expression" dxfId="492" priority="39" stopIfTrue="1">
      <formula>(E19="ВП")</formula>
    </cfRule>
    <cfRule type="expression" dxfId="491" priority="40" stopIfTrue="1">
      <formula>(E19="ДД")</formula>
    </cfRule>
    <cfRule type="expression" dxfId="490" priority="41" stopIfTrue="1">
      <formula>(E19="НА")</formula>
    </cfRule>
    <cfRule type="expression" dxfId="489" priority="42" stopIfTrue="1">
      <formula>(E19="Ч")</formula>
    </cfRule>
    <cfRule type="expression" dxfId="488" priority="43" stopIfTrue="1">
      <formula>(E19="Н")</formula>
    </cfRule>
    <cfRule type="expression" dxfId="487" priority="44" stopIfTrue="1">
      <formula>(E19="ТН")</formula>
    </cfRule>
    <cfRule type="expression" dxfId="486" priority="45" stopIfTrue="1">
      <formula>(E19="ДО")</formula>
    </cfRule>
    <cfRule type="expression" dxfId="485" priority="46" stopIfTrue="1">
      <formula>(E19="ІН")</formula>
    </cfRule>
    <cfRule type="expression" dxfId="484" priority="47" stopIfTrue="1">
      <formula>(E19="РВ")</formula>
    </cfRule>
    <cfRule type="expression" dxfId="483" priority="48" stopIfTrue="1">
      <formula>(E19="ВБ")</formula>
    </cfRule>
  </conditionalFormatting>
  <conditionalFormatting sqref="F20:AI20 F22:AI22 F24:AI24 F26:AI26 F28:AI28 F30:AI30 F32:AI32">
    <cfRule type="expression" dxfId="482" priority="1" stopIfTrue="1">
      <formula>(F19="ВД")</formula>
    </cfRule>
    <cfRule type="expression" dxfId="481" priority="2" stopIfTrue="1">
      <formula>(F19="В")</formula>
    </cfRule>
    <cfRule type="expression" dxfId="480" priority="3" stopIfTrue="1">
      <formula>(F19="ВП")</formula>
    </cfRule>
    <cfRule type="expression" dxfId="479" priority="4" stopIfTrue="1">
      <formula>(F19="ДД")</formula>
    </cfRule>
    <cfRule type="expression" dxfId="478" priority="5" stopIfTrue="1">
      <formula>(F19="НА")</formula>
    </cfRule>
    <cfRule type="expression" dxfId="477" priority="6" stopIfTrue="1">
      <formula>(F19="Ч")</formula>
    </cfRule>
    <cfRule type="expression" dxfId="476" priority="7" stopIfTrue="1">
      <formula>(F19="Н")</formula>
    </cfRule>
    <cfRule type="expression" dxfId="475" priority="8" stopIfTrue="1">
      <formula>(F19="ТН")</formula>
    </cfRule>
    <cfRule type="expression" dxfId="474" priority="9" stopIfTrue="1">
      <formula>(F19="ДО")</formula>
    </cfRule>
    <cfRule type="expression" dxfId="473" priority="10" stopIfTrue="1">
      <formula>(F19="ІН")</formula>
    </cfRule>
    <cfRule type="expression" dxfId="472" priority="11" stopIfTrue="1">
      <formula>(F19="РВ")</formula>
    </cfRule>
    <cfRule type="expression" dxfId="471" priority="12" stopIfTrue="1">
      <formula>(F19="ВБ")</formula>
    </cfRule>
  </conditionalFormatting>
  <printOptions horizontalCentered="1"/>
  <pageMargins left="0.39370078740157483" right="0.39370078740157483" top="0.59055118110236227" bottom="0.59055118110236227" header="0" footer="0"/>
  <pageSetup paperSize="8" scale="85"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4820" r:id="rId4" name="Button 4">
              <controlPr defaultSize="0" print="0" autoFill="0" autoPict="0" macro="[0]!Макрос1">
                <anchor moveWithCells="1" sizeWithCells="1">
                  <from>
                    <xdr:col>16</xdr:col>
                    <xdr:colOff>104775</xdr:colOff>
                    <xdr:row>1</xdr:row>
                    <xdr:rowOff>9525</xdr:rowOff>
                  </from>
                  <to>
                    <xdr:col>21</xdr:col>
                    <xdr:colOff>9525</xdr:colOff>
                    <xdr:row>2</xdr:row>
                    <xdr:rowOff>85725</xdr:rowOff>
                  </to>
                </anchor>
              </controlPr>
            </control>
          </mc:Choice>
        </mc:AlternateContent>
        <mc:AlternateContent xmlns:mc="http://schemas.openxmlformats.org/markup-compatibility/2006">
          <mc:Choice Requires="x14">
            <control shapeId="34821" r:id="rId5" name="Button 5">
              <controlPr defaultSize="0" print="0" autoFill="0" autoPict="0" macro="[0]!Макрос2">
                <anchor moveWithCells="1" sizeWithCells="1">
                  <from>
                    <xdr:col>16</xdr:col>
                    <xdr:colOff>104775</xdr:colOff>
                    <xdr:row>3</xdr:row>
                    <xdr:rowOff>66675</xdr:rowOff>
                  </from>
                  <to>
                    <xdr:col>21</xdr:col>
                    <xdr:colOff>19050</xdr:colOff>
                    <xdr:row>4</xdr:row>
                    <xdr:rowOff>104775</xdr:rowOff>
                  </to>
                </anchor>
              </controlPr>
            </control>
          </mc:Choice>
        </mc:AlternateContent>
        <mc:AlternateContent xmlns:mc="http://schemas.openxmlformats.org/markup-compatibility/2006">
          <mc:Choice Requires="x14">
            <control shapeId="34822" r:id="rId6" name="Button 6">
              <controlPr defaultSize="0" print="0" autoFill="0" autoPict="0" macro="[0]!Макрос3">
                <anchor moveWithCells="1" sizeWithCells="1">
                  <from>
                    <xdr:col>14</xdr:col>
                    <xdr:colOff>200025</xdr:colOff>
                    <xdr:row>5</xdr:row>
                    <xdr:rowOff>95250</xdr:rowOff>
                  </from>
                  <to>
                    <xdr:col>21</xdr:col>
                    <xdr:colOff>19050</xdr:colOff>
                    <xdr:row>6</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4">
    <pageSetUpPr fitToPage="1"/>
  </sheetPr>
  <dimension ref="A2:AZ61"/>
  <sheetViews>
    <sheetView showZeros="0" topLeftCell="C1" zoomScale="85" zoomScaleNormal="85" zoomScaleSheetLayoutView="80" workbookViewId="0">
      <pane ySplit="15" topLeftCell="A40" activePane="bottomLeft" state="frozen"/>
      <selection pane="bottomLeft" activeCell="AA38" sqref="AA38"/>
    </sheetView>
  </sheetViews>
  <sheetFormatPr defaultRowHeight="12.75" x14ac:dyDescent="0.2"/>
  <cols>
    <col min="1" max="1" width="5.28515625" style="51" customWidth="1"/>
    <col min="2" max="2" width="25.85546875" style="51" customWidth="1"/>
    <col min="3" max="3" width="5.85546875" style="13" customWidth="1"/>
    <col min="4" max="18" width="3.7109375" style="51" customWidth="1"/>
    <col min="19" max="19" width="5.28515625" style="51" customWidth="1"/>
    <col min="20" max="35" width="3.7109375" style="51" customWidth="1"/>
    <col min="36" max="36" width="4.7109375" style="51" customWidth="1"/>
    <col min="37" max="37" width="7.5703125" style="51" customWidth="1"/>
    <col min="38" max="42" width="4.7109375" style="51" customWidth="1"/>
    <col min="43" max="43" width="6.28515625" style="51" customWidth="1"/>
    <col min="44" max="44" width="5.5703125" style="51" customWidth="1"/>
    <col min="45" max="48" width="4.7109375" style="51" customWidth="1"/>
    <col min="49" max="49" width="4.7109375" style="131" customWidth="1"/>
    <col min="50" max="50" width="6.85546875" style="51" customWidth="1"/>
    <col min="51" max="52" width="4.7109375" style="51" customWidth="1"/>
    <col min="53" max="16384" width="9.140625" style="5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115</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116</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4"/>
      <c r="U9" s="44"/>
      <c r="V9" s="44"/>
      <c r="W9" s="44"/>
      <c r="X9" s="44"/>
      <c r="Y9" s="44"/>
      <c r="Z9" s="44"/>
      <c r="AA9" s="44"/>
      <c r="AB9" s="44"/>
      <c r="AC9" s="44"/>
      <c r="AD9" s="44"/>
      <c r="AE9" s="44"/>
      <c r="AF9" s="44"/>
      <c r="AG9" s="44"/>
      <c r="AH9" s="44"/>
      <c r="AI9" s="44"/>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67">
        <v>1</v>
      </c>
      <c r="B16" s="66">
        <v>2</v>
      </c>
      <c r="C16" s="71">
        <v>3</v>
      </c>
      <c r="D16" s="71" t="s">
        <v>27</v>
      </c>
      <c r="E16" s="233">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4"/>
      <c r="AJ16" s="66">
        <v>6</v>
      </c>
      <c r="AK16" s="233">
        <v>7</v>
      </c>
      <c r="AL16" s="232"/>
      <c r="AM16" s="232"/>
      <c r="AN16" s="232"/>
      <c r="AO16" s="234"/>
      <c r="AP16" s="66">
        <v>8</v>
      </c>
      <c r="AQ16" s="27">
        <v>9</v>
      </c>
      <c r="AR16" s="28"/>
      <c r="AS16" s="28"/>
      <c r="AT16" s="28"/>
      <c r="AU16" s="28"/>
      <c r="AV16" s="28"/>
      <c r="AW16" s="28"/>
      <c r="AX16" s="28"/>
      <c r="AY16" s="29"/>
      <c r="AZ16" s="30"/>
    </row>
    <row r="17" spans="1:52" ht="20.100000000000001" customHeight="1" x14ac:dyDescent="0.2">
      <c r="A17" s="305">
        <v>1</v>
      </c>
      <c r="B17" s="228" t="s">
        <v>118</v>
      </c>
      <c r="C17" s="279">
        <v>1681</v>
      </c>
      <c r="D17" s="279" t="s">
        <v>65</v>
      </c>
      <c r="E17" s="185" t="s">
        <v>142</v>
      </c>
      <c r="F17" s="191" t="s">
        <v>142</v>
      </c>
      <c r="G17" s="191" t="s">
        <v>4</v>
      </c>
      <c r="H17" s="191" t="s">
        <v>4</v>
      </c>
      <c r="I17" s="191" t="s">
        <v>4</v>
      </c>
      <c r="J17" s="191" t="s">
        <v>4</v>
      </c>
      <c r="K17" s="191" t="s">
        <v>4</v>
      </c>
      <c r="L17" s="191" t="s">
        <v>142</v>
      </c>
      <c r="M17" s="191" t="s">
        <v>142</v>
      </c>
      <c r="N17" s="191" t="s">
        <v>4</v>
      </c>
      <c r="O17" s="191" t="s">
        <v>4</v>
      </c>
      <c r="P17" s="191" t="s">
        <v>4</v>
      </c>
      <c r="Q17" s="191" t="s">
        <v>4</v>
      </c>
      <c r="R17" s="191" t="s">
        <v>4</v>
      </c>
      <c r="S17" s="191" t="s">
        <v>142</v>
      </c>
      <c r="T17" s="191" t="s">
        <v>142</v>
      </c>
      <c r="U17" s="191" t="s">
        <v>4</v>
      </c>
      <c r="V17" s="191" t="s">
        <v>4</v>
      </c>
      <c r="W17" s="191" t="s">
        <v>4</v>
      </c>
      <c r="X17" s="191" t="s">
        <v>4</v>
      </c>
      <c r="Y17" s="191" t="s">
        <v>4</v>
      </c>
      <c r="Z17" s="191" t="s">
        <v>142</v>
      </c>
      <c r="AA17" s="191" t="s">
        <v>142</v>
      </c>
      <c r="AB17" s="191" t="s">
        <v>4</v>
      </c>
      <c r="AC17" s="191" t="s">
        <v>4</v>
      </c>
      <c r="AD17" s="191" t="s">
        <v>4</v>
      </c>
      <c r="AE17" s="191" t="s">
        <v>4</v>
      </c>
      <c r="AF17" s="191" t="s">
        <v>4</v>
      </c>
      <c r="AG17" s="191" t="s">
        <v>142</v>
      </c>
      <c r="AH17" s="191" t="s">
        <v>142</v>
      </c>
      <c r="AI17" s="191" t="s">
        <v>4</v>
      </c>
      <c r="AJ17" s="294">
        <f>IFERROR(COUNTIF(E17:AI17,"=Р")+COUNTIF(E17:AI17,"=Р1")+COUNTIF(E17:AI17,"=ВЧ")+COUNTIF(E17:AI17,"=РН")+COUNTIF(E17:AI17,"=Р2")+COUNTIF(E17:AI17,"=Р1/РВ")+COUNTIF(E17:AI17,"=Р2/РВ")+COUNTIF(E17:AI17,"=ВЧ/РВ")+COUNTIF(E17:AI17,"=РН/РВ"),0)</f>
        <v>21</v>
      </c>
      <c r="AK17" s="211">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167.99999999999997</v>
      </c>
      <c r="AL17" s="211">
        <f>IFERROR(SUMIF(E17:AI17,"=НУ",E18:AI18),0)</f>
        <v>0</v>
      </c>
      <c r="AM17" s="211">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11">
        <f>IFERROR(SUMIF(E17:AI17,"=РВ",E18:AI18)+SUMIF(E17:AI17,"=ВЧ/РВ",E18:AI18)+SUMIF(E17:AI17,"=РН/РВ",E18:AI18)+SUMIF(E17:AI17,"=Р1/РВ",E18:AI18)+SUMIF(E17:AI17,"=ВЧ2/РВ",E18:AI18)+SUMIF(E17:AI17,"=Р2/РВ",E18:AI18),0)</f>
        <v>0</v>
      </c>
      <c r="AP17" s="211">
        <f>IFERROR(COUNTIF(E17:AI17,"=ВВ")+COUNTIF(E17:AI17,"=Р1/ВВ")+COUNTIF(E17:AI17,"=РН/ВВ")+COUNTIF(E17:AI17,"=ВЧ/ВВ"),0)</f>
        <v>10</v>
      </c>
      <c r="AQ17" s="211">
        <f>SUM(AR17:AZ17)</f>
        <v>0</v>
      </c>
      <c r="AR17" s="211">
        <f>IFERROR(SUMIF(E17:AI17,"=В",E18:AI18)+SUMIF(E17:AI17,"=Ч",E18:AI18)+SUMIF(E17:AI17,"=ВБ",E18:AI18),0)</f>
        <v>0</v>
      </c>
      <c r="AS17" s="211">
        <f>IFERROR(SUMIF(E17:AI17,"=Н",E18:AI18),0)</f>
        <v>0</v>
      </c>
      <c r="AT17" s="211">
        <f>IFERROR(SUMIF(E17:AI17,"=НА",E18:AI18),0)</f>
        <v>0</v>
      </c>
      <c r="AU17" s="211">
        <f>IFERROR(SUMIF(E17:AI17,"=ВП",E18:AI18),0)</f>
        <v>0</v>
      </c>
      <c r="AV17" s="211">
        <f>IFERROR(SUMIF(E17:AI17,"=ДД",E18:AI18),0)</f>
        <v>0</v>
      </c>
      <c r="AW17" s="202">
        <f>IFERROR(SUMIF(E17:AI17,"=ДО",E18:AI18),0)</f>
        <v>0</v>
      </c>
      <c r="AX17" s="211">
        <f>IFERROR(SUMIF(E17:AI17,"=ТН",E18:AI18),0)</f>
        <v>0</v>
      </c>
      <c r="AY17" s="211">
        <f>IFERROR(SUMIF(E17:AI17,"=ВД",E18:AI18),0)</f>
        <v>0</v>
      </c>
      <c r="AZ17" s="312">
        <f>IFERROR(SUMIF(E17:AI17,"=ІН",E18:AI18),0)+SUMIF(E17:AI17,"=НЗ",E18:AI18)</f>
        <v>0</v>
      </c>
    </row>
    <row r="18" spans="1:52" ht="20.100000000000001" customHeight="1" thickBot="1" x14ac:dyDescent="0.25">
      <c r="A18" s="306"/>
      <c r="B18" s="229"/>
      <c r="C18" s="280"/>
      <c r="D18" s="280"/>
      <c r="E18" s="186"/>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c r="AH18" s="192"/>
      <c r="AI18" s="192">
        <v>8.1999999999999993</v>
      </c>
      <c r="AJ18" s="297"/>
      <c r="AK18" s="311"/>
      <c r="AL18" s="311"/>
      <c r="AM18" s="311"/>
      <c r="AN18" s="212"/>
      <c r="AO18" s="311"/>
      <c r="AP18" s="212"/>
      <c r="AQ18" s="311"/>
      <c r="AR18" s="311"/>
      <c r="AS18" s="311"/>
      <c r="AT18" s="311"/>
      <c r="AU18" s="311"/>
      <c r="AV18" s="311"/>
      <c r="AW18" s="203"/>
      <c r="AX18" s="311"/>
      <c r="AY18" s="311"/>
      <c r="AZ18" s="327"/>
    </row>
    <row r="19" spans="1:52" ht="20.100000000000001" customHeight="1" x14ac:dyDescent="0.2">
      <c r="A19" s="305">
        <f>A17+1</f>
        <v>2</v>
      </c>
      <c r="B19" s="228" t="s">
        <v>226</v>
      </c>
      <c r="C19" s="279">
        <v>965</v>
      </c>
      <c r="D19" s="279" t="s">
        <v>65</v>
      </c>
      <c r="E19" s="191" t="s">
        <v>142</v>
      </c>
      <c r="F19" s="191" t="s">
        <v>142</v>
      </c>
      <c r="G19" s="191" t="s">
        <v>4</v>
      </c>
      <c r="H19" s="191" t="s">
        <v>4</v>
      </c>
      <c r="I19" s="191" t="s">
        <v>4</v>
      </c>
      <c r="J19" s="191" t="s">
        <v>4</v>
      </c>
      <c r="K19" s="191" t="s">
        <v>4</v>
      </c>
      <c r="L19" s="191" t="s">
        <v>142</v>
      </c>
      <c r="M19" s="191" t="s">
        <v>142</v>
      </c>
      <c r="N19" s="191" t="s">
        <v>4</v>
      </c>
      <c r="O19" s="191" t="s">
        <v>4</v>
      </c>
      <c r="P19" s="191" t="s">
        <v>4</v>
      </c>
      <c r="Q19" s="191" t="s">
        <v>4</v>
      </c>
      <c r="R19" s="191" t="s">
        <v>4</v>
      </c>
      <c r="S19" s="191" t="s">
        <v>142</v>
      </c>
      <c r="T19" s="191" t="s">
        <v>142</v>
      </c>
      <c r="U19" s="191" t="s">
        <v>4</v>
      </c>
      <c r="V19" s="191" t="s">
        <v>4</v>
      </c>
      <c r="W19" s="191" t="s">
        <v>4</v>
      </c>
      <c r="X19" s="191" t="s">
        <v>4</v>
      </c>
      <c r="Y19" s="191" t="s">
        <v>4</v>
      </c>
      <c r="Z19" s="191" t="s">
        <v>142</v>
      </c>
      <c r="AA19" s="191" t="s">
        <v>142</v>
      </c>
      <c r="AB19" s="191" t="s">
        <v>4</v>
      </c>
      <c r="AC19" s="191" t="s">
        <v>4</v>
      </c>
      <c r="AD19" s="191" t="s">
        <v>4</v>
      </c>
      <c r="AE19" s="191" t="s">
        <v>4</v>
      </c>
      <c r="AF19" s="191" t="s">
        <v>4</v>
      </c>
      <c r="AG19" s="191" t="s">
        <v>142</v>
      </c>
      <c r="AH19" s="191" t="s">
        <v>142</v>
      </c>
      <c r="AI19" s="191" t="s">
        <v>4</v>
      </c>
      <c r="AJ19" s="294">
        <f>IFERROR(COUNTIF(E19:AI19,"=Р")+COUNTIF(E19:AI19,"=Р1")+COUNTIF(E19:AI19,"=ВЧ")+COUNTIF(E19:AI19,"=РН")+COUNTIF(E19:AI19,"=Р2")+COUNTIF(E19:AI19,"=Р1/РВ")+COUNTIF(E19:AI19,"=Р2/РВ")+COUNTIF(E19:AI19,"=ВЧ/РВ")+COUNTIF(E19:AI19,"=РН/РВ"),0)</f>
        <v>21</v>
      </c>
      <c r="AK19" s="211">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167.99999999999997</v>
      </c>
      <c r="AL19" s="211">
        <f>IFERROR(SUMIF(E19:AI19,"=НУ",E20:AI20),0)</f>
        <v>0</v>
      </c>
      <c r="AM19" s="211">
        <f>IFERROR(SUMIF(E19:AI19,"=РН",E20:AI20)+SUMIF(E19:AI19,"=РН/РВ",E20:AI20)+SUMIFS(E20:AI20,E19:AI19,"=Р2",E20:AI20,"=8"),0)</f>
        <v>0</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0</v>
      </c>
      <c r="AO19" s="211">
        <f>IFERROR(SUMIF(E19:AI19,"=РВ",E20:AI20)+SUMIF(E19:AI19,"=ВЧ/РВ",E20:AI20)+SUMIF(E19:AI19,"=РН/РВ",E20:AI20)+SUMIF(E19:AI19,"=Р1/РВ",E20:AI20)+SUMIF(E19:AI19,"=ВЧ2/РВ",E20:AI20)+SUMIF(E19:AI19,"=Р2/РВ",E20:AI20),0)</f>
        <v>0</v>
      </c>
      <c r="AP19" s="211">
        <f>IFERROR(COUNTIF(E19:AI19,"=ВВ")+COUNTIF(E19:AI19,"=Р1/ВВ")+COUNTIF(E19:AI19,"=РН/ВВ")+COUNTIF(E19:AI19,"=ВЧ/ВВ"),0)</f>
        <v>10</v>
      </c>
      <c r="AQ19" s="211">
        <f>SUM(AR19:AZ19)</f>
        <v>0</v>
      </c>
      <c r="AR19" s="211">
        <f>IFERROR(SUMIF(E19:AI19,"=В",E20:AI20)+SUMIF(E19:AI19,"=Ч",E20:AI20)+SUMIF(E19:AI19,"=ВБ",E20:AI20),0)</f>
        <v>0</v>
      </c>
      <c r="AS19" s="211">
        <f>IFERROR(SUMIF(E19:AI19,"=Н",E20:AI20),0)</f>
        <v>0</v>
      </c>
      <c r="AT19" s="211">
        <f>IFERROR(SUMIF(E19:AI19,"=НА",E20:AI20),0)</f>
        <v>0</v>
      </c>
      <c r="AU19" s="211">
        <f>IFERROR(SUMIF(E19:AI19,"=ВП",E20:AI20),0)</f>
        <v>0</v>
      </c>
      <c r="AV19" s="211">
        <f>IFERROR(SUMIF(E19:AI19,"=ДД",E20:AI20),0)</f>
        <v>0</v>
      </c>
      <c r="AW19" s="202">
        <f>IFERROR(SUMIF(E19:AI19,"=ДО",E20:AI20),0)</f>
        <v>0</v>
      </c>
      <c r="AX19" s="211">
        <f>IFERROR(SUMIF(E19:AI19,"=ТН",E20:AI20),0)</f>
        <v>0</v>
      </c>
      <c r="AY19" s="211">
        <f>IFERROR(SUMIF(E19:AI19,"=ВД",E20:AI20),0)</f>
        <v>0</v>
      </c>
      <c r="AZ19" s="312">
        <f>IFERROR(SUMIF(E19:AI19,"=ІН",E20:AI20),0)+SUMIF(E19:AI19,"=НЗ",E20:AI20)</f>
        <v>0</v>
      </c>
    </row>
    <row r="20" spans="1:52" ht="20.100000000000001" customHeight="1" thickBot="1" x14ac:dyDescent="0.25">
      <c r="A20" s="306"/>
      <c r="B20" s="229"/>
      <c r="C20" s="280"/>
      <c r="D20" s="280"/>
      <c r="E20" s="192"/>
      <c r="F20" s="192"/>
      <c r="G20" s="192">
        <v>8.1999999999999993</v>
      </c>
      <c r="H20" s="192">
        <v>8.1999999999999993</v>
      </c>
      <c r="I20" s="192">
        <v>8.1999999999999993</v>
      </c>
      <c r="J20" s="192">
        <v>8.1999999999999993</v>
      </c>
      <c r="K20" s="192">
        <v>7</v>
      </c>
      <c r="L20" s="192"/>
      <c r="M20" s="192"/>
      <c r="N20" s="192">
        <v>8.1999999999999993</v>
      </c>
      <c r="O20" s="192">
        <v>8.1999999999999993</v>
      </c>
      <c r="P20" s="192">
        <v>8.1999999999999993</v>
      </c>
      <c r="Q20" s="192">
        <v>8.1999999999999993</v>
      </c>
      <c r="R20" s="192">
        <v>7.2</v>
      </c>
      <c r="S20" s="192"/>
      <c r="T20" s="192"/>
      <c r="U20" s="192">
        <v>8.1999999999999993</v>
      </c>
      <c r="V20" s="192">
        <v>8.1999999999999993</v>
      </c>
      <c r="W20" s="192">
        <v>8.1999999999999993</v>
      </c>
      <c r="X20" s="192">
        <v>8.1999999999999993</v>
      </c>
      <c r="Y20" s="192">
        <v>7.2</v>
      </c>
      <c r="Z20" s="192"/>
      <c r="AA20" s="192"/>
      <c r="AB20" s="192">
        <v>8.1999999999999993</v>
      </c>
      <c r="AC20" s="192">
        <v>8.1999999999999993</v>
      </c>
      <c r="AD20" s="192">
        <v>8.1999999999999993</v>
      </c>
      <c r="AE20" s="192">
        <v>8.1999999999999993</v>
      </c>
      <c r="AF20" s="192">
        <v>7.2</v>
      </c>
      <c r="AG20" s="192"/>
      <c r="AH20" s="192"/>
      <c r="AI20" s="192">
        <v>8.1999999999999993</v>
      </c>
      <c r="AJ20" s="297"/>
      <c r="AK20" s="311"/>
      <c r="AL20" s="311"/>
      <c r="AM20" s="311"/>
      <c r="AN20" s="212"/>
      <c r="AO20" s="311"/>
      <c r="AP20" s="212"/>
      <c r="AQ20" s="311"/>
      <c r="AR20" s="311"/>
      <c r="AS20" s="311"/>
      <c r="AT20" s="311"/>
      <c r="AU20" s="311"/>
      <c r="AV20" s="311"/>
      <c r="AW20" s="203"/>
      <c r="AX20" s="311"/>
      <c r="AY20" s="311"/>
      <c r="AZ20" s="327"/>
    </row>
    <row r="21" spans="1:52" s="117" customFormat="1" ht="20.100000000000001" customHeight="1" x14ac:dyDescent="0.2">
      <c r="A21" s="305">
        <f t="shared" ref="A21" si="0">A19+1</f>
        <v>3</v>
      </c>
      <c r="B21" s="228" t="s">
        <v>295</v>
      </c>
      <c r="C21" s="279">
        <v>2169</v>
      </c>
      <c r="D21" s="279" t="s">
        <v>65</v>
      </c>
      <c r="E21" s="191" t="s">
        <v>142</v>
      </c>
      <c r="F21" s="191" t="s">
        <v>142</v>
      </c>
      <c r="G21" s="191" t="s">
        <v>4</v>
      </c>
      <c r="H21" s="191" t="s">
        <v>4</v>
      </c>
      <c r="I21" s="191" t="s">
        <v>4</v>
      </c>
      <c r="J21" s="191" t="s">
        <v>4</v>
      </c>
      <c r="K21" s="191" t="s">
        <v>4</v>
      </c>
      <c r="L21" s="191" t="s">
        <v>142</v>
      </c>
      <c r="M21" s="191" t="s">
        <v>142</v>
      </c>
      <c r="N21" s="191" t="s">
        <v>3</v>
      </c>
      <c r="O21" s="191" t="s">
        <v>3</v>
      </c>
      <c r="P21" s="191" t="s">
        <v>3</v>
      </c>
      <c r="Q21" s="191" t="s">
        <v>3</v>
      </c>
      <c r="R21" s="191" t="s">
        <v>3</v>
      </c>
      <c r="S21" s="191" t="s">
        <v>3</v>
      </c>
      <c r="T21" s="191" t="s">
        <v>3</v>
      </c>
      <c r="U21" s="191" t="s">
        <v>3</v>
      </c>
      <c r="V21" s="191" t="s">
        <v>3</v>
      </c>
      <c r="W21" s="191" t="s">
        <v>3</v>
      </c>
      <c r="X21" s="191" t="s">
        <v>3</v>
      </c>
      <c r="Y21" s="191" t="s">
        <v>3</v>
      </c>
      <c r="Z21" s="191" t="s">
        <v>3</v>
      </c>
      <c r="AA21" s="191" t="s">
        <v>3</v>
      </c>
      <c r="AB21" s="191" t="s">
        <v>3</v>
      </c>
      <c r="AC21" s="191" t="s">
        <v>3</v>
      </c>
      <c r="AD21" s="191" t="s">
        <v>3</v>
      </c>
      <c r="AE21" s="191" t="s">
        <v>3</v>
      </c>
      <c r="AF21" s="191" t="s">
        <v>3</v>
      </c>
      <c r="AG21" s="191" t="s">
        <v>3</v>
      </c>
      <c r="AH21" s="191" t="s">
        <v>142</v>
      </c>
      <c r="AI21" s="191" t="s">
        <v>4</v>
      </c>
      <c r="AJ21" s="294">
        <f>IFERROR(COUNTIF(E21:AI21,"=Р")+COUNTIF(E21:AI21,"=Р1")+COUNTIF(E21:AI21,"=ВЧ")+COUNTIF(E21:AI21,"=РН")+COUNTIF(E21:AI21,"=Р2")+COUNTIF(E21:AI21,"=Р1/РВ")+COUNTIF(E21:AI21,"=Р2/РВ")+COUNTIF(E21:AI21,"=ВЧ/РВ")+COUNTIF(E21:AI21,"=РН/РВ"),0)</f>
        <v>6</v>
      </c>
      <c r="AK21" s="211">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48</v>
      </c>
      <c r="AL21" s="211">
        <f>IFERROR(SUMIF(E21:AI21,"=НУ",E22:AI22),0)</f>
        <v>0</v>
      </c>
      <c r="AM21" s="211">
        <f>IFERROR(SUMIF(E21:AI21,"=РН",E22:AI22)+SUMIF(E21:AI21,"=РН/РВ",E22:AI22)+SUMIFS(E22:AI22,E21:AI21,"=Р2",E22:AI22,"=8"),0)</f>
        <v>0</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0</v>
      </c>
      <c r="AO21" s="211">
        <f>IFERROR(SUMIF(E21:AI21,"=РВ",E22:AI22)+SUMIF(E21:AI21,"=ВЧ/РВ",E22:AI22)+SUMIF(E21:AI21,"=РН/РВ",E22:AI22)+SUMIF(E21:AI21,"=Р1/РВ",E22:AI22)+SUMIF(E21:AI21,"=ВЧ2/РВ",E22:AI22)+SUMIF(E21:AI21,"=Р2/РВ",E22:AI22),0)</f>
        <v>0</v>
      </c>
      <c r="AP21" s="211">
        <f>IFERROR(COUNTIF(E21:AI21,"=ВВ")+COUNTIF(E21:AI21,"=Р1/ВВ")+COUNTIF(E21:AI21,"=РН/ВВ")+COUNTIF(E21:AI21,"=ВЧ/ВВ"),0)</f>
        <v>5</v>
      </c>
      <c r="AQ21" s="211">
        <f>SUM(AR21:AZ21)</f>
        <v>120.00000000000003</v>
      </c>
      <c r="AR21" s="211">
        <f>IFERROR(SUMIF(E21:AI21,"=В",E22:AI22)+SUMIF(E21:AI21,"=Ч",E22:AI22)+SUMIF(E21:AI21,"=ВБ",E22:AI22),0)</f>
        <v>120.00000000000003</v>
      </c>
      <c r="AS21" s="211">
        <f>IFERROR(SUMIF(E21:AI21,"=Н",E22:AI22),0)</f>
        <v>0</v>
      </c>
      <c r="AT21" s="211">
        <f>IFERROR(SUMIF(E21:AI21,"=НА",E22:AI22),0)</f>
        <v>0</v>
      </c>
      <c r="AU21" s="211">
        <f>IFERROR(SUMIF(E21:AI21,"=ВП",E22:AI22),0)</f>
        <v>0</v>
      </c>
      <c r="AV21" s="211">
        <f>IFERROR(SUMIF(E21:AI21,"=ДД",E22:AI22),0)</f>
        <v>0</v>
      </c>
      <c r="AW21" s="202">
        <f>IFERROR(SUMIF(E21:AI21,"=ДО",E22:AI22),0)</f>
        <v>0</v>
      </c>
      <c r="AX21" s="211">
        <f>IFERROR(SUMIF(E21:AI21,"=ТН",E22:AI22),0)</f>
        <v>0</v>
      </c>
      <c r="AY21" s="211">
        <f>IFERROR(SUMIF(E21:AI21,"=ВД",E22:AI22),0)</f>
        <v>0</v>
      </c>
      <c r="AZ21" s="312">
        <f>IFERROR(SUMIF(E21:AI21,"=ІН",E22:AI22),0)+SUMIF(E21:AI21,"=НЗ",E22:AI22)</f>
        <v>0</v>
      </c>
    </row>
    <row r="22" spans="1:52" s="117" customFormat="1" ht="20.100000000000001" customHeight="1" thickBot="1" x14ac:dyDescent="0.25">
      <c r="A22" s="306"/>
      <c r="B22" s="229"/>
      <c r="C22" s="280"/>
      <c r="D22" s="280"/>
      <c r="E22" s="192"/>
      <c r="F22" s="192"/>
      <c r="G22" s="192">
        <v>8.1999999999999993</v>
      </c>
      <c r="H22" s="192">
        <v>8.1999999999999993</v>
      </c>
      <c r="I22" s="192">
        <v>8.1999999999999993</v>
      </c>
      <c r="J22" s="192">
        <v>8.1999999999999993</v>
      </c>
      <c r="K22" s="192">
        <v>7</v>
      </c>
      <c r="L22" s="192"/>
      <c r="M22" s="192"/>
      <c r="N22" s="192">
        <v>8.1999999999999993</v>
      </c>
      <c r="O22" s="192">
        <v>8.1999999999999993</v>
      </c>
      <c r="P22" s="192">
        <v>8.1999999999999993</v>
      </c>
      <c r="Q22" s="192">
        <v>8.1999999999999993</v>
      </c>
      <c r="R22" s="192">
        <v>7.2</v>
      </c>
      <c r="S22" s="192"/>
      <c r="T22" s="192"/>
      <c r="U22" s="192">
        <v>8.1999999999999993</v>
      </c>
      <c r="V22" s="192">
        <v>8.1999999999999993</v>
      </c>
      <c r="W22" s="192">
        <v>8.1999999999999993</v>
      </c>
      <c r="X22" s="192">
        <v>8.1999999999999993</v>
      </c>
      <c r="Y22" s="192">
        <v>7.2</v>
      </c>
      <c r="Z22" s="192"/>
      <c r="AA22" s="192"/>
      <c r="AB22" s="192">
        <v>8.1999999999999993</v>
      </c>
      <c r="AC22" s="192">
        <v>8.1999999999999993</v>
      </c>
      <c r="AD22" s="192">
        <v>8.1999999999999993</v>
      </c>
      <c r="AE22" s="192">
        <v>8.1999999999999993</v>
      </c>
      <c r="AF22" s="192">
        <v>7.2</v>
      </c>
      <c r="AG22" s="192"/>
      <c r="AH22" s="192"/>
      <c r="AI22" s="192">
        <v>8.1999999999999993</v>
      </c>
      <c r="AJ22" s="297"/>
      <c r="AK22" s="311"/>
      <c r="AL22" s="311"/>
      <c r="AM22" s="311"/>
      <c r="AN22" s="212"/>
      <c r="AO22" s="311"/>
      <c r="AP22" s="212"/>
      <c r="AQ22" s="311"/>
      <c r="AR22" s="311"/>
      <c r="AS22" s="311"/>
      <c r="AT22" s="311"/>
      <c r="AU22" s="311"/>
      <c r="AV22" s="311"/>
      <c r="AW22" s="203"/>
      <c r="AX22" s="311"/>
      <c r="AY22" s="311"/>
      <c r="AZ22" s="327"/>
    </row>
    <row r="23" spans="1:52" ht="20.100000000000001" customHeight="1" x14ac:dyDescent="0.2">
      <c r="A23" s="305">
        <f t="shared" ref="A23" si="1">A21+1</f>
        <v>4</v>
      </c>
      <c r="B23" s="228" t="s">
        <v>120</v>
      </c>
      <c r="C23" s="279">
        <v>698</v>
      </c>
      <c r="D23" s="279" t="s">
        <v>65</v>
      </c>
      <c r="E23" s="191" t="s">
        <v>142</v>
      </c>
      <c r="F23" s="191" t="s">
        <v>142</v>
      </c>
      <c r="G23" s="191" t="s">
        <v>4</v>
      </c>
      <c r="H23" s="191" t="s">
        <v>4</v>
      </c>
      <c r="I23" s="191" t="s">
        <v>4</v>
      </c>
      <c r="J23" s="191" t="s">
        <v>4</v>
      </c>
      <c r="K23" s="191" t="s">
        <v>4</v>
      </c>
      <c r="L23" s="191" t="s">
        <v>142</v>
      </c>
      <c r="M23" s="191" t="s">
        <v>142</v>
      </c>
      <c r="N23" s="191" t="s">
        <v>4</v>
      </c>
      <c r="O23" s="191" t="s">
        <v>4</v>
      </c>
      <c r="P23" s="191" t="s">
        <v>4</v>
      </c>
      <c r="Q23" s="191" t="s">
        <v>4</v>
      </c>
      <c r="R23" s="191" t="s">
        <v>4</v>
      </c>
      <c r="S23" s="191" t="s">
        <v>142</v>
      </c>
      <c r="T23" s="191" t="s">
        <v>142</v>
      </c>
      <c r="U23" s="191" t="s">
        <v>4</v>
      </c>
      <c r="V23" s="191" t="s">
        <v>4</v>
      </c>
      <c r="W23" s="191" t="s">
        <v>4</v>
      </c>
      <c r="X23" s="191" t="s">
        <v>4</v>
      </c>
      <c r="Y23" s="191" t="s">
        <v>4</v>
      </c>
      <c r="Z23" s="191" t="s">
        <v>142</v>
      </c>
      <c r="AA23" s="191" t="s">
        <v>142</v>
      </c>
      <c r="AB23" s="191" t="s">
        <v>4</v>
      </c>
      <c r="AC23" s="191" t="s">
        <v>4</v>
      </c>
      <c r="AD23" s="191" t="s">
        <v>4</v>
      </c>
      <c r="AE23" s="191" t="s">
        <v>4</v>
      </c>
      <c r="AF23" s="191" t="s">
        <v>4</v>
      </c>
      <c r="AG23" s="191" t="s">
        <v>142</v>
      </c>
      <c r="AH23" s="191" t="s">
        <v>142</v>
      </c>
      <c r="AI23" s="191" t="s">
        <v>4</v>
      </c>
      <c r="AJ23" s="294">
        <f>IFERROR(COUNTIF(E23:AI23,"=Р")+COUNTIF(E23:AI23,"=Р1")+COUNTIF(E23:AI23,"=ВЧ")+COUNTIF(E23:AI23,"=РН")+COUNTIF(E23:AI23,"=Р2")+COUNTIF(E23:AI23,"=Р1/РВ")+COUNTIF(E23:AI23,"=Р2/РВ")+COUNTIF(E23:AI23,"=ВЧ/РВ")+COUNTIF(E23:AI23,"=РН/РВ"),0)</f>
        <v>21</v>
      </c>
      <c r="AK23" s="211">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167.99999999999997</v>
      </c>
      <c r="AL23" s="211">
        <f>IFERROR(SUMIF(E23:AI23,"=НУ",E24:AI24),0)</f>
        <v>0</v>
      </c>
      <c r="AM23" s="211">
        <f>IFERROR(SUMIF(E23:AI23,"=РН",E24:AI24)+SUMIF(E23:AI23,"=РН/РВ",E24:AI24)+SUMIFS(E24:AI24,E23:AI23,"=Р2",E24:AI24,"=8"),0)</f>
        <v>0</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0</v>
      </c>
      <c r="AO23" s="211">
        <f>IFERROR(SUMIF(E23:AI23,"=РВ",E24:AI24)+SUMIF(E23:AI23,"=ВЧ/РВ",E24:AI24)+SUMIF(E23:AI23,"=РН/РВ",E24:AI24)+SUMIF(E23:AI23,"=Р1/РВ",E24:AI24)+SUMIF(E23:AI23,"=ВЧ2/РВ",E24:AI24)+SUMIF(E23:AI23,"=Р2/РВ",E24:AI24),0)</f>
        <v>0</v>
      </c>
      <c r="AP23" s="211">
        <f>IFERROR(COUNTIF(E23:AI23,"=ВВ")+COUNTIF(E23:AI23,"=Р1/ВВ")+COUNTIF(E23:AI23,"=РН/ВВ")+COUNTIF(E23:AI23,"=ВЧ/ВВ"),0)</f>
        <v>10</v>
      </c>
      <c r="AQ23" s="211">
        <f>SUM(AR23:AZ23)</f>
        <v>0</v>
      </c>
      <c r="AR23" s="211">
        <f>IFERROR(SUMIF(E23:AI23,"=В",E24:AI24)+SUMIF(E23:AI23,"=Ч",E24:AI24)+SUMIF(E23:AI23,"=ВБ",E24:AI24),0)</f>
        <v>0</v>
      </c>
      <c r="AS23" s="211">
        <f>IFERROR(SUMIF(E23:AI23,"=Н",E24:AI24),0)</f>
        <v>0</v>
      </c>
      <c r="AT23" s="211">
        <f>IFERROR(SUMIF(E23:AI23,"=НА",E24:AI24),0)</f>
        <v>0</v>
      </c>
      <c r="AU23" s="211">
        <f>IFERROR(SUMIF(E23:AI23,"=ВП",E24:AI24),0)</f>
        <v>0</v>
      </c>
      <c r="AV23" s="211">
        <f>IFERROR(SUMIF(E23:AI23,"=ДД",E24:AI24),0)</f>
        <v>0</v>
      </c>
      <c r="AW23" s="202">
        <f>IFERROR(SUMIF(E23:AI23,"=ДО",E24:AI24),0)</f>
        <v>0</v>
      </c>
      <c r="AX23" s="211">
        <f>IFERROR(SUMIF(E23:AI23,"=ТН",E24:AI24),0)</f>
        <v>0</v>
      </c>
      <c r="AY23" s="211">
        <f>IFERROR(SUMIF(E23:AI23,"=ВД",E24:AI24),0)</f>
        <v>0</v>
      </c>
      <c r="AZ23" s="312">
        <f>IFERROR(SUMIF(E23:AI23,"=ІН",E24:AI24),0)+SUMIF(E23:AI23,"=НЗ",E24:AI24)</f>
        <v>0</v>
      </c>
    </row>
    <row r="24" spans="1:52" ht="20.100000000000001" customHeight="1" thickBot="1" x14ac:dyDescent="0.25">
      <c r="A24" s="306"/>
      <c r="B24" s="229"/>
      <c r="C24" s="280"/>
      <c r="D24" s="280"/>
      <c r="E24" s="192"/>
      <c r="F24" s="192"/>
      <c r="G24" s="192">
        <v>8.1999999999999993</v>
      </c>
      <c r="H24" s="192">
        <v>8.1999999999999993</v>
      </c>
      <c r="I24" s="192">
        <v>8.1999999999999993</v>
      </c>
      <c r="J24" s="192">
        <v>8.1999999999999993</v>
      </c>
      <c r="K24" s="192">
        <v>7</v>
      </c>
      <c r="L24" s="192"/>
      <c r="M24" s="192"/>
      <c r="N24" s="192">
        <v>8.1999999999999993</v>
      </c>
      <c r="O24" s="192">
        <v>8.1999999999999993</v>
      </c>
      <c r="P24" s="192">
        <v>8.1999999999999993</v>
      </c>
      <c r="Q24" s="192">
        <v>8.1999999999999993</v>
      </c>
      <c r="R24" s="192">
        <v>7.2</v>
      </c>
      <c r="S24" s="192"/>
      <c r="T24" s="192"/>
      <c r="U24" s="192">
        <v>8.1999999999999993</v>
      </c>
      <c r="V24" s="192">
        <v>8.1999999999999993</v>
      </c>
      <c r="W24" s="192">
        <v>8.1999999999999993</v>
      </c>
      <c r="X24" s="192">
        <v>8.1999999999999993</v>
      </c>
      <c r="Y24" s="192">
        <v>7.2</v>
      </c>
      <c r="Z24" s="192"/>
      <c r="AA24" s="192"/>
      <c r="AB24" s="192">
        <v>8.1999999999999993</v>
      </c>
      <c r="AC24" s="192">
        <v>8.1999999999999993</v>
      </c>
      <c r="AD24" s="192">
        <v>8.1999999999999993</v>
      </c>
      <c r="AE24" s="192">
        <v>8.1999999999999993</v>
      </c>
      <c r="AF24" s="192">
        <v>7.2</v>
      </c>
      <c r="AG24" s="192"/>
      <c r="AH24" s="192"/>
      <c r="AI24" s="192">
        <v>8.1999999999999993</v>
      </c>
      <c r="AJ24" s="297"/>
      <c r="AK24" s="311"/>
      <c r="AL24" s="311"/>
      <c r="AM24" s="311"/>
      <c r="AN24" s="212"/>
      <c r="AO24" s="311"/>
      <c r="AP24" s="212"/>
      <c r="AQ24" s="311"/>
      <c r="AR24" s="311"/>
      <c r="AS24" s="311"/>
      <c r="AT24" s="311"/>
      <c r="AU24" s="311"/>
      <c r="AV24" s="311"/>
      <c r="AW24" s="203"/>
      <c r="AX24" s="311"/>
      <c r="AY24" s="311"/>
      <c r="AZ24" s="327"/>
    </row>
    <row r="25" spans="1:52" s="109" customFormat="1" ht="20.100000000000001" customHeight="1" x14ac:dyDescent="0.2">
      <c r="A25" s="305">
        <f t="shared" ref="A25" si="2">A23+1</f>
        <v>5</v>
      </c>
      <c r="B25" s="228" t="s">
        <v>281</v>
      </c>
      <c r="C25" s="279">
        <v>1875</v>
      </c>
      <c r="D25" s="279" t="s">
        <v>72</v>
      </c>
      <c r="E25" s="191" t="s">
        <v>142</v>
      </c>
      <c r="F25" s="191" t="s">
        <v>142</v>
      </c>
      <c r="G25" s="191" t="s">
        <v>4</v>
      </c>
      <c r="H25" s="191" t="s">
        <v>4</v>
      </c>
      <c r="I25" s="191" t="s">
        <v>4</v>
      </c>
      <c r="J25" s="191" t="s">
        <v>4</v>
      </c>
      <c r="K25" s="191" t="s">
        <v>4</v>
      </c>
      <c r="L25" s="191" t="s">
        <v>142</v>
      </c>
      <c r="M25" s="191" t="s">
        <v>142</v>
      </c>
      <c r="N25" s="191" t="s">
        <v>4</v>
      </c>
      <c r="O25" s="191" t="s">
        <v>4</v>
      </c>
      <c r="P25" s="191" t="s">
        <v>4</v>
      </c>
      <c r="Q25" s="191" t="s">
        <v>4</v>
      </c>
      <c r="R25" s="191" t="s">
        <v>4</v>
      </c>
      <c r="S25" s="191" t="s">
        <v>142</v>
      </c>
      <c r="T25" s="191" t="s">
        <v>142</v>
      </c>
      <c r="U25" s="191" t="s">
        <v>4</v>
      </c>
      <c r="V25" s="191" t="s">
        <v>4</v>
      </c>
      <c r="W25" s="191" t="s">
        <v>4</v>
      </c>
      <c r="X25" s="191" t="s">
        <v>4</v>
      </c>
      <c r="Y25" s="191" t="s">
        <v>4</v>
      </c>
      <c r="Z25" s="191" t="s">
        <v>142</v>
      </c>
      <c r="AA25" s="191" t="s">
        <v>142</v>
      </c>
      <c r="AB25" s="191" t="s">
        <v>4</v>
      </c>
      <c r="AC25" s="191" t="s">
        <v>4</v>
      </c>
      <c r="AD25" s="191" t="s">
        <v>4</v>
      </c>
      <c r="AE25" s="191" t="s">
        <v>4</v>
      </c>
      <c r="AF25" s="191" t="s">
        <v>4</v>
      </c>
      <c r="AG25" s="191" t="s">
        <v>142</v>
      </c>
      <c r="AH25" s="191" t="s">
        <v>142</v>
      </c>
      <c r="AI25" s="191" t="s">
        <v>4</v>
      </c>
      <c r="AJ25" s="294">
        <f>IFERROR(COUNTIF(E25:AI25,"=Р")+COUNTIF(E25:AI25,"=Р1")+COUNTIF(E25:AI25,"=ВЧ")+COUNTIF(E25:AI25,"=РН")+COUNTIF(E25:AI25,"=Р2")+COUNTIF(E25:AI25,"=Р1/РВ")+COUNTIF(E25:AI25,"=Р2/РВ")+COUNTIF(E25:AI25,"=ВЧ/РВ")+COUNTIF(E25:AI25,"=РН/РВ"),0)</f>
        <v>21</v>
      </c>
      <c r="AK25" s="211">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167.99999999999997</v>
      </c>
      <c r="AL25" s="211">
        <f>IFERROR(SUMIF(E25:AI25,"=НУ",E26:AI26),0)</f>
        <v>0</v>
      </c>
      <c r="AM25" s="211">
        <f>IFERROR(SUMIF(E25:AI25,"=РН",E26:AI26)+SUMIF(E25:AI25,"=РН/РВ",E26:AI26)+SUMIFS(E26:AI26,E25:AI25,"=Р2",E26:AI26,"=8"),0)</f>
        <v>0</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0</v>
      </c>
      <c r="AO25" s="211">
        <f>IFERROR(SUMIF(E25:AI25,"=РВ",E26:AI26)+SUMIF(E25:AI25,"=ВЧ/РВ",E26:AI26)+SUMIF(E25:AI25,"=РН/РВ",E26:AI26)+SUMIF(E25:AI25,"=Р1/РВ",E26:AI26)+SUMIF(E25:AI25,"=ВЧ2/РВ",E26:AI26)+SUMIF(E25:AI25,"=Р2/РВ",E26:AI26),0)</f>
        <v>0</v>
      </c>
      <c r="AP25" s="211">
        <f>IFERROR(COUNTIF(E25:AI25,"=ВВ")+COUNTIF(E25:AI25,"=Р1/ВВ")+COUNTIF(E25:AI25,"=РН/ВВ")+COUNTIF(E25:AI25,"=ВЧ/ВВ"),0)</f>
        <v>10</v>
      </c>
      <c r="AQ25" s="211">
        <f>SUM(AR25:AZ25)</f>
        <v>0</v>
      </c>
      <c r="AR25" s="211">
        <f>IFERROR(SUMIF(E25:AI25,"=В",E26:AI26)+SUMIF(E25:AI25,"=Ч",E26:AI26)+SUMIF(E25:AI25,"=ВБ",E26:AI26),0)</f>
        <v>0</v>
      </c>
      <c r="AS25" s="211">
        <f>IFERROR(SUMIF(E25:AI25,"=Н",E26:AI26),0)</f>
        <v>0</v>
      </c>
      <c r="AT25" s="211">
        <f>IFERROR(SUMIF(E25:AI25,"=НА",E26:AI26),0)</f>
        <v>0</v>
      </c>
      <c r="AU25" s="211">
        <f>IFERROR(SUMIF(E25:AI25,"=ВП",E26:AI26),0)</f>
        <v>0</v>
      </c>
      <c r="AV25" s="211">
        <f>IFERROR(SUMIF(E25:AI25,"=ДД",E26:AI26),0)</f>
        <v>0</v>
      </c>
      <c r="AW25" s="202">
        <f>IFERROR(SUMIF(E25:AI25,"=ДО",E26:AI26),0)</f>
        <v>0</v>
      </c>
      <c r="AX25" s="211">
        <f>IFERROR(SUMIF(E25:AI25,"=ТН",E26:AI26),0)</f>
        <v>0</v>
      </c>
      <c r="AY25" s="211">
        <f>IFERROR(SUMIF(E25:AI25,"=ВД",E26:AI26),0)</f>
        <v>0</v>
      </c>
      <c r="AZ25" s="312">
        <f>IFERROR(SUMIF(E25:AI25,"=ІН",E26:AI26),0)+SUMIF(E25:AI25,"=НЗ",E26:AI26)</f>
        <v>0</v>
      </c>
    </row>
    <row r="26" spans="1:52" s="109" customFormat="1" ht="20.100000000000001" customHeight="1" thickBot="1" x14ac:dyDescent="0.25">
      <c r="A26" s="306"/>
      <c r="B26" s="229"/>
      <c r="C26" s="280"/>
      <c r="D26" s="280"/>
      <c r="E26" s="192"/>
      <c r="F26" s="192"/>
      <c r="G26" s="192">
        <v>8.1999999999999993</v>
      </c>
      <c r="H26" s="192">
        <v>8.1999999999999993</v>
      </c>
      <c r="I26" s="192">
        <v>8.1999999999999993</v>
      </c>
      <c r="J26" s="192">
        <v>8.1999999999999993</v>
      </c>
      <c r="K26" s="192">
        <v>7</v>
      </c>
      <c r="L26" s="192"/>
      <c r="M26" s="192"/>
      <c r="N26" s="192">
        <v>8.1999999999999993</v>
      </c>
      <c r="O26" s="192">
        <v>8.1999999999999993</v>
      </c>
      <c r="P26" s="192">
        <v>8.1999999999999993</v>
      </c>
      <c r="Q26" s="192">
        <v>8.1999999999999993</v>
      </c>
      <c r="R26" s="192">
        <v>7.2</v>
      </c>
      <c r="S26" s="192"/>
      <c r="T26" s="192"/>
      <c r="U26" s="192">
        <v>8.1999999999999993</v>
      </c>
      <c r="V26" s="192">
        <v>8.1999999999999993</v>
      </c>
      <c r="W26" s="192">
        <v>8.1999999999999993</v>
      </c>
      <c r="X26" s="192">
        <v>8.1999999999999993</v>
      </c>
      <c r="Y26" s="192">
        <v>7.2</v>
      </c>
      <c r="Z26" s="192"/>
      <c r="AA26" s="192"/>
      <c r="AB26" s="192">
        <v>8.1999999999999993</v>
      </c>
      <c r="AC26" s="192">
        <v>8.1999999999999993</v>
      </c>
      <c r="AD26" s="192">
        <v>8.1999999999999993</v>
      </c>
      <c r="AE26" s="192">
        <v>8.1999999999999993</v>
      </c>
      <c r="AF26" s="192">
        <v>7.2</v>
      </c>
      <c r="AG26" s="192"/>
      <c r="AH26" s="192"/>
      <c r="AI26" s="192">
        <v>8.1999999999999993</v>
      </c>
      <c r="AJ26" s="297"/>
      <c r="AK26" s="311"/>
      <c r="AL26" s="311"/>
      <c r="AM26" s="311"/>
      <c r="AN26" s="212"/>
      <c r="AO26" s="311"/>
      <c r="AP26" s="212"/>
      <c r="AQ26" s="311"/>
      <c r="AR26" s="311"/>
      <c r="AS26" s="311"/>
      <c r="AT26" s="311"/>
      <c r="AU26" s="311"/>
      <c r="AV26" s="311"/>
      <c r="AW26" s="203"/>
      <c r="AX26" s="311"/>
      <c r="AY26" s="311"/>
      <c r="AZ26" s="327"/>
    </row>
    <row r="27" spans="1:52" s="120" customFormat="1" ht="20.100000000000001" customHeight="1" x14ac:dyDescent="0.2">
      <c r="A27" s="305">
        <f t="shared" ref="A27" si="3">A25+1</f>
        <v>6</v>
      </c>
      <c r="B27" s="228" t="s">
        <v>300</v>
      </c>
      <c r="C27" s="279">
        <v>2171</v>
      </c>
      <c r="D27" s="279" t="s">
        <v>65</v>
      </c>
      <c r="E27" s="191" t="s">
        <v>142</v>
      </c>
      <c r="F27" s="191" t="s">
        <v>142</v>
      </c>
      <c r="G27" s="191" t="s">
        <v>4</v>
      </c>
      <c r="H27" s="191" t="s">
        <v>4</v>
      </c>
      <c r="I27" s="191" t="s">
        <v>4</v>
      </c>
      <c r="J27" s="191" t="s">
        <v>4</v>
      </c>
      <c r="K27" s="191" t="s">
        <v>4</v>
      </c>
      <c r="L27" s="191" t="s">
        <v>142</v>
      </c>
      <c r="M27" s="191" t="s">
        <v>142</v>
      </c>
      <c r="N27" s="191" t="s">
        <v>4</v>
      </c>
      <c r="O27" s="191" t="s">
        <v>4</v>
      </c>
      <c r="P27" s="191" t="s">
        <v>4</v>
      </c>
      <c r="Q27" s="191" t="s">
        <v>4</v>
      </c>
      <c r="R27" s="191" t="s">
        <v>4</v>
      </c>
      <c r="S27" s="191" t="s">
        <v>142</v>
      </c>
      <c r="T27" s="191" t="s">
        <v>142</v>
      </c>
      <c r="U27" s="191" t="s">
        <v>4</v>
      </c>
      <c r="V27" s="191" t="s">
        <v>4</v>
      </c>
      <c r="W27" s="191" t="s">
        <v>4</v>
      </c>
      <c r="X27" s="191" t="s">
        <v>4</v>
      </c>
      <c r="Y27" s="191" t="s">
        <v>4</v>
      </c>
      <c r="Z27" s="191" t="s">
        <v>142</v>
      </c>
      <c r="AA27" s="191" t="s">
        <v>142</v>
      </c>
      <c r="AB27" s="191" t="s">
        <v>4</v>
      </c>
      <c r="AC27" s="191" t="s">
        <v>4</v>
      </c>
      <c r="AD27" s="191" t="s">
        <v>4</v>
      </c>
      <c r="AE27" s="191" t="s">
        <v>4</v>
      </c>
      <c r="AF27" s="191" t="s">
        <v>4</v>
      </c>
      <c r="AG27" s="191" t="s">
        <v>142</v>
      </c>
      <c r="AH27" s="191" t="s">
        <v>142</v>
      </c>
      <c r="AI27" s="191" t="s">
        <v>4</v>
      </c>
      <c r="AJ27" s="294">
        <f>IFERROR(COUNTIF(E27:AI27,"=Р")+COUNTIF(E27:AI27,"=Р1")+COUNTIF(E27:AI27,"=ВЧ")+COUNTIF(E27:AI27,"=РН")+COUNTIF(E27:AI27,"=Р2")+COUNTIF(E27:AI27,"=Р1/РВ")+COUNTIF(E27:AI27,"=Р2/РВ")+COUNTIF(E27:AI27,"=ВЧ/РВ")+COUNTIF(E27:AI27,"=РН/РВ"),0)</f>
        <v>21</v>
      </c>
      <c r="AK27" s="211">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167.99999999999997</v>
      </c>
      <c r="AL27" s="211">
        <f>IFERROR(SUMIF(E27:AI27,"=НУ",E28:AI28),0)</f>
        <v>0</v>
      </c>
      <c r="AM27" s="211">
        <f>IFERROR(SUMIF(E27:AI27,"=РН",E28:AI28)+SUMIF(E27:AI27,"=РН/РВ",E28:AI28)+SUMIFS(E28:AI28,E27:AI27,"=Р2",E28:AI28,"=8"),0)</f>
        <v>0</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0</v>
      </c>
      <c r="AO27" s="211">
        <f>IFERROR(SUMIF(E27:AI27,"=РВ",E28:AI28)+SUMIF(E27:AI27,"=ВЧ/РВ",E28:AI28)+SUMIF(E27:AI27,"=РН/РВ",E28:AI28)+SUMIF(E27:AI27,"=Р1/РВ",E28:AI28)+SUMIF(E27:AI27,"=ВЧ2/РВ",E28:AI28)+SUMIF(E27:AI27,"=Р2/РВ",E28:AI28),0)</f>
        <v>0</v>
      </c>
      <c r="AP27" s="211">
        <f>IFERROR(COUNTIF(E27:AI27,"=ВВ")+COUNTIF(E27:AI27,"=Р1/ВВ")+COUNTIF(E27:AI27,"=РН/ВВ")+COUNTIF(E27:AI27,"=ВЧ/ВВ"),0)</f>
        <v>10</v>
      </c>
      <c r="AQ27" s="211">
        <f>SUM(AR27:AZ27)</f>
        <v>0</v>
      </c>
      <c r="AR27" s="211">
        <f>IFERROR(SUMIF(E27:AI27,"=В",E28:AI28)+SUMIF(E27:AI27,"=Ч",E28:AI28)+SUMIF(E27:AI27,"=ВБ",E28:AI28),0)</f>
        <v>0</v>
      </c>
      <c r="AS27" s="211">
        <f>IFERROR(SUMIF(E27:AI27,"=Н",E28:AI28),0)</f>
        <v>0</v>
      </c>
      <c r="AT27" s="211">
        <f>IFERROR(SUMIF(E27:AI27,"=НА",E28:AI28),0)</f>
        <v>0</v>
      </c>
      <c r="AU27" s="211">
        <f>IFERROR(SUMIF(E27:AI27,"=ВП",E28:AI28),0)</f>
        <v>0</v>
      </c>
      <c r="AV27" s="211">
        <f>IFERROR(SUMIF(E27:AI27,"=ДД",E28:AI28),0)</f>
        <v>0</v>
      </c>
      <c r="AW27" s="202">
        <f>IFERROR(SUMIF(E27:AI27,"=ДО",E28:AI28),0)</f>
        <v>0</v>
      </c>
      <c r="AX27" s="211">
        <f>IFERROR(SUMIF(E27:AI27,"=ТН",E28:AI28),0)</f>
        <v>0</v>
      </c>
      <c r="AY27" s="211">
        <f>IFERROR(SUMIF(E27:AI27,"=ВД",E28:AI28),0)</f>
        <v>0</v>
      </c>
      <c r="AZ27" s="312">
        <f>IFERROR(SUMIF(E27:AI27,"=ІН",E28:AI28),0)+SUMIF(E27:AI27,"=НЗ",E28:AI28)</f>
        <v>0</v>
      </c>
    </row>
    <row r="28" spans="1:52" s="120" customFormat="1" ht="20.100000000000001" customHeight="1" thickBot="1" x14ac:dyDescent="0.25">
      <c r="A28" s="306"/>
      <c r="B28" s="229"/>
      <c r="C28" s="280"/>
      <c r="D28" s="280"/>
      <c r="E28" s="192"/>
      <c r="F28" s="192"/>
      <c r="G28" s="192">
        <v>8.1999999999999993</v>
      </c>
      <c r="H28" s="192">
        <v>8.1999999999999993</v>
      </c>
      <c r="I28" s="192">
        <v>8.1999999999999993</v>
      </c>
      <c r="J28" s="192">
        <v>8.1999999999999993</v>
      </c>
      <c r="K28" s="192">
        <v>7</v>
      </c>
      <c r="L28" s="192"/>
      <c r="M28" s="192"/>
      <c r="N28" s="192">
        <v>8.1999999999999993</v>
      </c>
      <c r="O28" s="192">
        <v>8.1999999999999993</v>
      </c>
      <c r="P28" s="192">
        <v>8.1999999999999993</v>
      </c>
      <c r="Q28" s="192">
        <v>8.1999999999999993</v>
      </c>
      <c r="R28" s="192">
        <v>7.2</v>
      </c>
      <c r="S28" s="192"/>
      <c r="T28" s="192"/>
      <c r="U28" s="192">
        <v>8.1999999999999993</v>
      </c>
      <c r="V28" s="192">
        <v>8.1999999999999993</v>
      </c>
      <c r="W28" s="192">
        <v>8.1999999999999993</v>
      </c>
      <c r="X28" s="192">
        <v>8.1999999999999993</v>
      </c>
      <c r="Y28" s="192">
        <v>7.2</v>
      </c>
      <c r="Z28" s="192"/>
      <c r="AA28" s="192"/>
      <c r="AB28" s="192">
        <v>8.1999999999999993</v>
      </c>
      <c r="AC28" s="192">
        <v>8.1999999999999993</v>
      </c>
      <c r="AD28" s="192">
        <v>8.1999999999999993</v>
      </c>
      <c r="AE28" s="192">
        <v>8.1999999999999993</v>
      </c>
      <c r="AF28" s="192">
        <v>7.2</v>
      </c>
      <c r="AG28" s="192"/>
      <c r="AH28" s="192"/>
      <c r="AI28" s="192">
        <v>8.1999999999999993</v>
      </c>
      <c r="AJ28" s="297"/>
      <c r="AK28" s="311"/>
      <c r="AL28" s="311"/>
      <c r="AM28" s="311"/>
      <c r="AN28" s="212"/>
      <c r="AO28" s="311"/>
      <c r="AP28" s="212"/>
      <c r="AQ28" s="311"/>
      <c r="AR28" s="311"/>
      <c r="AS28" s="311"/>
      <c r="AT28" s="311"/>
      <c r="AU28" s="311"/>
      <c r="AV28" s="311"/>
      <c r="AW28" s="203"/>
      <c r="AX28" s="311"/>
      <c r="AY28" s="311"/>
      <c r="AZ28" s="327"/>
    </row>
    <row r="29" spans="1:52" ht="20.100000000000001" customHeight="1" x14ac:dyDescent="0.2">
      <c r="A29" s="305">
        <f t="shared" ref="A29" si="4">A27+1</f>
        <v>7</v>
      </c>
      <c r="B29" s="228" t="s">
        <v>227</v>
      </c>
      <c r="C29" s="279">
        <v>1712</v>
      </c>
      <c r="D29" s="279" t="s">
        <v>65</v>
      </c>
      <c r="E29" s="191" t="s">
        <v>142</v>
      </c>
      <c r="F29" s="191" t="s">
        <v>142</v>
      </c>
      <c r="G29" s="191" t="s">
        <v>4</v>
      </c>
      <c r="H29" s="191" t="s">
        <v>4</v>
      </c>
      <c r="I29" s="191" t="s">
        <v>4</v>
      </c>
      <c r="J29" s="191" t="s">
        <v>4</v>
      </c>
      <c r="K29" s="191" t="s">
        <v>4</v>
      </c>
      <c r="L29" s="191" t="s">
        <v>142</v>
      </c>
      <c r="M29" s="191" t="s">
        <v>142</v>
      </c>
      <c r="N29" s="191" t="s">
        <v>4</v>
      </c>
      <c r="O29" s="191" t="s">
        <v>4</v>
      </c>
      <c r="P29" s="191" t="s">
        <v>4</v>
      </c>
      <c r="Q29" s="191" t="s">
        <v>4</v>
      </c>
      <c r="R29" s="191" t="s">
        <v>4</v>
      </c>
      <c r="S29" s="191" t="s">
        <v>142</v>
      </c>
      <c r="T29" s="191" t="s">
        <v>142</v>
      </c>
      <c r="U29" s="191" t="s">
        <v>4</v>
      </c>
      <c r="V29" s="191" t="s">
        <v>4</v>
      </c>
      <c r="W29" s="191" t="s">
        <v>4</v>
      </c>
      <c r="X29" s="191" t="s">
        <v>4</v>
      </c>
      <c r="Y29" s="191" t="s">
        <v>4</v>
      </c>
      <c r="Z29" s="191" t="s">
        <v>142</v>
      </c>
      <c r="AA29" s="191" t="s">
        <v>142</v>
      </c>
      <c r="AB29" s="191" t="s">
        <v>4</v>
      </c>
      <c r="AC29" s="191" t="s">
        <v>4</v>
      </c>
      <c r="AD29" s="191" t="s">
        <v>52</v>
      </c>
      <c r="AE29" s="191" t="s">
        <v>52</v>
      </c>
      <c r="AF29" s="191" t="s">
        <v>52</v>
      </c>
      <c r="AG29" s="191" t="s">
        <v>52</v>
      </c>
      <c r="AH29" s="191" t="s">
        <v>52</v>
      </c>
      <c r="AI29" s="191" t="s">
        <v>52</v>
      </c>
      <c r="AJ29" s="294">
        <f>IFERROR(COUNTIF(E29:AI29,"=Р")+COUNTIF(E29:AI29,"=Р1")+COUNTIF(E29:AI29,"=ВЧ")+COUNTIF(E29:AI29,"=РН")+COUNTIF(E29:AI29,"=Р2")+COUNTIF(E29:AI29,"=Р1/РВ")+COUNTIF(E29:AI29,"=Р2/РВ")+COUNTIF(E29:AI29,"=ВЧ/РВ")+COUNTIF(E29:AI29,"=РН/РВ"),0)</f>
        <v>17</v>
      </c>
      <c r="AK29" s="211">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136.20000000000002</v>
      </c>
      <c r="AL29" s="211">
        <f>IFERROR(SUMIF(E29:AI29,"=НУ",E30:AI30),0)</f>
        <v>0</v>
      </c>
      <c r="AM29" s="211">
        <f>IFERROR(SUMIF(E29:AI29,"=РН",E30:AI30)+SUMIF(E29:AI29,"=РН/РВ",E30:AI30)+SUMIFS(E30:AI30,E29:AI29,"=Р2",E30:AI30,"=8"),0)</f>
        <v>0</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0</v>
      </c>
      <c r="AO29" s="211">
        <f>IFERROR(SUMIF(E29:AI29,"=РВ",E30:AI30)+SUMIF(E29:AI29,"=ВЧ/РВ",E30:AI30)+SUMIF(E29:AI29,"=РН/РВ",E30:AI30)+SUMIF(E29:AI29,"=Р1/РВ",E30:AI30)+SUMIF(E29:AI29,"=ВЧ2/РВ",E30:AI30)+SUMIF(E29:AI29,"=Р2/РВ",E30:AI30),0)</f>
        <v>0</v>
      </c>
      <c r="AP29" s="211">
        <f>IFERROR(COUNTIF(E29:AI29,"=ВВ")+COUNTIF(E29:AI29,"=Р1/ВВ")+COUNTIF(E29:AI29,"=РН/ВВ")+COUNTIF(E29:AI29,"=ВЧ/ВВ"),0)</f>
        <v>8</v>
      </c>
      <c r="AQ29" s="211">
        <f>SUM(AR29:AZ29)</f>
        <v>31.799999999999997</v>
      </c>
      <c r="AR29" s="211">
        <f>IFERROR(SUMIF(E29:AI29,"=В",E30:AI30)+SUMIF(E29:AI29,"=Ч",E30:AI30)+SUMIF(E29:AI29,"=ВБ",E30:AI30),0)</f>
        <v>0</v>
      </c>
      <c r="AS29" s="211">
        <f>IFERROR(SUMIF(E29:AI29,"=Н",E30:AI30),0)</f>
        <v>0</v>
      </c>
      <c r="AT29" s="211">
        <f>IFERROR(SUMIF(E29:AI29,"=НА",E30:AI30),0)</f>
        <v>0</v>
      </c>
      <c r="AU29" s="211">
        <f>IFERROR(SUMIF(E29:AI29,"=ВП",E30:AI30),0)</f>
        <v>0</v>
      </c>
      <c r="AV29" s="211">
        <f>IFERROR(SUMIF(E29:AI29,"=ДД",E30:AI30),0)</f>
        <v>0</v>
      </c>
      <c r="AW29" s="202">
        <f>IFERROR(SUMIF(E29:AI29,"=ДО",E30:AI30),0)</f>
        <v>0</v>
      </c>
      <c r="AX29" s="211">
        <f>IFERROR(SUMIF(E29:AI29,"=ТН",E30:AI30),0)</f>
        <v>31.799999999999997</v>
      </c>
      <c r="AY29" s="211">
        <f>IFERROR(SUMIF(E29:AI29,"=ВД",E30:AI30),0)</f>
        <v>0</v>
      </c>
      <c r="AZ29" s="312">
        <f>IFERROR(SUMIF(E29:AI29,"=ІН",E30:AI30),0)+SUMIF(E29:AI29,"=НЗ",E30:AI30)</f>
        <v>0</v>
      </c>
    </row>
    <row r="30" spans="1:52" ht="20.100000000000001" customHeight="1" thickBot="1" x14ac:dyDescent="0.25">
      <c r="A30" s="306"/>
      <c r="B30" s="229"/>
      <c r="C30" s="280"/>
      <c r="D30" s="280"/>
      <c r="E30" s="192"/>
      <c r="F30" s="192"/>
      <c r="G30" s="192">
        <v>8.1999999999999993</v>
      </c>
      <c r="H30" s="192">
        <v>8.1999999999999993</v>
      </c>
      <c r="I30" s="192">
        <v>8.1999999999999993</v>
      </c>
      <c r="J30" s="192">
        <v>8.1999999999999993</v>
      </c>
      <c r="K30" s="192">
        <v>7</v>
      </c>
      <c r="L30" s="192"/>
      <c r="M30" s="192"/>
      <c r="N30" s="192">
        <v>8.1999999999999993</v>
      </c>
      <c r="O30" s="192">
        <v>8.1999999999999993</v>
      </c>
      <c r="P30" s="192">
        <v>8.1999999999999993</v>
      </c>
      <c r="Q30" s="192">
        <v>8.1999999999999993</v>
      </c>
      <c r="R30" s="192">
        <v>7.2</v>
      </c>
      <c r="S30" s="192"/>
      <c r="T30" s="192"/>
      <c r="U30" s="192">
        <v>8.1999999999999993</v>
      </c>
      <c r="V30" s="192">
        <v>8.1999999999999993</v>
      </c>
      <c r="W30" s="192">
        <v>8.1999999999999993</v>
      </c>
      <c r="X30" s="192">
        <v>8.1999999999999993</v>
      </c>
      <c r="Y30" s="192">
        <v>7.2</v>
      </c>
      <c r="Z30" s="192"/>
      <c r="AA30" s="192"/>
      <c r="AB30" s="192">
        <v>8.1999999999999993</v>
      </c>
      <c r="AC30" s="192">
        <v>8.1999999999999993</v>
      </c>
      <c r="AD30" s="192">
        <v>8.1999999999999993</v>
      </c>
      <c r="AE30" s="192">
        <v>8.1999999999999993</v>
      </c>
      <c r="AF30" s="192">
        <v>7.2</v>
      </c>
      <c r="AG30" s="192"/>
      <c r="AH30" s="192"/>
      <c r="AI30" s="192">
        <v>8.1999999999999993</v>
      </c>
      <c r="AJ30" s="297"/>
      <c r="AK30" s="311"/>
      <c r="AL30" s="311"/>
      <c r="AM30" s="311"/>
      <c r="AN30" s="212"/>
      <c r="AO30" s="311"/>
      <c r="AP30" s="212"/>
      <c r="AQ30" s="311"/>
      <c r="AR30" s="311"/>
      <c r="AS30" s="311"/>
      <c r="AT30" s="311"/>
      <c r="AU30" s="311"/>
      <c r="AV30" s="311"/>
      <c r="AW30" s="203"/>
      <c r="AX30" s="311"/>
      <c r="AY30" s="311"/>
      <c r="AZ30" s="327"/>
    </row>
    <row r="31" spans="1:52" ht="20.100000000000001" customHeight="1" x14ac:dyDescent="0.2">
      <c r="A31" s="305">
        <f t="shared" ref="A31" si="5">A29+1</f>
        <v>8</v>
      </c>
      <c r="B31" s="228" t="s">
        <v>117</v>
      </c>
      <c r="C31" s="279">
        <v>1863</v>
      </c>
      <c r="D31" s="279" t="s">
        <v>65</v>
      </c>
      <c r="E31" s="191" t="s">
        <v>142</v>
      </c>
      <c r="F31" s="191" t="s">
        <v>142</v>
      </c>
      <c r="G31" s="191" t="s">
        <v>4</v>
      </c>
      <c r="H31" s="191" t="s">
        <v>4</v>
      </c>
      <c r="I31" s="191" t="s">
        <v>4</v>
      </c>
      <c r="J31" s="191" t="s">
        <v>4</v>
      </c>
      <c r="K31" s="191" t="s">
        <v>4</v>
      </c>
      <c r="L31" s="191" t="s">
        <v>142</v>
      </c>
      <c r="M31" s="191" t="s">
        <v>142</v>
      </c>
      <c r="N31" s="191" t="s">
        <v>4</v>
      </c>
      <c r="O31" s="191" t="s">
        <v>4</v>
      </c>
      <c r="P31" s="191" t="s">
        <v>4</v>
      </c>
      <c r="Q31" s="191" t="s">
        <v>4</v>
      </c>
      <c r="R31" s="191" t="s">
        <v>4</v>
      </c>
      <c r="S31" s="191" t="s">
        <v>142</v>
      </c>
      <c r="T31" s="191" t="s">
        <v>142</v>
      </c>
      <c r="U31" s="191" t="s">
        <v>4</v>
      </c>
      <c r="V31" s="191" t="s">
        <v>4</v>
      </c>
      <c r="W31" s="191" t="s">
        <v>4</v>
      </c>
      <c r="X31" s="191" t="s">
        <v>4</v>
      </c>
      <c r="Y31" s="191" t="s">
        <v>4</v>
      </c>
      <c r="Z31" s="191" t="s">
        <v>142</v>
      </c>
      <c r="AA31" s="191" t="s">
        <v>142</v>
      </c>
      <c r="AB31" s="191" t="s">
        <v>4</v>
      </c>
      <c r="AC31" s="191" t="s">
        <v>4</v>
      </c>
      <c r="AD31" s="191" t="s">
        <v>4</v>
      </c>
      <c r="AE31" s="191" t="s">
        <v>4</v>
      </c>
      <c r="AF31" s="191" t="s">
        <v>4</v>
      </c>
      <c r="AG31" s="191" t="s">
        <v>142</v>
      </c>
      <c r="AH31" s="191" t="s">
        <v>142</v>
      </c>
      <c r="AI31" s="191" t="s">
        <v>4</v>
      </c>
      <c r="AJ31" s="294">
        <f>IFERROR(COUNTIF(E31:AI31,"=Р")+COUNTIF(E31:AI31,"=Р1")+COUNTIF(E31:AI31,"=ВЧ")+COUNTIF(E31:AI31,"=РН")+COUNTIF(E31:AI31,"=Р2")+COUNTIF(E31:AI31,"=Р1/РВ")+COUNTIF(E31:AI31,"=Р2/РВ")+COUNTIF(E31:AI31,"=ВЧ/РВ")+COUNTIF(E31:AI31,"=РН/РВ"),0)</f>
        <v>21</v>
      </c>
      <c r="AK31" s="211">
        <f>IFERROR(SUMIF(E31:AI31,"=Р2",E32:AI32)+SUMIF(E31:AI31,"=ВЧ/РВ",E32:AI32)+SUMIF(E31:AI31,"=РН/РВ",E32:AI32)+SUMIF(E31:AI31,"=Р1/РВ",E32:AI32)+SUMIF(E31:AI31,"=ВЧ2/РВ",E32:AI32)+SUMIF(E31:AI31,"=Р2/РВ",E32:AI32)+SUMIF(E31:AI31,"=Р",E32:AI32)+SUMIF(E31:AI31,"=Р1",E32:AI32)+SUMIF(E31:AI31,"=ВЧ1",E32:AI32)+SUMIF(E31:AI31,"=РН",E32:AI32)+SUMIF(E31:AI31,"=ВЧ",E32:AI32),0)+AL31</f>
        <v>167.99999999999997</v>
      </c>
      <c r="AL31" s="211">
        <f>IFERROR(SUMIF(E31:AI31,"=НУ",E32:AI32),0)</f>
        <v>0</v>
      </c>
      <c r="AM31" s="211">
        <f>IFERROR(SUMIF(E31:AI31,"=РН",E32:AI32)+SUMIF(E31:AI31,"=РН/РВ",E32:AI32)+SUMIFS(E32:AI32,E31:AI31,"=Р2",E32:AI32,"=8"),0)</f>
        <v>0</v>
      </c>
      <c r="AN31" s="211">
        <f>IFERROR(SUMIF(E31:AI31,"=ВЧ",E32:AI32)+SUMIF(E31:AI31,"=ВЧ/РВ",E32:AI32)+CEILING(COUNTIFS(E31:AI31,"=Р2",E32:AI32,"=7")*4,1)+CEILING(COUNTIFS(E31:AI31,"=Р2/РВ",E32:AI32,"=7")*4,1)+SUMIFS(E32:AI32,E31:AI31,"=Р1/РВ",E32:AI32,"=12")/6+SUMIFS(E32:AI32,E31:AI31,"=ВЧ2/РВ",E32:AI32,"=4")/2+SUMIFS(E32:AI32,E31:AI31,"=Р1",E32:AI32,"=12")/6+SUMIFS(E32:AI32,E31:AI31,"=Р1",E32:AI32,"=8")/4+SUMIF(E31:AI31,"=ВЧ1",E32:AI32)/2,0)</f>
        <v>0</v>
      </c>
      <c r="AO31" s="211">
        <f>IFERROR(SUMIF(E31:AI31,"=РВ",E32:AI32)+SUMIF(E31:AI31,"=ВЧ/РВ",E32:AI32)+SUMIF(E31:AI31,"=РН/РВ",E32:AI32)+SUMIF(E31:AI31,"=Р1/РВ",E32:AI32)+SUMIF(E31:AI31,"=ВЧ2/РВ",E32:AI32)+SUMIF(E31:AI31,"=Р2/РВ",E32:AI32),0)</f>
        <v>0</v>
      </c>
      <c r="AP31" s="211">
        <f>IFERROR(COUNTIF(E31:AI31,"=ВВ")+COUNTIF(E31:AI31,"=Р1/ВВ")+COUNTIF(E31:AI31,"=РН/ВВ")+COUNTIF(E31:AI31,"=ВЧ/ВВ"),0)</f>
        <v>10</v>
      </c>
      <c r="AQ31" s="211">
        <f>SUM(AR31:AZ31)</f>
        <v>0</v>
      </c>
      <c r="AR31" s="211">
        <f>IFERROR(SUMIF(E31:AI31,"=В",E32:AI32)+SUMIF(E31:AI31,"=Ч",E32:AI32)+SUMIF(E31:AI31,"=ВБ",E32:AI32),0)</f>
        <v>0</v>
      </c>
      <c r="AS31" s="211">
        <f>IFERROR(SUMIF(E31:AI31,"=Н",E32:AI32),0)</f>
        <v>0</v>
      </c>
      <c r="AT31" s="211">
        <f>IFERROR(SUMIF(E31:AI31,"=НА",E32:AI32),0)</f>
        <v>0</v>
      </c>
      <c r="AU31" s="211">
        <f>IFERROR(SUMIF(E31:AI31,"=ВП",E32:AI32),0)</f>
        <v>0</v>
      </c>
      <c r="AV31" s="211">
        <f>IFERROR(SUMIF(E31:AI31,"=ДД",E32:AI32),0)</f>
        <v>0</v>
      </c>
      <c r="AW31" s="202">
        <f>IFERROR(SUMIF(E31:AI31,"=ДО",E32:AI32),0)</f>
        <v>0</v>
      </c>
      <c r="AX31" s="211">
        <f>IFERROR(SUMIF(E31:AI31,"=ТН",E32:AI32),0)</f>
        <v>0</v>
      </c>
      <c r="AY31" s="211">
        <f>IFERROR(SUMIF(E31:AI31,"=ВД",E32:AI32),0)</f>
        <v>0</v>
      </c>
      <c r="AZ31" s="312">
        <f>IFERROR(SUMIF(E31:AI31,"=ІН",E32:AI32),0)+SUMIF(E31:AI31,"=НЗ",E32:AI32)</f>
        <v>0</v>
      </c>
    </row>
    <row r="32" spans="1:52" ht="20.100000000000001" customHeight="1" thickBot="1" x14ac:dyDescent="0.25">
      <c r="A32" s="306"/>
      <c r="B32" s="229"/>
      <c r="C32" s="280"/>
      <c r="D32" s="280"/>
      <c r="E32" s="192"/>
      <c r="F32" s="192"/>
      <c r="G32" s="192">
        <v>8.1999999999999993</v>
      </c>
      <c r="H32" s="192">
        <v>8.1999999999999993</v>
      </c>
      <c r="I32" s="192">
        <v>8.1999999999999993</v>
      </c>
      <c r="J32" s="192">
        <v>8.1999999999999993</v>
      </c>
      <c r="K32" s="192">
        <v>7</v>
      </c>
      <c r="L32" s="192"/>
      <c r="M32" s="192"/>
      <c r="N32" s="192">
        <v>8.1999999999999993</v>
      </c>
      <c r="O32" s="192">
        <v>8.1999999999999993</v>
      </c>
      <c r="P32" s="192">
        <v>8.1999999999999993</v>
      </c>
      <c r="Q32" s="192">
        <v>8.1999999999999993</v>
      </c>
      <c r="R32" s="192">
        <v>7.2</v>
      </c>
      <c r="S32" s="192"/>
      <c r="T32" s="192"/>
      <c r="U32" s="192">
        <v>8.1999999999999993</v>
      </c>
      <c r="V32" s="192">
        <v>8.1999999999999993</v>
      </c>
      <c r="W32" s="192">
        <v>8.1999999999999993</v>
      </c>
      <c r="X32" s="192">
        <v>8.1999999999999993</v>
      </c>
      <c r="Y32" s="192">
        <v>7.2</v>
      </c>
      <c r="Z32" s="192"/>
      <c r="AA32" s="192"/>
      <c r="AB32" s="192">
        <v>8.1999999999999993</v>
      </c>
      <c r="AC32" s="192">
        <v>8.1999999999999993</v>
      </c>
      <c r="AD32" s="192">
        <v>8.1999999999999993</v>
      </c>
      <c r="AE32" s="192">
        <v>8.1999999999999993</v>
      </c>
      <c r="AF32" s="192">
        <v>7.2</v>
      </c>
      <c r="AG32" s="192"/>
      <c r="AH32" s="192"/>
      <c r="AI32" s="192">
        <v>8.1999999999999993</v>
      </c>
      <c r="AJ32" s="297"/>
      <c r="AK32" s="311"/>
      <c r="AL32" s="311"/>
      <c r="AM32" s="311"/>
      <c r="AN32" s="212"/>
      <c r="AO32" s="311"/>
      <c r="AP32" s="212"/>
      <c r="AQ32" s="311"/>
      <c r="AR32" s="311"/>
      <c r="AS32" s="311"/>
      <c r="AT32" s="311"/>
      <c r="AU32" s="311"/>
      <c r="AV32" s="311"/>
      <c r="AW32" s="203"/>
      <c r="AX32" s="311"/>
      <c r="AY32" s="311"/>
      <c r="AZ32" s="327"/>
    </row>
    <row r="33" spans="1:52" ht="20.100000000000001" customHeight="1" x14ac:dyDescent="0.2">
      <c r="A33" s="305">
        <f t="shared" ref="A33" si="6">A31+1</f>
        <v>9</v>
      </c>
      <c r="B33" s="228" t="s">
        <v>121</v>
      </c>
      <c r="C33" s="279">
        <v>2026</v>
      </c>
      <c r="D33" s="279" t="s">
        <v>65</v>
      </c>
      <c r="E33" s="191" t="s">
        <v>142</v>
      </c>
      <c r="F33" s="191" t="s">
        <v>142</v>
      </c>
      <c r="G33" s="191" t="s">
        <v>4</v>
      </c>
      <c r="H33" s="191" t="s">
        <v>4</v>
      </c>
      <c r="I33" s="191" t="s">
        <v>4</v>
      </c>
      <c r="J33" s="191" t="s">
        <v>4</v>
      </c>
      <c r="K33" s="191" t="s">
        <v>4</v>
      </c>
      <c r="L33" s="191" t="s">
        <v>142</v>
      </c>
      <c r="M33" s="191" t="s">
        <v>142</v>
      </c>
      <c r="N33" s="191" t="s">
        <v>4</v>
      </c>
      <c r="O33" s="191" t="s">
        <v>4</v>
      </c>
      <c r="P33" s="191" t="s">
        <v>4</v>
      </c>
      <c r="Q33" s="191" t="s">
        <v>4</v>
      </c>
      <c r="R33" s="191" t="s">
        <v>4</v>
      </c>
      <c r="S33" s="191" t="s">
        <v>142</v>
      </c>
      <c r="T33" s="191" t="s">
        <v>142</v>
      </c>
      <c r="U33" s="191" t="s">
        <v>4</v>
      </c>
      <c r="V33" s="191" t="s">
        <v>4</v>
      </c>
      <c r="W33" s="191" t="s">
        <v>4</v>
      </c>
      <c r="X33" s="191" t="s">
        <v>4</v>
      </c>
      <c r="Y33" s="191" t="s">
        <v>4</v>
      </c>
      <c r="Z33" s="191" t="s">
        <v>142</v>
      </c>
      <c r="AA33" s="191" t="s">
        <v>142</v>
      </c>
      <c r="AB33" s="191" t="s">
        <v>4</v>
      </c>
      <c r="AC33" s="191" t="s">
        <v>4</v>
      </c>
      <c r="AD33" s="191" t="s">
        <v>4</v>
      </c>
      <c r="AE33" s="191" t="s">
        <v>4</v>
      </c>
      <c r="AF33" s="191" t="s">
        <v>4</v>
      </c>
      <c r="AG33" s="191" t="s">
        <v>142</v>
      </c>
      <c r="AH33" s="191" t="s">
        <v>142</v>
      </c>
      <c r="AI33" s="191" t="s">
        <v>4</v>
      </c>
      <c r="AJ33" s="294">
        <f>IFERROR(COUNTIF(E33:AI33,"=Р")+COUNTIF(E33:AI33,"=Р1")+COUNTIF(E33:AI33,"=ВЧ")+COUNTIF(E33:AI33,"=РН")+COUNTIF(E33:AI33,"=Р2")+COUNTIF(E33:AI33,"=Р1/РВ")+COUNTIF(E33:AI33,"=Р2/РВ")+COUNTIF(E33:AI33,"=ВЧ/РВ")+COUNTIF(E33:AI33,"=РН/РВ"),0)</f>
        <v>21</v>
      </c>
      <c r="AK33" s="211">
        <f>IFERROR(SUMIF(E33:AI33,"=Р2",E34:AI34)+SUMIF(E33:AI33,"=ВЧ/РВ",E34:AI34)+SUMIF(E33:AI33,"=РН/РВ",E34:AI34)+SUMIF(E33:AI33,"=Р1/РВ",E34:AI34)+SUMIF(E33:AI33,"=ВЧ2/РВ",E34:AI34)+SUMIF(E33:AI33,"=Р2/РВ",E34:AI34)+SUMIF(E33:AI33,"=Р",E34:AI34)+SUMIF(E33:AI33,"=Р1",E34:AI34)+SUMIF(E33:AI33,"=ВЧ1",E34:AI34)+SUMIF(E33:AI33,"=РН",E34:AI34)+SUMIF(E33:AI33,"=ВЧ",E34:AI34),0)+AL33</f>
        <v>167.99999999999997</v>
      </c>
      <c r="AL33" s="211">
        <f>IFERROR(SUMIF(E33:AI33,"=НУ",E34:AI34),0)</f>
        <v>0</v>
      </c>
      <c r="AM33" s="211">
        <f>IFERROR(SUMIF(E33:AI33,"=РН",E34:AI34)+SUMIF(E33:AI33,"=РН/РВ",E34:AI34)+SUMIFS(E34:AI34,E33:AI33,"=Р2",E34:AI34,"=8"),0)</f>
        <v>0</v>
      </c>
      <c r="AN33" s="211">
        <f>IFERROR(SUMIF(E33:AI33,"=ВЧ",E34:AI34)+SUMIF(E33:AI33,"=ВЧ/РВ",E34:AI34)+CEILING(COUNTIFS(E33:AI33,"=Р2",E34:AI34,"=7")*4,1)+CEILING(COUNTIFS(E33:AI33,"=Р2/РВ",E34:AI34,"=7")*4,1)+SUMIFS(E34:AI34,E33:AI33,"=Р1/РВ",E34:AI34,"=12")/6+SUMIFS(E34:AI34,E33:AI33,"=ВЧ2/РВ",E34:AI34,"=4")/2+SUMIFS(E34:AI34,E33:AI33,"=Р1",E34:AI34,"=12")/6+SUMIFS(E34:AI34,E33:AI33,"=Р1",E34:AI34,"=8")/4+SUMIF(E33:AI33,"=ВЧ1",E34:AI34)/2,0)</f>
        <v>0</v>
      </c>
      <c r="AO33" s="211">
        <f>IFERROR(SUMIF(E33:AI33,"=РВ",E34:AI34)+SUMIF(E33:AI33,"=ВЧ/РВ",E34:AI34)+SUMIF(E33:AI33,"=РН/РВ",E34:AI34)+SUMIF(E33:AI33,"=Р1/РВ",E34:AI34)+SUMIF(E33:AI33,"=ВЧ2/РВ",E34:AI34)+SUMIF(E33:AI33,"=Р2/РВ",E34:AI34),0)</f>
        <v>0</v>
      </c>
      <c r="AP33" s="211">
        <f>IFERROR(COUNTIF(E33:AI33,"=ВВ")+COUNTIF(E33:AI33,"=Р1/ВВ")+COUNTIF(E33:AI33,"=РН/ВВ")+COUNTIF(E33:AI33,"=ВЧ/ВВ"),0)</f>
        <v>10</v>
      </c>
      <c r="AQ33" s="211">
        <f>SUM(AR33:AZ33)</f>
        <v>0</v>
      </c>
      <c r="AR33" s="211">
        <f>IFERROR(SUMIF(E33:AI33,"=В",E34:AI34)+SUMIF(E33:AI33,"=Ч",E34:AI34)+SUMIF(E33:AI33,"=ВБ",E34:AI34),0)</f>
        <v>0</v>
      </c>
      <c r="AS33" s="211">
        <f>IFERROR(SUMIF(E33:AI33,"=Н",E34:AI34),0)</f>
        <v>0</v>
      </c>
      <c r="AT33" s="211">
        <f>IFERROR(SUMIF(E33:AI33,"=НА",E34:AI34),0)</f>
        <v>0</v>
      </c>
      <c r="AU33" s="211">
        <f>IFERROR(SUMIF(E33:AI33,"=ВП",E34:AI34),0)</f>
        <v>0</v>
      </c>
      <c r="AV33" s="211">
        <f>IFERROR(SUMIF(E33:AI33,"=ДД",E34:AI34),0)</f>
        <v>0</v>
      </c>
      <c r="AW33" s="202">
        <f>IFERROR(SUMIF(E33:AI33,"=ДО",E34:AI34),0)</f>
        <v>0</v>
      </c>
      <c r="AX33" s="211">
        <f>IFERROR(SUMIF(E33:AI33,"=ТН",E34:AI34),0)</f>
        <v>0</v>
      </c>
      <c r="AY33" s="211">
        <f>IFERROR(SUMIF(E33:AI33,"=ВД",E34:AI34),0)</f>
        <v>0</v>
      </c>
      <c r="AZ33" s="312">
        <f>IFERROR(SUMIF(E33:AI33,"=ІН",E34:AI34),0)+SUMIF(E33:AI33,"=НЗ",E34:AI34)</f>
        <v>0</v>
      </c>
    </row>
    <row r="34" spans="1:52" ht="20.100000000000001" customHeight="1" thickBot="1" x14ac:dyDescent="0.25">
      <c r="A34" s="306"/>
      <c r="B34" s="229"/>
      <c r="C34" s="280"/>
      <c r="D34" s="280"/>
      <c r="E34" s="192"/>
      <c r="F34" s="192"/>
      <c r="G34" s="192">
        <v>8.1999999999999993</v>
      </c>
      <c r="H34" s="192">
        <v>8.1999999999999993</v>
      </c>
      <c r="I34" s="192">
        <v>8.1999999999999993</v>
      </c>
      <c r="J34" s="192">
        <v>8.1999999999999993</v>
      </c>
      <c r="K34" s="192">
        <v>7</v>
      </c>
      <c r="L34" s="192"/>
      <c r="M34" s="192"/>
      <c r="N34" s="192">
        <v>8.1999999999999993</v>
      </c>
      <c r="O34" s="192">
        <v>8.1999999999999993</v>
      </c>
      <c r="P34" s="192">
        <v>8.1999999999999993</v>
      </c>
      <c r="Q34" s="192">
        <v>8.1999999999999993</v>
      </c>
      <c r="R34" s="192">
        <v>7.2</v>
      </c>
      <c r="S34" s="192"/>
      <c r="T34" s="192"/>
      <c r="U34" s="192">
        <v>8.1999999999999993</v>
      </c>
      <c r="V34" s="192">
        <v>8.1999999999999993</v>
      </c>
      <c r="W34" s="192">
        <v>8.1999999999999993</v>
      </c>
      <c r="X34" s="192">
        <v>8.1999999999999993</v>
      </c>
      <c r="Y34" s="192">
        <v>7.2</v>
      </c>
      <c r="Z34" s="192"/>
      <c r="AA34" s="192"/>
      <c r="AB34" s="192">
        <v>8.1999999999999993</v>
      </c>
      <c r="AC34" s="192">
        <v>8.1999999999999993</v>
      </c>
      <c r="AD34" s="192">
        <v>8.1999999999999993</v>
      </c>
      <c r="AE34" s="192">
        <v>8.1999999999999993</v>
      </c>
      <c r="AF34" s="192">
        <v>7.2</v>
      </c>
      <c r="AG34" s="192"/>
      <c r="AH34" s="192"/>
      <c r="AI34" s="192">
        <v>8.1999999999999993</v>
      </c>
      <c r="AJ34" s="297"/>
      <c r="AK34" s="311"/>
      <c r="AL34" s="311"/>
      <c r="AM34" s="311"/>
      <c r="AN34" s="212"/>
      <c r="AO34" s="311"/>
      <c r="AP34" s="212"/>
      <c r="AQ34" s="311"/>
      <c r="AR34" s="311"/>
      <c r="AS34" s="311"/>
      <c r="AT34" s="311"/>
      <c r="AU34" s="311"/>
      <c r="AV34" s="311"/>
      <c r="AW34" s="203"/>
      <c r="AX34" s="311"/>
      <c r="AY34" s="311"/>
      <c r="AZ34" s="327"/>
    </row>
    <row r="35" spans="1:52" ht="20.100000000000001" customHeight="1" x14ac:dyDescent="0.2">
      <c r="A35" s="305">
        <f t="shared" ref="A35" si="7">A33+1</f>
        <v>10</v>
      </c>
      <c r="B35" s="228" t="s">
        <v>123</v>
      </c>
      <c r="C35" s="279">
        <v>2071</v>
      </c>
      <c r="D35" s="279" t="s">
        <v>65</v>
      </c>
      <c r="E35" s="191" t="s">
        <v>354</v>
      </c>
      <c r="F35" s="191" t="s">
        <v>4</v>
      </c>
      <c r="G35" s="191" t="s">
        <v>354</v>
      </c>
      <c r="H35" s="191" t="s">
        <v>354</v>
      </c>
      <c r="I35" s="191" t="s">
        <v>142</v>
      </c>
      <c r="J35" s="191" t="s">
        <v>354</v>
      </c>
      <c r="K35" s="191" t="s">
        <v>354</v>
      </c>
      <c r="L35" s="191" t="s">
        <v>4</v>
      </c>
      <c r="M35" s="191" t="s">
        <v>354</v>
      </c>
      <c r="N35" s="191" t="s">
        <v>354</v>
      </c>
      <c r="O35" s="191" t="s">
        <v>142</v>
      </c>
      <c r="P35" s="191" t="s">
        <v>354</v>
      </c>
      <c r="Q35" s="191" t="s">
        <v>354</v>
      </c>
      <c r="R35" s="191" t="s">
        <v>142</v>
      </c>
      <c r="S35" s="191" t="s">
        <v>354</v>
      </c>
      <c r="T35" s="191" t="s">
        <v>354</v>
      </c>
      <c r="U35" s="191" t="s">
        <v>142</v>
      </c>
      <c r="V35" s="191" t="s">
        <v>354</v>
      </c>
      <c r="W35" s="191" t="s">
        <v>354</v>
      </c>
      <c r="X35" s="191" t="s">
        <v>142</v>
      </c>
      <c r="Y35" s="191" t="s">
        <v>354</v>
      </c>
      <c r="Z35" s="191" t="s">
        <v>354</v>
      </c>
      <c r="AA35" s="191" t="s">
        <v>4</v>
      </c>
      <c r="AB35" s="191" t="s">
        <v>354</v>
      </c>
      <c r="AC35" s="191" t="s">
        <v>354</v>
      </c>
      <c r="AD35" s="191" t="s">
        <v>142</v>
      </c>
      <c r="AE35" s="191" t="s">
        <v>354</v>
      </c>
      <c r="AF35" s="191" t="s">
        <v>354</v>
      </c>
      <c r="AG35" s="191" t="s">
        <v>4</v>
      </c>
      <c r="AH35" s="191" t="s">
        <v>354</v>
      </c>
      <c r="AI35" s="191" t="s">
        <v>354</v>
      </c>
      <c r="AJ35" s="294">
        <f>IFERROR(COUNTIF(E35:AI35,"=Р")+COUNTIF(E35:AI35,"=Р1")+COUNTIF(E35:AI35,"=ВЧ")+COUNTIF(E35:AI35,"=РН")+COUNTIF(E35:AI35,"=Р2")+COUNTIF(E35:AI35,"=Р1/РВ")+COUNTIF(E35:AI35,"=Р2/РВ")+COUNTIF(E35:AI35,"=ВЧ/РВ")+COUNTIF(E35:AI35,"=РН/РВ"),0)</f>
        <v>25</v>
      </c>
      <c r="AK35" s="211">
        <f>IFERROR(SUMIF(E35:AI35,"=Р2",E36:AI36)+SUMIF(E35:AI35,"=ВЧ/РВ",E36:AI36)+SUMIF(E35:AI35,"=РН/РВ",E36:AI36)+SUMIF(E35:AI35,"=Р1/РВ",E36:AI36)+SUMIF(E35:AI35,"=ВЧ2/РВ",E36:AI36)+SUMIF(E35:AI35,"=Р2/РВ",E36:AI36)+SUMIF(E35:AI35,"=Р",E36:AI36)+SUMIF(E35:AI35,"=Р1",E36:AI36)+SUMIF(E35:AI35,"=ВЧ1",E36:AI36)+SUMIF(E35:AI35,"=РН",E36:AI36)+SUMIF(E35:AI35,"=ВЧ",E36:AI36),0)+AL35</f>
        <v>168</v>
      </c>
      <c r="AL35" s="211">
        <f>IFERROR(SUMIF(E35:AI35,"=НУ",E36:AI36),0)</f>
        <v>0</v>
      </c>
      <c r="AM35" s="211">
        <f>IFERROR(SUMIF(E35:AI35,"=РН",E36:AI36)+SUMIF(E35:AI35,"=РН/РВ",E36:AI36)+SUMIFS(E36:AI36,E35:AI35,"=Р2",E36:AI36,"=8"),0)</f>
        <v>88</v>
      </c>
      <c r="AN35" s="211">
        <f>IFERROR(SUMIF(E35:AI35,"=ВЧ",E36:AI36)+SUMIF(E35:AI35,"=ВЧ/РВ",E36:AI36)+CEILING(COUNTIFS(E35:AI35,"=Р2",E36:AI36,"=7")*4,1)+CEILING(COUNTIFS(E35:AI35,"=Р2/РВ",E36:AI36,"=7")*4,1)+SUMIFS(E36:AI36,E35:AI35,"=Р1/РВ",E36:AI36,"=12")/6+SUMIFS(E36:AI36,E35:AI35,"=ВЧ2/РВ",E36:AI36,"=4")/2+SUMIFS(E36:AI36,E35:AI35,"=Р1",E36:AI36,"=12")/6+SUMIFS(E36:AI36,E35:AI35,"=Р1",E36:AI36,"=8")/4+SUMIF(E35:AI35,"=ВЧ1",E36:AI36)/2,0)</f>
        <v>40</v>
      </c>
      <c r="AO35" s="211">
        <f>IFERROR(SUMIF(E35:AI35,"=РВ",E36:AI36)+SUMIF(E35:AI35,"=ВЧ/РВ",E36:AI36)+SUMIF(E35:AI35,"=РН/РВ",E36:AI36)+SUMIF(E35:AI35,"=Р1/РВ",E36:AI36)+SUMIF(E35:AI35,"=ВЧ2/РВ",E36:AI36)+SUMIF(E35:AI35,"=Р2/РВ",E36:AI36),0)</f>
        <v>0</v>
      </c>
      <c r="AP35" s="211">
        <f>IFERROR(COUNTIF(E35:AI35,"=ВВ")+COUNTIF(E35:AI35,"=Р1/ВВ")+COUNTIF(E35:AI35,"=РН/ВВ")+COUNTIF(E35:AI35,"=ВЧ/ВВ"),0)</f>
        <v>6</v>
      </c>
      <c r="AQ35" s="211">
        <f>SUM(AR35:AZ35)</f>
        <v>0</v>
      </c>
      <c r="AR35" s="211">
        <f>IFERROR(SUMIF(E35:AI35,"=В",E36:AI36)+SUMIF(E35:AI35,"=Ч",E36:AI36)+SUMIF(E35:AI35,"=ВБ",E36:AI36),0)</f>
        <v>0</v>
      </c>
      <c r="AS35" s="211">
        <f>IFERROR(SUMIF(E35:AI35,"=Н",E36:AI36),0)</f>
        <v>0</v>
      </c>
      <c r="AT35" s="211">
        <f>IFERROR(SUMIF(E35:AI35,"=НА",E36:AI36),0)</f>
        <v>0</v>
      </c>
      <c r="AU35" s="211">
        <f>IFERROR(SUMIF(E35:AI35,"=ВП",E36:AI36),0)</f>
        <v>0</v>
      </c>
      <c r="AV35" s="211">
        <f>IFERROR(SUMIF(E35:AI35,"=ДД",E36:AI36),0)</f>
        <v>0</v>
      </c>
      <c r="AW35" s="202">
        <f>IFERROR(SUMIF(E35:AI35,"=ДО",E36:AI36),0)</f>
        <v>0</v>
      </c>
      <c r="AX35" s="211">
        <f>IFERROR(SUMIF(E35:AI35,"=ТН",E36:AI36),0)</f>
        <v>0</v>
      </c>
      <c r="AY35" s="211">
        <f>IFERROR(SUMIF(E35:AI35,"=ВД",E36:AI36),0)</f>
        <v>0</v>
      </c>
      <c r="AZ35" s="312">
        <f>IFERROR(SUMIF(E35:AI35,"=ІН",E36:AI36),0)+SUMIF(E35:AI35,"=НЗ",E36:AI36)</f>
        <v>0</v>
      </c>
    </row>
    <row r="36" spans="1:52" ht="20.100000000000001" customHeight="1" thickBot="1" x14ac:dyDescent="0.25">
      <c r="A36" s="306"/>
      <c r="B36" s="229"/>
      <c r="C36" s="280"/>
      <c r="D36" s="280"/>
      <c r="E36" s="192">
        <v>8</v>
      </c>
      <c r="F36" s="192">
        <v>2</v>
      </c>
      <c r="G36" s="192">
        <v>7</v>
      </c>
      <c r="H36" s="192">
        <v>8</v>
      </c>
      <c r="I36" s="192"/>
      <c r="J36" s="192">
        <v>7</v>
      </c>
      <c r="K36" s="192">
        <v>8</v>
      </c>
      <c r="L36" s="192">
        <v>2</v>
      </c>
      <c r="M36" s="192">
        <v>7</v>
      </c>
      <c r="N36" s="192">
        <v>8</v>
      </c>
      <c r="O36" s="192"/>
      <c r="P36" s="192">
        <v>7</v>
      </c>
      <c r="Q36" s="192">
        <v>8</v>
      </c>
      <c r="R36" s="192"/>
      <c r="S36" s="192">
        <v>7</v>
      </c>
      <c r="T36" s="192">
        <v>8</v>
      </c>
      <c r="U36" s="192"/>
      <c r="V36" s="192">
        <v>7</v>
      </c>
      <c r="W36" s="192">
        <v>8</v>
      </c>
      <c r="X36" s="192"/>
      <c r="Y36" s="192">
        <v>7</v>
      </c>
      <c r="Z36" s="192">
        <v>8</v>
      </c>
      <c r="AA36" s="192">
        <v>3</v>
      </c>
      <c r="AB36" s="192">
        <v>7</v>
      </c>
      <c r="AC36" s="192">
        <v>8</v>
      </c>
      <c r="AD36" s="192"/>
      <c r="AE36" s="192">
        <v>7</v>
      </c>
      <c r="AF36" s="192">
        <v>8</v>
      </c>
      <c r="AG36" s="192">
        <v>3</v>
      </c>
      <c r="AH36" s="192">
        <v>7</v>
      </c>
      <c r="AI36" s="192">
        <v>8</v>
      </c>
      <c r="AJ36" s="297"/>
      <c r="AK36" s="311"/>
      <c r="AL36" s="311"/>
      <c r="AM36" s="311"/>
      <c r="AN36" s="212"/>
      <c r="AO36" s="311"/>
      <c r="AP36" s="212"/>
      <c r="AQ36" s="311"/>
      <c r="AR36" s="311"/>
      <c r="AS36" s="311"/>
      <c r="AT36" s="311"/>
      <c r="AU36" s="311"/>
      <c r="AV36" s="311"/>
      <c r="AW36" s="203"/>
      <c r="AX36" s="311"/>
      <c r="AY36" s="311"/>
      <c r="AZ36" s="327"/>
    </row>
    <row r="37" spans="1:52" s="164" customFormat="1" ht="20.100000000000001" customHeight="1" x14ac:dyDescent="0.2">
      <c r="A37" s="305">
        <f t="shared" ref="A37" si="8">A35+1</f>
        <v>11</v>
      </c>
      <c r="B37" s="228" t="s">
        <v>340</v>
      </c>
      <c r="C37" s="279">
        <v>2172</v>
      </c>
      <c r="D37" s="279" t="s">
        <v>65</v>
      </c>
      <c r="E37" s="191" t="s">
        <v>142</v>
      </c>
      <c r="F37" s="191" t="s">
        <v>142</v>
      </c>
      <c r="G37" s="191" t="s">
        <v>4</v>
      </c>
      <c r="H37" s="191" t="s">
        <v>4</v>
      </c>
      <c r="I37" s="191" t="s">
        <v>4</v>
      </c>
      <c r="J37" s="191" t="s">
        <v>4</v>
      </c>
      <c r="K37" s="191" t="s">
        <v>4</v>
      </c>
      <c r="L37" s="191" t="s">
        <v>142</v>
      </c>
      <c r="M37" s="191" t="s">
        <v>142</v>
      </c>
      <c r="N37" s="191" t="s">
        <v>76</v>
      </c>
      <c r="O37" s="191" t="s">
        <v>76</v>
      </c>
      <c r="P37" s="191" t="s">
        <v>76</v>
      </c>
      <c r="Q37" s="191" t="s">
        <v>76</v>
      </c>
      <c r="R37" s="191" t="s">
        <v>76</v>
      </c>
      <c r="S37" s="191" t="s">
        <v>76</v>
      </c>
      <c r="T37" s="191" t="s">
        <v>76</v>
      </c>
      <c r="U37" s="191" t="s">
        <v>52</v>
      </c>
      <c r="V37" s="191" t="s">
        <v>52</v>
      </c>
      <c r="W37" s="191" t="s">
        <v>52</v>
      </c>
      <c r="X37" s="191" t="s">
        <v>52</v>
      </c>
      <c r="Y37" s="191" t="s">
        <v>52</v>
      </c>
      <c r="Z37" s="191" t="s">
        <v>76</v>
      </c>
      <c r="AA37" s="191" t="s">
        <v>76</v>
      </c>
      <c r="AB37" s="191" t="s">
        <v>4</v>
      </c>
      <c r="AC37" s="191" t="s">
        <v>4</v>
      </c>
      <c r="AD37" s="191" t="s">
        <v>4</v>
      </c>
      <c r="AE37" s="191" t="s">
        <v>4</v>
      </c>
      <c r="AF37" s="191" t="s">
        <v>4</v>
      </c>
      <c r="AG37" s="191" t="s">
        <v>142</v>
      </c>
      <c r="AH37" s="191" t="s">
        <v>142</v>
      </c>
      <c r="AI37" s="191" t="s">
        <v>4</v>
      </c>
      <c r="AJ37" s="294">
        <f>IFERROR(COUNTIF(E37:AI37,"=Р")+COUNTIF(E37:AI37,"=Р1")+COUNTIF(E37:AI37,"=ВЧ")+COUNTIF(E37:AI37,"=РН")+COUNTIF(E37:AI37,"=Р2")+COUNTIF(E37:AI37,"=Р1/РВ")+COUNTIF(E37:AI37,"=Р2/РВ")+COUNTIF(E37:AI37,"=ВЧ/РВ")+COUNTIF(E37:AI37,"=РН/РВ"),0)</f>
        <v>11</v>
      </c>
      <c r="AK37" s="211">
        <f>IFERROR(SUMIF(E37:AI37,"=Р2",E38:AI38)+SUMIF(E37:AI37,"=ВЧ/РВ",E38:AI38)+SUMIF(E37:AI37,"=РН/РВ",E38:AI38)+SUMIF(E37:AI37,"=Р1/РВ",E38:AI38)+SUMIF(E37:AI37,"=ВЧ2/РВ",E38:AI38)+SUMIF(E37:AI37,"=Р2/РВ",E38:AI38)+SUMIF(E37:AI37,"=Р",E38:AI38)+SUMIF(E37:AI37,"=Р1",E38:AI38)+SUMIF(E37:AI37,"=ВЧ1",E38:AI38)+SUMIF(E37:AI37,"=РН",E38:AI38)+SUMIF(E37:AI37,"=ВЧ",E38:AI38),0)+AL37</f>
        <v>88.000000000000014</v>
      </c>
      <c r="AL37" s="211">
        <f>IFERROR(SUMIF(E37:AI37,"=НУ",E38:AI38),0)</f>
        <v>0</v>
      </c>
      <c r="AM37" s="211">
        <f>IFERROR(SUMIF(E37:AI37,"=РН",E38:AI38)+SUMIF(E37:AI37,"=РН/РВ",E38:AI38)+SUMIFS(E38:AI38,E37:AI37,"=Р2",E38:AI38,"=8"),0)</f>
        <v>0</v>
      </c>
      <c r="AN37" s="211">
        <f>IFERROR(SUMIF(E37:AI37,"=ВЧ",E38:AI38)+SUMIF(E37:AI37,"=ВЧ/РВ",E38:AI38)+CEILING(COUNTIFS(E37:AI37,"=Р2",E38:AI38,"=7")*4,1)+CEILING(COUNTIFS(E37:AI37,"=Р2/РВ",E38:AI38,"=7")*4,1)+SUMIFS(E38:AI38,E37:AI37,"=Р1/РВ",E38:AI38,"=12")/6+SUMIFS(E38:AI38,E37:AI37,"=ВЧ2/РВ",E38:AI38,"=4")/2+SUMIFS(E38:AI38,E37:AI37,"=Р1",E38:AI38,"=12")/6+SUMIFS(E38:AI38,E37:AI37,"=Р1",E38:AI38,"=8")/4+SUMIF(E37:AI37,"=ВЧ1",E38:AI38)/2,0)</f>
        <v>0</v>
      </c>
      <c r="AO37" s="211">
        <f>IFERROR(SUMIF(E37:AI37,"=РВ",E38:AI38)+SUMIF(E37:AI37,"=ВЧ/РВ",E38:AI38)+SUMIF(E37:AI37,"=РН/РВ",E38:AI38)+SUMIF(E37:AI37,"=Р1/РВ",E38:AI38)+SUMIF(E37:AI37,"=ВЧ2/РВ",E38:AI38)+SUMIF(E37:AI37,"=Р2/РВ",E38:AI38),0)</f>
        <v>0</v>
      </c>
      <c r="AP37" s="211">
        <f>IFERROR(COUNTIF(E37:AI37,"=ВВ")+COUNTIF(E37:AI37,"=Р1/ВВ")+COUNTIF(E37:AI37,"=РН/ВВ")+COUNTIF(E37:AI37,"=ВЧ/ВВ"),0)</f>
        <v>6</v>
      </c>
      <c r="AQ37" s="211">
        <f>SUM(AR37:AZ37)</f>
        <v>80</v>
      </c>
      <c r="AR37" s="211">
        <f>IFERROR(SUMIF(E37:AI37,"=В",E38:AI38)+SUMIF(E37:AI37,"=Ч",E38:AI38)+SUMIF(E37:AI37,"=ВБ",E38:AI38),0)</f>
        <v>40</v>
      </c>
      <c r="AS37" s="211">
        <f>IFERROR(SUMIF(E37:AI37,"=Н",E38:AI38),0)</f>
        <v>0</v>
      </c>
      <c r="AT37" s="211">
        <f>IFERROR(SUMIF(E37:AI37,"=НА",E38:AI38),0)</f>
        <v>0</v>
      </c>
      <c r="AU37" s="211">
        <f>IFERROR(SUMIF(E37:AI37,"=ВП",E38:AI38),0)</f>
        <v>0</v>
      </c>
      <c r="AV37" s="211">
        <f>IFERROR(SUMIF(E37:AI37,"=ДД",E38:AI38),0)</f>
        <v>0</v>
      </c>
      <c r="AW37" s="202">
        <f>IFERROR(SUMIF(E37:AI37,"=ДО",E38:AI38),0)</f>
        <v>0</v>
      </c>
      <c r="AX37" s="211">
        <f>IFERROR(SUMIF(E37:AI37,"=ТН",E38:AI38),0)</f>
        <v>40</v>
      </c>
      <c r="AY37" s="211">
        <f>IFERROR(SUMIF(E37:AI37,"=ВД",E38:AI38),0)</f>
        <v>0</v>
      </c>
      <c r="AZ37" s="312">
        <f>IFERROR(SUMIF(E37:AI37,"=ІН",E38:AI38),0)+SUMIF(E37:AI37,"=НЗ",E38:AI38)</f>
        <v>0</v>
      </c>
    </row>
    <row r="38" spans="1:52" s="164" customFormat="1" ht="20.100000000000001" customHeight="1" thickBot="1" x14ac:dyDescent="0.25">
      <c r="A38" s="306"/>
      <c r="B38" s="229"/>
      <c r="C38" s="280"/>
      <c r="D38" s="280"/>
      <c r="E38" s="192"/>
      <c r="F38" s="192"/>
      <c r="G38" s="192">
        <v>8.1999999999999993</v>
      </c>
      <c r="H38" s="192">
        <v>8.1999999999999993</v>
      </c>
      <c r="I38" s="192">
        <v>8.1999999999999993</v>
      </c>
      <c r="J38" s="192">
        <v>8.1999999999999993</v>
      </c>
      <c r="K38" s="192">
        <v>7</v>
      </c>
      <c r="L38" s="192"/>
      <c r="M38" s="192"/>
      <c r="N38" s="192">
        <v>8.1999999999999993</v>
      </c>
      <c r="O38" s="192">
        <v>8.1999999999999993</v>
      </c>
      <c r="P38" s="192">
        <v>8.1999999999999993</v>
      </c>
      <c r="Q38" s="192">
        <v>8.1999999999999993</v>
      </c>
      <c r="R38" s="192">
        <v>7.2</v>
      </c>
      <c r="S38" s="192"/>
      <c r="T38" s="192"/>
      <c r="U38" s="192">
        <v>8.1999999999999993</v>
      </c>
      <c r="V38" s="192">
        <v>8.1999999999999993</v>
      </c>
      <c r="W38" s="192">
        <v>8.1999999999999993</v>
      </c>
      <c r="X38" s="192">
        <v>8.1999999999999993</v>
      </c>
      <c r="Y38" s="192">
        <v>7.2</v>
      </c>
      <c r="Z38" s="192"/>
      <c r="AA38" s="192"/>
      <c r="AB38" s="192">
        <v>8.1999999999999993</v>
      </c>
      <c r="AC38" s="192">
        <v>8.1999999999999993</v>
      </c>
      <c r="AD38" s="192">
        <v>8.1999999999999993</v>
      </c>
      <c r="AE38" s="192">
        <v>8.1999999999999993</v>
      </c>
      <c r="AF38" s="192">
        <v>7.2</v>
      </c>
      <c r="AG38" s="192"/>
      <c r="AH38" s="192"/>
      <c r="AI38" s="192">
        <v>8.1999999999999993</v>
      </c>
      <c r="AJ38" s="297"/>
      <c r="AK38" s="311"/>
      <c r="AL38" s="311"/>
      <c r="AM38" s="311"/>
      <c r="AN38" s="212"/>
      <c r="AO38" s="311"/>
      <c r="AP38" s="212"/>
      <c r="AQ38" s="311"/>
      <c r="AR38" s="311"/>
      <c r="AS38" s="311"/>
      <c r="AT38" s="311"/>
      <c r="AU38" s="311"/>
      <c r="AV38" s="311"/>
      <c r="AW38" s="203"/>
      <c r="AX38" s="311"/>
      <c r="AY38" s="311"/>
      <c r="AZ38" s="327"/>
    </row>
    <row r="39" spans="1:52" ht="20.100000000000001" customHeight="1" x14ac:dyDescent="0.2">
      <c r="A39" s="305">
        <f t="shared" ref="A39" si="9">A37+1</f>
        <v>12</v>
      </c>
      <c r="B39" s="228" t="s">
        <v>122</v>
      </c>
      <c r="C39" s="279">
        <v>617</v>
      </c>
      <c r="D39" s="279" t="s">
        <v>72</v>
      </c>
      <c r="E39" s="191" t="s">
        <v>142</v>
      </c>
      <c r="F39" s="191" t="s">
        <v>142</v>
      </c>
      <c r="G39" s="191" t="s">
        <v>4</v>
      </c>
      <c r="H39" s="191" t="s">
        <v>4</v>
      </c>
      <c r="I39" s="191" t="s">
        <v>4</v>
      </c>
      <c r="J39" s="191" t="s">
        <v>4</v>
      </c>
      <c r="K39" s="191" t="s">
        <v>4</v>
      </c>
      <c r="L39" s="191" t="s">
        <v>142</v>
      </c>
      <c r="M39" s="191" t="s">
        <v>142</v>
      </c>
      <c r="N39" s="191" t="s">
        <v>4</v>
      </c>
      <c r="O39" s="191" t="s">
        <v>4</v>
      </c>
      <c r="P39" s="191" t="s">
        <v>4</v>
      </c>
      <c r="Q39" s="191" t="s">
        <v>4</v>
      </c>
      <c r="R39" s="191" t="s">
        <v>4</v>
      </c>
      <c r="S39" s="191" t="s">
        <v>142</v>
      </c>
      <c r="T39" s="191" t="s">
        <v>142</v>
      </c>
      <c r="U39" s="191" t="s">
        <v>4</v>
      </c>
      <c r="V39" s="191" t="s">
        <v>4</v>
      </c>
      <c r="W39" s="191" t="s">
        <v>4</v>
      </c>
      <c r="X39" s="191" t="s">
        <v>4</v>
      </c>
      <c r="Y39" s="191" t="s">
        <v>4</v>
      </c>
      <c r="Z39" s="191" t="s">
        <v>142</v>
      </c>
      <c r="AA39" s="191" t="s">
        <v>142</v>
      </c>
      <c r="AB39" s="191" t="s">
        <v>4</v>
      </c>
      <c r="AC39" s="191" t="s">
        <v>4</v>
      </c>
      <c r="AD39" s="191" t="s">
        <v>4</v>
      </c>
      <c r="AE39" s="191" t="s">
        <v>4</v>
      </c>
      <c r="AF39" s="191" t="s">
        <v>4</v>
      </c>
      <c r="AG39" s="191" t="s">
        <v>142</v>
      </c>
      <c r="AH39" s="191" t="s">
        <v>142</v>
      </c>
      <c r="AI39" s="191" t="s">
        <v>4</v>
      </c>
      <c r="AJ39" s="294">
        <f>IFERROR(COUNTIF(E39:AI39,"=Р")+COUNTIF(E39:AI39,"=Р1")+COUNTIF(E39:AI39,"=ВЧ")+COUNTIF(E39:AI39,"=РН")+COUNTIF(E39:AI39,"=Р2")+COUNTIF(E39:AI39,"=Р1/РВ")+COUNTIF(E39:AI39,"=Р2/РВ")+COUNTIF(E39:AI39,"=ВЧ/РВ")+COUNTIF(E39:AI39,"=РН/РВ"),0)</f>
        <v>21</v>
      </c>
      <c r="AK39" s="211">
        <f>IFERROR(SUMIF(E39:AI39,"=Р2",E40:AI40)+SUMIF(E39:AI39,"=ВЧ/РВ",E40:AI40)+SUMIF(E39:AI39,"=РН/РВ",E40:AI40)+SUMIF(E39:AI39,"=Р1/РВ",E40:AI40)+SUMIF(E39:AI39,"=ВЧ2/РВ",E40:AI40)+SUMIF(E39:AI39,"=Р2/РВ",E40:AI40)+SUMIF(E39:AI39,"=Р",E40:AI40)+SUMIF(E39:AI39,"=Р1",E40:AI40)+SUMIF(E39:AI39,"=ВЧ1",E40:AI40)+SUMIF(E39:AI39,"=РН",E40:AI40)+SUMIF(E39:AI39,"=ВЧ",E40:AI40),0)+AL39</f>
        <v>167.99999999999997</v>
      </c>
      <c r="AL39" s="211">
        <f>IFERROR(SUMIF(E39:AI39,"=НУ",E40:AI40),0)</f>
        <v>0</v>
      </c>
      <c r="AM39" s="211">
        <f>IFERROR(SUMIF(E39:AI39,"=РН",E40:AI40)+SUMIF(E39:AI39,"=РН/РВ",E40:AI40)+SUMIFS(E40:AI40,E39:AI39,"=Р2",E40:AI40,"=8"),0)</f>
        <v>0</v>
      </c>
      <c r="AN39" s="211">
        <f>IFERROR(SUMIF(E39:AI39,"=ВЧ",E40:AI40)+SUMIF(E39:AI39,"=ВЧ/РВ",E40:AI40)+CEILING(COUNTIFS(E39:AI39,"=Р2",E40:AI40,"=7")*4,1)+CEILING(COUNTIFS(E39:AI39,"=Р2/РВ",E40:AI40,"=7")*4,1)+SUMIFS(E40:AI40,E39:AI39,"=Р1/РВ",E40:AI40,"=12")/6+SUMIFS(E40:AI40,E39:AI39,"=ВЧ2/РВ",E40:AI40,"=4")/2+SUMIFS(E40:AI40,E39:AI39,"=Р1",E40:AI40,"=12")/6+SUMIFS(E40:AI40,E39:AI39,"=Р1",E40:AI40,"=8")/4+SUMIF(E39:AI39,"=ВЧ1",E40:AI40)/2,0)</f>
        <v>0</v>
      </c>
      <c r="AO39" s="211">
        <f>IFERROR(SUMIF(E39:AI39,"=РВ",E40:AI40)+SUMIF(E39:AI39,"=ВЧ/РВ",E40:AI40)+SUMIF(E39:AI39,"=РН/РВ",E40:AI40)+SUMIF(E39:AI39,"=Р1/РВ",E40:AI40)+SUMIF(E39:AI39,"=ВЧ2/РВ",E40:AI40)+SUMIF(E39:AI39,"=Р2/РВ",E40:AI40),0)</f>
        <v>0</v>
      </c>
      <c r="AP39" s="211">
        <f>IFERROR(COUNTIF(E39:AI39,"=ВВ")+COUNTIF(E39:AI39,"=Р1/ВВ")+COUNTIF(E39:AI39,"=РН/ВВ")+COUNTIF(E39:AI39,"=ВЧ/ВВ"),0)</f>
        <v>10</v>
      </c>
      <c r="AQ39" s="211">
        <f>SUM(AR39:AZ39)</f>
        <v>0</v>
      </c>
      <c r="AR39" s="211">
        <f>IFERROR(SUMIF(E39:AI39,"=В",E40:AI40)+SUMIF(E39:AI39,"=Ч",E40:AI40)+SUMIF(E39:AI39,"=ВБ",E40:AI40),0)</f>
        <v>0</v>
      </c>
      <c r="AS39" s="211">
        <f>IFERROR(SUMIF(E39:AI39,"=Н",E40:AI40),0)</f>
        <v>0</v>
      </c>
      <c r="AT39" s="211">
        <f>IFERROR(SUMIF(E39:AI39,"=НА",E40:AI40),0)</f>
        <v>0</v>
      </c>
      <c r="AU39" s="211">
        <f>IFERROR(SUMIF(E39:AI39,"=ВП",E40:AI40),0)</f>
        <v>0</v>
      </c>
      <c r="AV39" s="211">
        <f>IFERROR(SUMIF(E39:AI39,"=ДД",E40:AI40),0)</f>
        <v>0</v>
      </c>
      <c r="AW39" s="202">
        <f>IFERROR(SUMIF(E39:AI39,"=ДО",E40:AI40),0)</f>
        <v>0</v>
      </c>
      <c r="AX39" s="211">
        <f>IFERROR(SUMIF(E39:AI39,"=ТН",E40:AI40),0)</f>
        <v>0</v>
      </c>
      <c r="AY39" s="211">
        <f>IFERROR(SUMIF(E39:AI39,"=ВД",E40:AI40),0)</f>
        <v>0</v>
      </c>
      <c r="AZ39" s="312">
        <f>IFERROR(SUMIF(E39:AI39,"=ІН",E40:AI40),0)+SUMIF(E39:AI39,"=НЗ",E40:AI40)</f>
        <v>0</v>
      </c>
    </row>
    <row r="40" spans="1:52" ht="20.100000000000001" customHeight="1" thickBot="1" x14ac:dyDescent="0.25">
      <c r="A40" s="306"/>
      <c r="B40" s="229"/>
      <c r="C40" s="280"/>
      <c r="D40" s="280"/>
      <c r="E40" s="192"/>
      <c r="F40" s="192"/>
      <c r="G40" s="192">
        <v>8.1999999999999993</v>
      </c>
      <c r="H40" s="192">
        <v>8.1999999999999993</v>
      </c>
      <c r="I40" s="192">
        <v>8.1999999999999993</v>
      </c>
      <c r="J40" s="192">
        <v>8.1999999999999993</v>
      </c>
      <c r="K40" s="192">
        <v>7</v>
      </c>
      <c r="L40" s="192"/>
      <c r="M40" s="192"/>
      <c r="N40" s="192">
        <v>8.1999999999999993</v>
      </c>
      <c r="O40" s="192">
        <v>8.1999999999999993</v>
      </c>
      <c r="P40" s="192">
        <v>8.1999999999999993</v>
      </c>
      <c r="Q40" s="192">
        <v>8.1999999999999993</v>
      </c>
      <c r="R40" s="192">
        <v>7.2</v>
      </c>
      <c r="S40" s="192"/>
      <c r="T40" s="192"/>
      <c r="U40" s="192">
        <v>8.1999999999999993</v>
      </c>
      <c r="V40" s="192">
        <v>8.1999999999999993</v>
      </c>
      <c r="W40" s="192">
        <v>8.1999999999999993</v>
      </c>
      <c r="X40" s="192">
        <v>8.1999999999999993</v>
      </c>
      <c r="Y40" s="192">
        <v>7.2</v>
      </c>
      <c r="Z40" s="192"/>
      <c r="AA40" s="192"/>
      <c r="AB40" s="192">
        <v>8.1999999999999993</v>
      </c>
      <c r="AC40" s="192">
        <v>8.1999999999999993</v>
      </c>
      <c r="AD40" s="192">
        <v>8.1999999999999993</v>
      </c>
      <c r="AE40" s="192">
        <v>8.1999999999999993</v>
      </c>
      <c r="AF40" s="192">
        <v>7.2</v>
      </c>
      <c r="AG40" s="192"/>
      <c r="AH40" s="192"/>
      <c r="AI40" s="192">
        <v>8.1999999999999993</v>
      </c>
      <c r="AJ40" s="297"/>
      <c r="AK40" s="311"/>
      <c r="AL40" s="311"/>
      <c r="AM40" s="311"/>
      <c r="AN40" s="212"/>
      <c r="AO40" s="311"/>
      <c r="AP40" s="212"/>
      <c r="AQ40" s="311"/>
      <c r="AR40" s="311"/>
      <c r="AS40" s="311"/>
      <c r="AT40" s="311"/>
      <c r="AU40" s="311"/>
      <c r="AV40" s="311"/>
      <c r="AW40" s="203"/>
      <c r="AX40" s="311"/>
      <c r="AY40" s="311"/>
      <c r="AZ40" s="327"/>
    </row>
    <row r="41" spans="1:52" ht="20.100000000000001" customHeight="1" x14ac:dyDescent="0.2">
      <c r="A41" s="305">
        <f t="shared" ref="A41" si="10">A39+1</f>
        <v>13</v>
      </c>
      <c r="B41" s="228" t="s">
        <v>228</v>
      </c>
      <c r="C41" s="279">
        <v>1755</v>
      </c>
      <c r="D41" s="279" t="s">
        <v>65</v>
      </c>
      <c r="E41" s="191" t="s">
        <v>142</v>
      </c>
      <c r="F41" s="191" t="s">
        <v>142</v>
      </c>
      <c r="G41" s="191" t="s">
        <v>4</v>
      </c>
      <c r="H41" s="191" t="s">
        <v>4</v>
      </c>
      <c r="I41" s="191" t="s">
        <v>4</v>
      </c>
      <c r="J41" s="191" t="s">
        <v>4</v>
      </c>
      <c r="K41" s="191" t="s">
        <v>4</v>
      </c>
      <c r="L41" s="191" t="s">
        <v>142</v>
      </c>
      <c r="M41" s="191" t="s">
        <v>142</v>
      </c>
      <c r="N41" s="191" t="s">
        <v>4</v>
      </c>
      <c r="O41" s="191" t="s">
        <v>4</v>
      </c>
      <c r="P41" s="191" t="s">
        <v>4</v>
      </c>
      <c r="Q41" s="191" t="s">
        <v>4</v>
      </c>
      <c r="R41" s="191" t="s">
        <v>4</v>
      </c>
      <c r="S41" s="191" t="s">
        <v>142</v>
      </c>
      <c r="T41" s="191" t="s">
        <v>142</v>
      </c>
      <c r="U41" s="191" t="s">
        <v>4</v>
      </c>
      <c r="V41" s="191" t="s">
        <v>4</v>
      </c>
      <c r="W41" s="191" t="s">
        <v>4</v>
      </c>
      <c r="X41" s="191" t="s">
        <v>52</v>
      </c>
      <c r="Y41" s="191" t="s">
        <v>52</v>
      </c>
      <c r="Z41" s="191" t="s">
        <v>52</v>
      </c>
      <c r="AA41" s="191" t="s">
        <v>52</v>
      </c>
      <c r="AB41" s="191" t="s">
        <v>52</v>
      </c>
      <c r="AC41" s="191" t="s">
        <v>4</v>
      </c>
      <c r="AD41" s="191" t="s">
        <v>4</v>
      </c>
      <c r="AE41" s="191" t="s">
        <v>4</v>
      </c>
      <c r="AF41" s="191" t="s">
        <v>4</v>
      </c>
      <c r="AG41" s="191" t="s">
        <v>142</v>
      </c>
      <c r="AH41" s="191" t="s">
        <v>142</v>
      </c>
      <c r="AI41" s="191" t="s">
        <v>4</v>
      </c>
      <c r="AJ41" s="294">
        <f>IFERROR(COUNTIF(E41:AI41,"=Р")+COUNTIF(E41:AI41,"=Р1")+COUNTIF(E41:AI41,"=ВЧ")+COUNTIF(E41:AI41,"=РН")+COUNTIF(E41:AI41,"=Р2")+COUNTIF(E41:AI41,"=Р1/РВ")+COUNTIF(E41:AI41,"=Р2/РВ")+COUNTIF(E41:AI41,"=ВЧ/РВ")+COUNTIF(E41:AI41,"=РН/РВ"),0)</f>
        <v>18</v>
      </c>
      <c r="AK41" s="211">
        <f>IFERROR(SUMIF(E41:AI41,"=Р2",E42:AI42)+SUMIF(E41:AI41,"=ВЧ/РВ",E42:AI42)+SUMIF(E41:AI41,"=РН/РВ",E42:AI42)+SUMIF(E41:AI41,"=Р1/РВ",E42:AI42)+SUMIF(E41:AI41,"=ВЧ2/РВ",E42:AI42)+SUMIF(E41:AI41,"=Р2/РВ",E42:AI42)+SUMIF(E41:AI41,"=Р",E42:AI42)+SUMIF(E41:AI41,"=Р1",E42:AI42)+SUMIF(E41:AI41,"=ВЧ1",E42:AI42)+SUMIF(E41:AI41,"=РН",E42:AI42)+SUMIF(E41:AI41,"=ВЧ",E42:AI42),0)+AL41</f>
        <v>144.4</v>
      </c>
      <c r="AL41" s="211">
        <f>IFERROR(SUMIF(E41:AI41,"=НУ",E42:AI42),0)</f>
        <v>0</v>
      </c>
      <c r="AM41" s="211">
        <f>IFERROR(SUMIF(E41:AI41,"=РН",E42:AI42)+SUMIF(E41:AI41,"=РН/РВ",E42:AI42)+SUMIFS(E42:AI42,E41:AI41,"=Р2",E42:AI42,"=8"),0)</f>
        <v>0</v>
      </c>
      <c r="AN41" s="211">
        <f>IFERROR(SUMIF(E41:AI41,"=ВЧ",E42:AI42)+SUMIF(E41:AI41,"=ВЧ/РВ",E42:AI42)+CEILING(COUNTIFS(E41:AI41,"=Р2",E42:AI42,"=7")*4,1)+CEILING(COUNTIFS(E41:AI41,"=Р2/РВ",E42:AI42,"=7")*4,1)+SUMIFS(E42:AI42,E41:AI41,"=Р1/РВ",E42:AI42,"=12")/6+SUMIFS(E42:AI42,E41:AI41,"=ВЧ2/РВ",E42:AI42,"=4")/2+SUMIFS(E42:AI42,E41:AI41,"=Р1",E42:AI42,"=12")/6+SUMIFS(E42:AI42,E41:AI41,"=Р1",E42:AI42,"=8")/4+SUMIF(E41:AI41,"=ВЧ1",E42:AI42)/2,0)</f>
        <v>0</v>
      </c>
      <c r="AO41" s="211">
        <f>IFERROR(SUMIF(E41:AI41,"=РВ",E42:AI42)+SUMIF(E41:AI41,"=ВЧ/РВ",E42:AI42)+SUMIF(E41:AI41,"=РН/РВ",E42:AI42)+SUMIF(E41:AI41,"=Р1/РВ",E42:AI42)+SUMIF(E41:AI41,"=ВЧ2/РВ",E42:AI42)+SUMIF(E41:AI41,"=Р2/РВ",E42:AI42),0)</f>
        <v>0</v>
      </c>
      <c r="AP41" s="211">
        <f>IFERROR(COUNTIF(E41:AI41,"=ВВ")+COUNTIF(E41:AI41,"=Р1/ВВ")+COUNTIF(E41:AI41,"=РН/ВВ")+COUNTIF(E41:AI41,"=ВЧ/ВВ"),0)</f>
        <v>8</v>
      </c>
      <c r="AQ41" s="211">
        <f>SUM(AR41:AZ41)</f>
        <v>23.599999999999998</v>
      </c>
      <c r="AR41" s="211">
        <f>IFERROR(SUMIF(E41:AI41,"=В",E42:AI42)+SUMIF(E41:AI41,"=Ч",E42:AI42)+SUMIF(E41:AI41,"=ВБ",E42:AI42),0)</f>
        <v>0</v>
      </c>
      <c r="AS41" s="211">
        <f>IFERROR(SUMIF(E41:AI41,"=Н",E42:AI42),0)</f>
        <v>0</v>
      </c>
      <c r="AT41" s="211">
        <f>IFERROR(SUMIF(E41:AI41,"=НА",E42:AI42),0)</f>
        <v>0</v>
      </c>
      <c r="AU41" s="211">
        <f>IFERROR(SUMIF(E41:AI41,"=ВП",E42:AI42),0)</f>
        <v>0</v>
      </c>
      <c r="AV41" s="211">
        <f>IFERROR(SUMIF(E41:AI41,"=ДД",E42:AI42),0)</f>
        <v>0</v>
      </c>
      <c r="AW41" s="202">
        <f>IFERROR(SUMIF(E41:AI41,"=ДО",E42:AI42),0)</f>
        <v>0</v>
      </c>
      <c r="AX41" s="211">
        <f>IFERROR(SUMIF(E41:AI41,"=ТН",E42:AI42),0)</f>
        <v>23.599999999999998</v>
      </c>
      <c r="AY41" s="211">
        <f>IFERROR(SUMIF(E41:AI41,"=ВД",E42:AI42),0)</f>
        <v>0</v>
      </c>
      <c r="AZ41" s="312">
        <f>IFERROR(SUMIF(E41:AI41,"=ІН",E42:AI42),0)+SUMIF(E41:AI41,"=НЗ",E42:AI42)</f>
        <v>0</v>
      </c>
    </row>
    <row r="42" spans="1:52" ht="20.100000000000001" customHeight="1" thickBot="1" x14ac:dyDescent="0.25">
      <c r="A42" s="306"/>
      <c r="B42" s="229"/>
      <c r="C42" s="280"/>
      <c r="D42" s="280"/>
      <c r="E42" s="192"/>
      <c r="F42" s="192"/>
      <c r="G42" s="192">
        <v>8.1999999999999993</v>
      </c>
      <c r="H42" s="192">
        <v>8.1999999999999993</v>
      </c>
      <c r="I42" s="192">
        <v>8.1999999999999993</v>
      </c>
      <c r="J42" s="192">
        <v>8.1999999999999993</v>
      </c>
      <c r="K42" s="192">
        <v>7</v>
      </c>
      <c r="L42" s="192"/>
      <c r="M42" s="192"/>
      <c r="N42" s="192">
        <v>8.1999999999999993</v>
      </c>
      <c r="O42" s="192">
        <v>8.1999999999999993</v>
      </c>
      <c r="P42" s="192">
        <v>8.1999999999999993</v>
      </c>
      <c r="Q42" s="192">
        <v>8.1999999999999993</v>
      </c>
      <c r="R42" s="192">
        <v>7.2</v>
      </c>
      <c r="S42" s="192"/>
      <c r="T42" s="192"/>
      <c r="U42" s="192">
        <v>8.1999999999999993</v>
      </c>
      <c r="V42" s="192">
        <v>8.1999999999999993</v>
      </c>
      <c r="W42" s="192">
        <v>8.1999999999999993</v>
      </c>
      <c r="X42" s="192">
        <v>8.1999999999999993</v>
      </c>
      <c r="Y42" s="192">
        <v>7.2</v>
      </c>
      <c r="Z42" s="192"/>
      <c r="AA42" s="192"/>
      <c r="AB42" s="192">
        <v>8.1999999999999993</v>
      </c>
      <c r="AC42" s="192">
        <v>8.1999999999999993</v>
      </c>
      <c r="AD42" s="192">
        <v>8.1999999999999993</v>
      </c>
      <c r="AE42" s="192">
        <v>8.1999999999999993</v>
      </c>
      <c r="AF42" s="192">
        <v>7.2</v>
      </c>
      <c r="AG42" s="192"/>
      <c r="AH42" s="192"/>
      <c r="AI42" s="192">
        <v>8.1999999999999993</v>
      </c>
      <c r="AJ42" s="297"/>
      <c r="AK42" s="311"/>
      <c r="AL42" s="311"/>
      <c r="AM42" s="311"/>
      <c r="AN42" s="212"/>
      <c r="AO42" s="311"/>
      <c r="AP42" s="212"/>
      <c r="AQ42" s="311"/>
      <c r="AR42" s="311"/>
      <c r="AS42" s="311"/>
      <c r="AT42" s="311"/>
      <c r="AU42" s="311"/>
      <c r="AV42" s="311"/>
      <c r="AW42" s="203"/>
      <c r="AX42" s="311"/>
      <c r="AY42" s="311"/>
      <c r="AZ42" s="327"/>
    </row>
    <row r="43" spans="1:52" ht="20.100000000000001" customHeight="1" x14ac:dyDescent="0.2">
      <c r="A43" s="305">
        <f t="shared" ref="A43" si="11">A41+1</f>
        <v>14</v>
      </c>
      <c r="B43" s="228" t="s">
        <v>119</v>
      </c>
      <c r="C43" s="279">
        <v>1226</v>
      </c>
      <c r="D43" s="279" t="s">
        <v>65</v>
      </c>
      <c r="E43" s="191" t="s">
        <v>3</v>
      </c>
      <c r="F43" s="191" t="s">
        <v>3</v>
      </c>
      <c r="G43" s="191" t="s">
        <v>3</v>
      </c>
      <c r="H43" s="191" t="s">
        <v>3</v>
      </c>
      <c r="I43" s="191" t="s">
        <v>3</v>
      </c>
      <c r="J43" s="191" t="s">
        <v>3</v>
      </c>
      <c r="K43" s="191" t="s">
        <v>3</v>
      </c>
      <c r="L43" s="191" t="s">
        <v>3</v>
      </c>
      <c r="M43" s="191" t="s">
        <v>3</v>
      </c>
      <c r="N43" s="191" t="s">
        <v>3</v>
      </c>
      <c r="O43" s="191" t="s">
        <v>3</v>
      </c>
      <c r="P43" s="191" t="s">
        <v>3</v>
      </c>
      <c r="Q43" s="191" t="s">
        <v>3</v>
      </c>
      <c r="R43" s="191" t="s">
        <v>3</v>
      </c>
      <c r="S43" s="191" t="s">
        <v>3</v>
      </c>
      <c r="T43" s="191" t="s">
        <v>142</v>
      </c>
      <c r="U43" s="191" t="s">
        <v>51</v>
      </c>
      <c r="V43" s="191" t="s">
        <v>51</v>
      </c>
      <c r="W43" s="191" t="s">
        <v>51</v>
      </c>
      <c r="X43" s="191" t="s">
        <v>51</v>
      </c>
      <c r="Y43" s="191" t="s">
        <v>51</v>
      </c>
      <c r="Z43" s="191" t="s">
        <v>51</v>
      </c>
      <c r="AA43" s="191" t="s">
        <v>51</v>
      </c>
      <c r="AB43" s="191" t="s">
        <v>51</v>
      </c>
      <c r="AC43" s="191" t="s">
        <v>51</v>
      </c>
      <c r="AD43" s="191" t="s">
        <v>51</v>
      </c>
      <c r="AE43" s="191" t="s">
        <v>51</v>
      </c>
      <c r="AF43" s="191" t="s">
        <v>51</v>
      </c>
      <c r="AG43" s="191" t="s">
        <v>51</v>
      </c>
      <c r="AH43" s="191" t="s">
        <v>51</v>
      </c>
      <c r="AI43" s="191" t="s">
        <v>51</v>
      </c>
      <c r="AJ43" s="294">
        <f>IFERROR(COUNTIF(E43:AI43,"=Р")+COUNTIF(E43:AI43,"=Р1")+COUNTIF(E43:AI43,"=ВЧ")+COUNTIF(E43:AI43,"=РН")+COUNTIF(E43:AI43,"=Р2")+COUNTIF(E43:AI43,"=Р1/РВ")+COUNTIF(E43:AI43,"=Р2/РВ")+COUNTIF(E43:AI43,"=ВЧ/РВ")+COUNTIF(E43:AI43,"=РН/РВ"),0)</f>
        <v>0</v>
      </c>
      <c r="AK43" s="211">
        <f>IFERROR(SUMIF(E43:AI43,"=Р2",E44:AI44)+SUMIF(E43:AI43,"=ВЧ/РВ",E44:AI44)+SUMIF(E43:AI43,"=РН/РВ",E44:AI44)+SUMIF(E43:AI43,"=Р1/РВ",E44:AI44)+SUMIF(E43:AI43,"=ВЧ2/РВ",E44:AI44)+SUMIF(E43:AI43,"=Р2/РВ",E44:AI44)+SUMIF(E43:AI43,"=Р",E44:AI44)+SUMIF(E43:AI43,"=Р1",E44:AI44)+SUMIF(E43:AI43,"=ВЧ1",E44:AI44)+SUMIF(E43:AI43,"=РН",E44:AI44)+SUMIF(E43:AI43,"=ВЧ",E44:AI44),0)+AL43</f>
        <v>0</v>
      </c>
      <c r="AL43" s="211">
        <f>IFERROR(SUMIF(E43:AI43,"=НУ",E44:AI44),0)</f>
        <v>0</v>
      </c>
      <c r="AM43" s="211">
        <f>IFERROR(SUMIF(E43:AI43,"=РН",E44:AI44)+SUMIF(E43:AI43,"=РН/РВ",E44:AI44)+SUMIFS(E44:AI44,E43:AI43,"=Р2",E44:AI44,"=8"),0)</f>
        <v>0</v>
      </c>
      <c r="AN43" s="211">
        <f>IFERROR(SUMIF(E43:AI43,"=ВЧ",E44:AI44)+SUMIF(E43:AI43,"=ВЧ/РВ",E44:AI44)+CEILING(COUNTIFS(E43:AI43,"=Р2",E44:AI44,"=7")*4,1)+CEILING(COUNTIFS(E43:AI43,"=Р2/РВ",E44:AI44,"=7")*4,1)+SUMIFS(E44:AI44,E43:AI43,"=Р1/РВ",E44:AI44,"=12")/6+SUMIFS(E44:AI44,E43:AI43,"=ВЧ2/РВ",E44:AI44,"=4")/2+SUMIFS(E44:AI44,E43:AI43,"=Р1",E44:AI44,"=12")/6+SUMIFS(E44:AI44,E43:AI43,"=Р1",E44:AI44,"=8")/4+SUMIF(E43:AI43,"=ВЧ1",E44:AI44)/2,0)</f>
        <v>0</v>
      </c>
      <c r="AO43" s="211">
        <f>IFERROR(SUMIF(E43:AI43,"=РВ",E44:AI44)+SUMIF(E43:AI43,"=ВЧ/РВ",E44:AI44)+SUMIF(E43:AI43,"=РН/РВ",E44:AI44)+SUMIF(E43:AI43,"=Р1/РВ",E44:AI44)+SUMIF(E43:AI43,"=ВЧ2/РВ",E44:AI44)+SUMIF(E43:AI43,"=Р2/РВ",E44:AI44),0)</f>
        <v>0</v>
      </c>
      <c r="AP43" s="211">
        <f>IFERROR(COUNTIF(E43:AI43,"=ВВ")+COUNTIF(E43:AI43,"=Р1/ВВ")+COUNTIF(E43:AI43,"=РН/ВВ")+COUNTIF(E43:AI43,"=ВЧ/ВВ"),0)</f>
        <v>1</v>
      </c>
      <c r="AQ43" s="211">
        <f>SUM(AR43:AZ43)</f>
        <v>168.00000000000003</v>
      </c>
      <c r="AR43" s="211">
        <f>IFERROR(SUMIF(E43:AI43,"=В",E44:AI44)+SUMIF(E43:AI43,"=Ч",E44:AI44)+SUMIF(E43:AI43,"=ВБ",E44:AI44),0)</f>
        <v>79.800000000000011</v>
      </c>
      <c r="AS43" s="211">
        <f>IFERROR(SUMIF(E43:AI43,"=Н",E44:AI44),0)</f>
        <v>0</v>
      </c>
      <c r="AT43" s="211">
        <f>IFERROR(SUMIF(E43:AI43,"=НА",E44:AI44),0)</f>
        <v>88.200000000000017</v>
      </c>
      <c r="AU43" s="211">
        <f>IFERROR(SUMIF(E43:AI43,"=ВП",E44:AI44),0)</f>
        <v>0</v>
      </c>
      <c r="AV43" s="211">
        <f>IFERROR(SUMIF(E43:AI43,"=ДД",E44:AI44),0)</f>
        <v>0</v>
      </c>
      <c r="AW43" s="202">
        <f>IFERROR(SUMIF(E43:AI43,"=ДО",E44:AI44),0)</f>
        <v>0</v>
      </c>
      <c r="AX43" s="211">
        <f>IFERROR(SUMIF(E43:AI43,"=ТН",E44:AI44),0)</f>
        <v>0</v>
      </c>
      <c r="AY43" s="211">
        <f>IFERROR(SUMIF(E43:AI43,"=ВД",E44:AI44),0)</f>
        <v>0</v>
      </c>
      <c r="AZ43" s="312">
        <f>IFERROR(SUMIF(E43:AI43,"=ІН",E44:AI44),0)+SUMIF(E43:AI43,"=НЗ",E44:AI44)</f>
        <v>0</v>
      </c>
    </row>
    <row r="44" spans="1:52" ht="20.100000000000001" customHeight="1" thickBot="1" x14ac:dyDescent="0.25">
      <c r="A44" s="306"/>
      <c r="B44" s="229"/>
      <c r="C44" s="280"/>
      <c r="D44" s="280"/>
      <c r="E44" s="192"/>
      <c r="F44" s="192"/>
      <c r="G44" s="192">
        <v>8.1999999999999993</v>
      </c>
      <c r="H44" s="192">
        <v>8.1999999999999993</v>
      </c>
      <c r="I44" s="192">
        <v>8.1999999999999993</v>
      </c>
      <c r="J44" s="192">
        <v>8.1999999999999993</v>
      </c>
      <c r="K44" s="192">
        <v>7</v>
      </c>
      <c r="L44" s="192"/>
      <c r="M44" s="192"/>
      <c r="N44" s="192">
        <v>8.1999999999999993</v>
      </c>
      <c r="O44" s="192">
        <v>8.1999999999999993</v>
      </c>
      <c r="P44" s="192">
        <v>8.1999999999999993</v>
      </c>
      <c r="Q44" s="192">
        <v>8.1999999999999993</v>
      </c>
      <c r="R44" s="192">
        <v>7.2</v>
      </c>
      <c r="S44" s="192"/>
      <c r="T44" s="192"/>
      <c r="U44" s="192">
        <v>8.1999999999999993</v>
      </c>
      <c r="V44" s="192">
        <v>8.1999999999999993</v>
      </c>
      <c r="W44" s="192">
        <v>8.1999999999999993</v>
      </c>
      <c r="X44" s="192">
        <v>8.1999999999999993</v>
      </c>
      <c r="Y44" s="192">
        <v>7.2</v>
      </c>
      <c r="Z44" s="192"/>
      <c r="AA44" s="192"/>
      <c r="AB44" s="192">
        <v>8.1999999999999993</v>
      </c>
      <c r="AC44" s="192">
        <v>8.1999999999999993</v>
      </c>
      <c r="AD44" s="192">
        <v>8.1999999999999993</v>
      </c>
      <c r="AE44" s="192">
        <v>8.1999999999999993</v>
      </c>
      <c r="AF44" s="192">
        <v>7.2</v>
      </c>
      <c r="AG44" s="192"/>
      <c r="AH44" s="192"/>
      <c r="AI44" s="192">
        <v>8.1999999999999993</v>
      </c>
      <c r="AJ44" s="297"/>
      <c r="AK44" s="311"/>
      <c r="AL44" s="311"/>
      <c r="AM44" s="311"/>
      <c r="AN44" s="212"/>
      <c r="AO44" s="311"/>
      <c r="AP44" s="212"/>
      <c r="AQ44" s="311"/>
      <c r="AR44" s="311"/>
      <c r="AS44" s="311"/>
      <c r="AT44" s="311"/>
      <c r="AU44" s="311"/>
      <c r="AV44" s="311"/>
      <c r="AW44" s="203"/>
      <c r="AX44" s="311"/>
      <c r="AY44" s="311"/>
      <c r="AZ44" s="327"/>
    </row>
    <row r="45" spans="1:52" ht="20.100000000000001" customHeight="1" x14ac:dyDescent="0.2">
      <c r="A45" s="310">
        <v>0</v>
      </c>
      <c r="B45" s="293" t="s">
        <v>74</v>
      </c>
      <c r="C45" s="284">
        <v>0</v>
      </c>
      <c r="D45" s="284">
        <v>0</v>
      </c>
      <c r="E45" s="72">
        <v>0</v>
      </c>
      <c r="F45" s="72">
        <v>0</v>
      </c>
      <c r="G45" s="72">
        <v>0</v>
      </c>
      <c r="H45" s="72">
        <v>0</v>
      </c>
      <c r="I45" s="72">
        <v>0</v>
      </c>
      <c r="J45" s="72">
        <v>0</v>
      </c>
      <c r="K45" s="72">
        <v>0</v>
      </c>
      <c r="L45" s="72">
        <v>0</v>
      </c>
      <c r="M45" s="72">
        <v>0</v>
      </c>
      <c r="N45" s="72">
        <v>0</v>
      </c>
      <c r="O45" s="72">
        <v>0</v>
      </c>
      <c r="P45" s="72">
        <v>0</v>
      </c>
      <c r="Q45" s="72">
        <v>0</v>
      </c>
      <c r="R45" s="72">
        <v>0</v>
      </c>
      <c r="S45" s="72">
        <v>0</v>
      </c>
      <c r="T45" s="72">
        <v>0</v>
      </c>
      <c r="U45" s="72">
        <v>0</v>
      </c>
      <c r="V45" s="72">
        <v>0</v>
      </c>
      <c r="W45" s="72">
        <v>0</v>
      </c>
      <c r="X45" s="72">
        <v>0</v>
      </c>
      <c r="Y45" s="72">
        <v>0</v>
      </c>
      <c r="Z45" s="72"/>
      <c r="AA45" s="72"/>
      <c r="AB45" s="72"/>
      <c r="AC45" s="72"/>
      <c r="AD45" s="72"/>
      <c r="AE45" s="72"/>
      <c r="AF45" s="72">
        <v>0</v>
      </c>
      <c r="AG45" s="72">
        <v>0</v>
      </c>
      <c r="AH45" s="72">
        <v>0</v>
      </c>
      <c r="AI45" s="72">
        <v>0</v>
      </c>
      <c r="AJ45" s="320">
        <f t="shared" ref="AJ45:AZ45" si="12">SUM(AJ17:AJ44)</f>
        <v>245</v>
      </c>
      <c r="AK45" s="315">
        <f t="shared" si="12"/>
        <v>1928.6</v>
      </c>
      <c r="AL45" s="315">
        <f t="shared" si="12"/>
        <v>0</v>
      </c>
      <c r="AM45" s="315">
        <f t="shared" si="12"/>
        <v>88</v>
      </c>
      <c r="AN45" s="315">
        <f t="shared" si="12"/>
        <v>40</v>
      </c>
      <c r="AO45" s="315">
        <f t="shared" si="12"/>
        <v>0</v>
      </c>
      <c r="AP45" s="315">
        <f t="shared" si="12"/>
        <v>114</v>
      </c>
      <c r="AQ45" s="315">
        <f t="shared" si="12"/>
        <v>423.40000000000003</v>
      </c>
      <c r="AR45" s="315">
        <f t="shared" si="12"/>
        <v>239.80000000000004</v>
      </c>
      <c r="AS45" s="315">
        <f t="shared" si="12"/>
        <v>0</v>
      </c>
      <c r="AT45" s="315">
        <f t="shared" si="12"/>
        <v>88.200000000000017</v>
      </c>
      <c r="AU45" s="315">
        <f t="shared" si="12"/>
        <v>0</v>
      </c>
      <c r="AV45" s="315">
        <f t="shared" si="12"/>
        <v>0</v>
      </c>
      <c r="AW45" s="315">
        <f t="shared" si="12"/>
        <v>0</v>
      </c>
      <c r="AX45" s="315">
        <f t="shared" si="12"/>
        <v>95.399999999999991</v>
      </c>
      <c r="AY45" s="315">
        <f t="shared" si="12"/>
        <v>0</v>
      </c>
      <c r="AZ45" s="312">
        <f t="shared" si="12"/>
        <v>0</v>
      </c>
    </row>
    <row r="46" spans="1:52" ht="20.100000000000001" customHeight="1" thickBot="1" x14ac:dyDescent="0.25">
      <c r="A46" s="306"/>
      <c r="B46" s="229"/>
      <c r="C46" s="280"/>
      <c r="D46" s="280"/>
      <c r="E46" s="73">
        <v>0</v>
      </c>
      <c r="F46" s="73">
        <v>0</v>
      </c>
      <c r="G46" s="73">
        <v>0</v>
      </c>
      <c r="H46" s="73">
        <v>0</v>
      </c>
      <c r="I46" s="73">
        <v>0</v>
      </c>
      <c r="J46" s="73">
        <v>0</v>
      </c>
      <c r="K46" s="73">
        <v>0</v>
      </c>
      <c r="L46" s="73">
        <v>0</v>
      </c>
      <c r="M46" s="73">
        <v>0</v>
      </c>
      <c r="N46" s="73">
        <v>0</v>
      </c>
      <c r="O46" s="73">
        <v>0</v>
      </c>
      <c r="P46" s="73">
        <v>0</v>
      </c>
      <c r="Q46" s="73" t="s">
        <v>273</v>
      </c>
      <c r="R46" s="73">
        <v>0</v>
      </c>
      <c r="S46" s="73">
        <v>0</v>
      </c>
      <c r="T46" s="73">
        <v>0</v>
      </c>
      <c r="U46" s="73">
        <v>0</v>
      </c>
      <c r="V46" s="73">
        <v>0</v>
      </c>
      <c r="W46" s="73">
        <v>0</v>
      </c>
      <c r="X46" s="73">
        <v>0</v>
      </c>
      <c r="Y46" s="73">
        <v>0</v>
      </c>
      <c r="Z46" s="73"/>
      <c r="AA46" s="73"/>
      <c r="AB46" s="73"/>
      <c r="AC46" s="73"/>
      <c r="AD46" s="73"/>
      <c r="AE46" s="73"/>
      <c r="AF46" s="73">
        <v>0</v>
      </c>
      <c r="AG46" s="73">
        <v>0</v>
      </c>
      <c r="AH46" s="73">
        <v>0</v>
      </c>
      <c r="AI46" s="73">
        <v>0</v>
      </c>
      <c r="AJ46" s="326"/>
      <c r="AK46" s="317"/>
      <c r="AL46" s="317"/>
      <c r="AM46" s="317"/>
      <c r="AN46" s="317"/>
      <c r="AO46" s="317"/>
      <c r="AP46" s="316"/>
      <c r="AQ46" s="317"/>
      <c r="AR46" s="317"/>
      <c r="AS46" s="317"/>
      <c r="AT46" s="317"/>
      <c r="AU46" s="317"/>
      <c r="AV46" s="317"/>
      <c r="AW46" s="317"/>
      <c r="AX46" s="317"/>
      <c r="AY46" s="317"/>
      <c r="AZ46" s="327"/>
    </row>
    <row r="47" spans="1:52" ht="14.25" customHeight="1" x14ac:dyDescent="0.2">
      <c r="C47" s="20"/>
      <c r="D47" s="8"/>
      <c r="AJ47" s="26"/>
    </row>
    <row r="48" spans="1:52" ht="12.75" customHeight="1" x14ac:dyDescent="0.2">
      <c r="A48" s="226" t="s">
        <v>32</v>
      </c>
      <c r="B48" s="226"/>
      <c r="C48" s="226"/>
      <c r="D48" s="227" t="s">
        <v>81</v>
      </c>
      <c r="E48" s="227"/>
      <c r="F48" s="227"/>
      <c r="G48" s="227"/>
      <c r="H48" s="227"/>
      <c r="I48" s="227"/>
      <c r="J48" s="69"/>
      <c r="K48" s="224"/>
      <c r="L48" s="224"/>
      <c r="M48" s="224"/>
      <c r="N48" s="69"/>
      <c r="O48" s="225" t="s">
        <v>278</v>
      </c>
      <c r="P48" s="225"/>
      <c r="Q48" s="225"/>
      <c r="R48" s="225"/>
      <c r="S48" s="225"/>
      <c r="T48" s="9"/>
      <c r="U48" s="283">
        <v>45747</v>
      </c>
      <c r="V48" s="283"/>
      <c r="W48" s="283"/>
      <c r="X48" s="283"/>
      <c r="Y48" s="283"/>
      <c r="Z48" s="283"/>
      <c r="AA48" s="69"/>
      <c r="AB48" s="69"/>
      <c r="AC48" s="69"/>
      <c r="AD48" s="69"/>
      <c r="AE48" s="69"/>
      <c r="AF48" s="69"/>
      <c r="AG48" s="69"/>
      <c r="AH48" s="69"/>
      <c r="AI48" s="69"/>
      <c r="AJ48" s="69"/>
      <c r="AK48" s="69"/>
      <c r="AL48" s="69"/>
      <c r="AM48" s="69"/>
      <c r="AN48" s="69"/>
      <c r="AO48" s="69"/>
      <c r="AP48" s="69"/>
      <c r="AQ48" s="69"/>
      <c r="AR48" s="69"/>
      <c r="AS48" s="69"/>
      <c r="AT48" s="69"/>
    </row>
    <row r="49" spans="1:46" x14ac:dyDescent="0.15">
      <c r="A49" s="13"/>
      <c r="B49" s="16"/>
      <c r="D49" s="222" t="s">
        <v>34</v>
      </c>
      <c r="E49" s="222"/>
      <c r="F49" s="222"/>
      <c r="G49" s="222"/>
      <c r="H49" s="222"/>
      <c r="I49" s="222"/>
      <c r="J49" s="13"/>
      <c r="K49" s="222" t="s">
        <v>35</v>
      </c>
      <c r="L49" s="222"/>
      <c r="M49" s="222"/>
      <c r="N49" s="13"/>
      <c r="O49" s="222" t="s">
        <v>36</v>
      </c>
      <c r="P49" s="222"/>
      <c r="Q49" s="222"/>
      <c r="R49" s="222"/>
      <c r="S49" s="222"/>
      <c r="T49" s="13"/>
      <c r="U49" s="13"/>
      <c r="V49" s="31"/>
      <c r="W49" s="13"/>
      <c r="X49" s="17"/>
      <c r="Y49" s="17"/>
      <c r="Z49" s="17"/>
      <c r="AA49" s="13"/>
      <c r="AB49" s="13"/>
      <c r="AC49" s="13"/>
      <c r="AD49" s="13"/>
      <c r="AE49" s="13"/>
      <c r="AF49" s="13"/>
      <c r="AG49" s="13"/>
      <c r="AH49" s="13"/>
      <c r="AI49" s="13"/>
      <c r="AJ49" s="13"/>
      <c r="AK49" s="13"/>
      <c r="AL49" s="13"/>
      <c r="AM49" s="13"/>
      <c r="AN49" s="13"/>
      <c r="AO49" s="13"/>
      <c r="AP49" s="13"/>
      <c r="AQ49" s="13"/>
      <c r="AR49" s="13"/>
      <c r="AS49" s="13"/>
      <c r="AT49" s="13"/>
    </row>
    <row r="50" spans="1:46" ht="12.75" customHeight="1" x14ac:dyDescent="0.2">
      <c r="A50" s="32" t="s">
        <v>33</v>
      </c>
      <c r="B50" s="32"/>
      <c r="C50" s="69"/>
      <c r="D50" s="223" t="s">
        <v>277</v>
      </c>
      <c r="E50" s="223"/>
      <c r="F50" s="223"/>
      <c r="G50" s="223"/>
      <c r="H50" s="223"/>
      <c r="I50" s="223"/>
      <c r="J50" s="69"/>
      <c r="K50" s="224"/>
      <c r="L50" s="224"/>
      <c r="M50" s="224"/>
      <c r="N50" s="69"/>
      <c r="O50" s="225" t="s">
        <v>279</v>
      </c>
      <c r="P50" s="225"/>
      <c r="Q50" s="225"/>
      <c r="R50" s="225"/>
      <c r="S50" s="225"/>
      <c r="T50" s="9"/>
      <c r="U50" s="283">
        <f>U48</f>
        <v>45747</v>
      </c>
      <c r="V50" s="283"/>
      <c r="W50" s="283"/>
      <c r="X50" s="283"/>
      <c r="Y50" s="283"/>
      <c r="Z50" s="283"/>
      <c r="AA50" s="69"/>
      <c r="AB50" s="69"/>
      <c r="AC50" s="69"/>
      <c r="AD50" s="69"/>
      <c r="AE50" s="69"/>
      <c r="AF50" s="69"/>
      <c r="AG50" s="69"/>
      <c r="AH50" s="69"/>
      <c r="AI50" s="69"/>
      <c r="AJ50" s="69"/>
      <c r="AK50" s="69"/>
      <c r="AL50" s="69"/>
      <c r="AM50" s="69"/>
      <c r="AN50" s="69"/>
      <c r="AO50" s="69"/>
      <c r="AP50" s="69"/>
      <c r="AQ50" s="69"/>
      <c r="AR50" s="69"/>
      <c r="AS50" s="69"/>
      <c r="AT50" s="69"/>
    </row>
    <row r="51" spans="1:46" x14ac:dyDescent="0.2">
      <c r="A51" s="13"/>
      <c r="B51" s="13"/>
      <c r="D51" s="222" t="s">
        <v>34</v>
      </c>
      <c r="E51" s="222"/>
      <c r="F51" s="222"/>
      <c r="G51" s="222"/>
      <c r="H51" s="222"/>
      <c r="I51" s="222"/>
      <c r="J51" s="13"/>
      <c r="K51" s="222" t="s">
        <v>35</v>
      </c>
      <c r="L51" s="222"/>
      <c r="M51" s="222"/>
      <c r="N51" s="13"/>
      <c r="O51" s="222" t="s">
        <v>36</v>
      </c>
      <c r="P51" s="222"/>
      <c r="Q51" s="222"/>
      <c r="R51" s="222"/>
      <c r="S51" s="222"/>
      <c r="T51" s="17"/>
      <c r="U51" s="17"/>
      <c r="V51" s="13"/>
      <c r="W51" s="17"/>
      <c r="X51" s="17"/>
      <c r="Y51" s="17"/>
      <c r="Z51" s="69"/>
      <c r="AA51" s="69"/>
      <c r="AB51" s="69"/>
      <c r="AC51" s="69"/>
      <c r="AD51" s="69"/>
      <c r="AE51" s="69"/>
      <c r="AF51" s="69"/>
      <c r="AG51" s="69"/>
      <c r="AH51" s="69"/>
      <c r="AI51" s="69"/>
      <c r="AJ51" s="69"/>
      <c r="AK51" s="69"/>
      <c r="AL51" s="69"/>
      <c r="AM51" s="69"/>
      <c r="AN51" s="69"/>
      <c r="AO51" s="69"/>
      <c r="AP51" s="69"/>
      <c r="AQ51" s="69"/>
      <c r="AR51" s="69"/>
      <c r="AS51" s="69"/>
      <c r="AT51" s="69"/>
    </row>
    <row r="52" spans="1:46" x14ac:dyDescent="0.2">
      <c r="A52" s="69"/>
      <c r="B52" s="69"/>
      <c r="C52" s="33" t="s">
        <v>39</v>
      </c>
      <c r="D52" s="70"/>
      <c r="E52" s="70"/>
      <c r="F52" s="70"/>
      <c r="G52" s="70"/>
      <c r="H52" s="70"/>
      <c r="I52" s="70"/>
      <c r="J52" s="70"/>
      <c r="K52" s="70"/>
      <c r="L52" s="70"/>
      <c r="M52" s="70"/>
      <c r="N52" s="70"/>
      <c r="O52" s="70"/>
      <c r="P52" s="70"/>
      <c r="Q52" s="70"/>
      <c r="R52" s="69"/>
      <c r="S52" s="69"/>
      <c r="T52" s="69"/>
      <c r="U52" s="69"/>
      <c r="V52" s="69"/>
      <c r="W52" s="69"/>
      <c r="X52" s="69"/>
      <c r="Y52" s="69"/>
      <c r="Z52" s="69"/>
      <c r="AA52" s="69"/>
      <c r="AB52" s="69"/>
      <c r="AC52" s="69"/>
      <c r="AD52" s="69"/>
      <c r="AE52" s="69"/>
      <c r="AF52" s="69"/>
      <c r="AG52" s="69"/>
      <c r="AH52" s="69"/>
      <c r="AI52" s="69"/>
      <c r="AJ52" s="69"/>
      <c r="AK52" s="69"/>
      <c r="AL52" s="69"/>
      <c r="AM52" s="69"/>
      <c r="AN52" s="69"/>
      <c r="AO52" s="69"/>
      <c r="AP52" s="69"/>
      <c r="AQ52" s="69"/>
      <c r="AR52" s="69"/>
      <c r="AS52" s="69"/>
      <c r="AT52" s="69"/>
    </row>
    <row r="53" spans="1:46" x14ac:dyDescent="0.2">
      <c r="A53" s="69"/>
      <c r="B53" s="69"/>
      <c r="C53" s="34" t="s">
        <v>4</v>
      </c>
      <c r="D53" s="35" t="s">
        <v>49</v>
      </c>
      <c r="E53" t="s">
        <v>5</v>
      </c>
      <c r="F53"/>
      <c r="G53"/>
      <c r="H53"/>
      <c r="I53"/>
      <c r="J53"/>
      <c r="K53"/>
      <c r="L53"/>
      <c r="M53"/>
      <c r="N53" s="36"/>
      <c r="O53" s="3"/>
      <c r="P53" s="37"/>
      <c r="Q53" s="37"/>
      <c r="R53" s="69"/>
      <c r="S53" s="69"/>
      <c r="T53" s="69"/>
      <c r="U53" s="21" t="s">
        <v>2</v>
      </c>
      <c r="V53" s="15" t="s">
        <v>49</v>
      </c>
      <c r="W53" t="s">
        <v>61</v>
      </c>
      <c r="X53"/>
      <c r="Y53" s="69"/>
      <c r="Z53" s="69"/>
      <c r="AA53" s="69"/>
      <c r="AB53" s="69"/>
      <c r="AC53" s="69"/>
      <c r="AD53" s="69"/>
      <c r="AE53" s="69"/>
      <c r="AF53" s="69"/>
      <c r="AG53" s="69"/>
      <c r="AH53" s="69"/>
      <c r="AI53" s="69"/>
      <c r="AJ53" s="69"/>
      <c r="AK53" s="69"/>
      <c r="AL53" s="69"/>
      <c r="AM53" s="69"/>
      <c r="AN53" s="69"/>
      <c r="AO53" s="69"/>
      <c r="AP53" s="69"/>
      <c r="AQ53" s="69"/>
      <c r="AR53" s="69"/>
      <c r="AS53" s="69"/>
      <c r="AT53" s="69"/>
    </row>
    <row r="54" spans="1:46" x14ac:dyDescent="0.2">
      <c r="A54" s="69"/>
      <c r="B54" s="69"/>
      <c r="C54" s="34" t="s">
        <v>41</v>
      </c>
      <c r="D54" s="35" t="s">
        <v>49</v>
      </c>
      <c r="E54" t="s">
        <v>40</v>
      </c>
      <c r="F54"/>
      <c r="G54"/>
      <c r="H54"/>
      <c r="I54"/>
      <c r="J54"/>
      <c r="K54"/>
      <c r="L54"/>
      <c r="M54"/>
      <c r="N54" s="36"/>
      <c r="O54" s="3"/>
      <c r="P54" s="37"/>
      <c r="Q54" s="37"/>
      <c r="R54" s="69"/>
      <c r="S54" s="69"/>
      <c r="T54" s="69"/>
      <c r="U54" s="21" t="s">
        <v>50</v>
      </c>
      <c r="V54" s="15" t="s">
        <v>49</v>
      </c>
      <c r="W54" t="s">
        <v>62</v>
      </c>
      <c r="X54"/>
      <c r="Y54" s="69"/>
      <c r="Z54" s="69"/>
      <c r="AA54" s="69"/>
      <c r="AB54" s="69"/>
      <c r="AC54" s="69"/>
      <c r="AD54" s="69"/>
      <c r="AE54" s="69"/>
      <c r="AF54" s="69"/>
      <c r="AG54" s="69"/>
      <c r="AH54" s="69"/>
      <c r="AI54" s="69"/>
      <c r="AJ54" s="69"/>
      <c r="AK54" s="69"/>
      <c r="AL54" s="69"/>
      <c r="AM54" s="69"/>
      <c r="AN54" s="69"/>
      <c r="AO54" s="69"/>
      <c r="AP54" s="69"/>
      <c r="AQ54" s="69"/>
      <c r="AR54" s="69"/>
      <c r="AS54" s="69"/>
      <c r="AT54" s="69"/>
    </row>
    <row r="55" spans="1:46" x14ac:dyDescent="0.2">
      <c r="A55" s="69"/>
      <c r="B55" s="69"/>
      <c r="C55" s="34" t="s">
        <v>43</v>
      </c>
      <c r="D55" s="35" t="s">
        <v>49</v>
      </c>
      <c r="E55" t="s">
        <v>42</v>
      </c>
      <c r="F55"/>
      <c r="G55"/>
      <c r="H55"/>
      <c r="I55"/>
      <c r="J55"/>
      <c r="K55"/>
      <c r="L55"/>
      <c r="M55"/>
      <c r="N55" s="36"/>
      <c r="O55" s="3"/>
      <c r="P55" s="37"/>
      <c r="Q55" s="37"/>
      <c r="R55" s="69"/>
      <c r="S55" s="69"/>
      <c r="T55" s="69"/>
      <c r="U55" s="21" t="s">
        <v>51</v>
      </c>
      <c r="V55" s="15" t="s">
        <v>49</v>
      </c>
      <c r="W55" t="s">
        <v>53</v>
      </c>
      <c r="X55"/>
      <c r="Y55" s="69"/>
      <c r="Z55" s="69"/>
      <c r="AA55" s="69"/>
      <c r="AB55" s="69"/>
      <c r="AC55" s="69"/>
      <c r="AD55" s="69"/>
      <c r="AE55" s="69"/>
      <c r="AF55" s="69"/>
      <c r="AG55" s="69"/>
      <c r="AH55" s="69"/>
      <c r="AI55" s="69"/>
      <c r="AJ55" s="69"/>
      <c r="AK55" s="69"/>
      <c r="AL55" s="69"/>
      <c r="AM55" s="69"/>
      <c r="AN55" s="69"/>
      <c r="AO55" s="69"/>
      <c r="AP55" s="69"/>
      <c r="AQ55" s="69"/>
      <c r="AR55" s="69"/>
      <c r="AS55" s="69"/>
      <c r="AT55" s="69"/>
    </row>
    <row r="56" spans="1:46" x14ac:dyDescent="0.2">
      <c r="A56" s="69"/>
      <c r="B56" s="69"/>
      <c r="C56" s="34" t="s">
        <v>45</v>
      </c>
      <c r="D56" s="35" t="s">
        <v>49</v>
      </c>
      <c r="E56" t="s">
        <v>44</v>
      </c>
      <c r="F56"/>
      <c r="G56"/>
      <c r="H56"/>
      <c r="I56"/>
      <c r="J56"/>
      <c r="K56"/>
      <c r="L56"/>
      <c r="M56"/>
      <c r="N56" s="3"/>
      <c r="O56" s="3"/>
      <c r="P56" s="37"/>
      <c r="Q56" s="37"/>
      <c r="R56" s="69"/>
      <c r="S56" s="69"/>
      <c r="T56" s="69"/>
      <c r="U56" s="15" t="s">
        <v>63</v>
      </c>
      <c r="V56" s="15" t="s">
        <v>49</v>
      </c>
      <c r="W56" t="s">
        <v>64</v>
      </c>
      <c r="X56"/>
      <c r="Y56" s="69"/>
      <c r="Z56" s="69"/>
      <c r="AA56" s="69"/>
      <c r="AB56" s="69"/>
      <c r="AC56" s="69"/>
      <c r="AD56" s="69"/>
      <c r="AE56" s="69"/>
      <c r="AF56" s="69"/>
      <c r="AG56" s="69"/>
      <c r="AH56" s="69"/>
      <c r="AI56" s="69"/>
      <c r="AJ56" s="69"/>
      <c r="AK56" s="69"/>
      <c r="AL56" s="69"/>
      <c r="AM56" s="69"/>
      <c r="AN56" s="69"/>
      <c r="AO56" s="69"/>
      <c r="AP56" s="69"/>
      <c r="AQ56" s="69"/>
      <c r="AR56" s="69"/>
      <c r="AS56" s="69"/>
      <c r="AT56" s="69"/>
    </row>
    <row r="57" spans="1:46" x14ac:dyDescent="0.2">
      <c r="A57" s="69"/>
      <c r="B57" s="69"/>
      <c r="C57" s="34" t="s">
        <v>47</v>
      </c>
      <c r="D57" s="35" t="s">
        <v>49</v>
      </c>
      <c r="E57" t="s">
        <v>46</v>
      </c>
      <c r="F57"/>
      <c r="G57"/>
      <c r="H57"/>
      <c r="I57"/>
      <c r="J57"/>
      <c r="K57"/>
      <c r="L57"/>
      <c r="M57"/>
      <c r="N57" s="3"/>
      <c r="O57" s="3"/>
      <c r="P57" s="37"/>
      <c r="Q57" s="37"/>
      <c r="R57" s="69"/>
      <c r="S57" s="69"/>
      <c r="T57" s="69"/>
      <c r="U57" s="15" t="s">
        <v>65</v>
      </c>
      <c r="V57" s="15" t="s">
        <v>49</v>
      </c>
      <c r="W57" t="s">
        <v>66</v>
      </c>
      <c r="X57"/>
      <c r="Y57" s="69"/>
      <c r="Z57" s="69"/>
      <c r="AA57" s="69"/>
      <c r="AB57" s="69"/>
      <c r="AC57" s="69"/>
      <c r="AD57" s="69"/>
      <c r="AE57" s="69"/>
      <c r="AF57" s="69"/>
      <c r="AG57" s="69"/>
      <c r="AH57" s="69"/>
      <c r="AI57" s="69"/>
      <c r="AJ57" s="69"/>
      <c r="AK57" s="69"/>
      <c r="AL57" s="69"/>
      <c r="AM57" s="69"/>
      <c r="AN57" s="69"/>
      <c r="AO57" s="69"/>
      <c r="AP57" s="69"/>
      <c r="AQ57" s="69"/>
      <c r="AR57" s="69"/>
      <c r="AS57" s="69"/>
      <c r="AT57" s="69"/>
    </row>
    <row r="58" spans="1:46" x14ac:dyDescent="0.2">
      <c r="A58" s="69"/>
      <c r="B58" s="69"/>
      <c r="C58" s="34" t="s">
        <v>48</v>
      </c>
      <c r="D58" s="35" t="s">
        <v>49</v>
      </c>
      <c r="E58" t="s">
        <v>29</v>
      </c>
      <c r="F58"/>
      <c r="G58"/>
      <c r="H58"/>
      <c r="I58"/>
      <c r="J58"/>
      <c r="K58"/>
      <c r="L58"/>
      <c r="M58"/>
      <c r="N58" s="36"/>
      <c r="O58" s="3"/>
      <c r="P58" s="37"/>
      <c r="Q58" s="37"/>
      <c r="R58" s="69"/>
      <c r="S58" s="69"/>
      <c r="T58" s="69"/>
      <c r="U58" s="21" t="s">
        <v>52</v>
      </c>
      <c r="V58" s="15" t="s">
        <v>49</v>
      </c>
      <c r="W58" t="s">
        <v>54</v>
      </c>
      <c r="X58"/>
      <c r="Y58" s="69"/>
      <c r="Z58" s="69"/>
      <c r="AA58" s="69"/>
      <c r="AB58" s="69"/>
      <c r="AC58" s="69"/>
      <c r="AD58" s="69"/>
      <c r="AE58" s="69"/>
      <c r="AF58" s="69"/>
      <c r="AG58" s="69"/>
      <c r="AH58" s="69"/>
      <c r="AI58" s="69"/>
      <c r="AJ58" s="69"/>
      <c r="AK58" s="69"/>
      <c r="AL58" s="69"/>
      <c r="AM58" s="69"/>
      <c r="AN58" s="69"/>
      <c r="AO58" s="69"/>
      <c r="AP58" s="69"/>
      <c r="AQ58" s="69"/>
      <c r="AR58" s="69"/>
      <c r="AS58" s="69"/>
      <c r="AT58" s="69"/>
    </row>
    <row r="59" spans="1:46" x14ac:dyDescent="0.2">
      <c r="A59" s="69"/>
      <c r="B59" s="69"/>
      <c r="C59" s="34" t="s">
        <v>3</v>
      </c>
      <c r="D59" s="35" t="s">
        <v>49</v>
      </c>
      <c r="E59" t="s">
        <v>67</v>
      </c>
      <c r="F59"/>
      <c r="G59"/>
      <c r="H59"/>
      <c r="I59"/>
      <c r="J59"/>
      <c r="K59"/>
      <c r="L59"/>
      <c r="M59"/>
      <c r="N59" s="36"/>
      <c r="O59" s="3"/>
      <c r="P59" s="37"/>
      <c r="Q59" s="37"/>
      <c r="R59" s="69"/>
      <c r="S59" s="69"/>
      <c r="T59" s="69"/>
      <c r="U59" s="21" t="s">
        <v>68</v>
      </c>
      <c r="V59" s="15" t="s">
        <v>49</v>
      </c>
      <c r="W59" t="s">
        <v>31</v>
      </c>
      <c r="X59"/>
      <c r="Y59" s="69"/>
      <c r="Z59" s="69"/>
      <c r="AA59" s="69"/>
      <c r="AB59" s="69"/>
      <c r="AC59" s="69"/>
      <c r="AD59" s="69"/>
      <c r="AE59" s="69"/>
      <c r="AF59" s="69"/>
      <c r="AG59" s="69"/>
      <c r="AH59" s="69"/>
      <c r="AI59" s="69"/>
      <c r="AJ59" s="69"/>
      <c r="AK59" s="69"/>
      <c r="AL59" s="69"/>
      <c r="AM59" s="69"/>
      <c r="AN59" s="69"/>
      <c r="AO59" s="69"/>
      <c r="AP59" s="69"/>
      <c r="AQ59" s="69"/>
      <c r="AR59" s="69"/>
      <c r="AS59" s="69"/>
      <c r="AT59" s="69"/>
    </row>
    <row r="60" spans="1:46" x14ac:dyDescent="0.2">
      <c r="A60" s="69"/>
      <c r="B60" s="69"/>
      <c r="C60" s="34" t="s">
        <v>73</v>
      </c>
      <c r="D60" s="35" t="s">
        <v>49</v>
      </c>
      <c r="E60" s="219" t="s">
        <v>75</v>
      </c>
      <c r="F60" s="220"/>
      <c r="G60" s="220"/>
      <c r="H60" s="220"/>
      <c r="I60" s="220"/>
      <c r="J60" s="220"/>
      <c r="K60" s="220"/>
      <c r="L60" s="220"/>
      <c r="M60" s="220"/>
      <c r="N60" s="220"/>
      <c r="O60" s="220"/>
      <c r="P60" s="220"/>
      <c r="Q60" s="220"/>
      <c r="R60" s="69"/>
      <c r="S60" s="69"/>
      <c r="T60" s="69"/>
      <c r="U60" s="21" t="s">
        <v>76</v>
      </c>
      <c r="V60" s="15" t="s">
        <v>49</v>
      </c>
      <c r="W60" t="s">
        <v>77</v>
      </c>
      <c r="X60" s="69"/>
      <c r="Y60" s="69"/>
      <c r="Z60" s="69"/>
      <c r="AA60" s="69"/>
      <c r="AB60" s="69"/>
      <c r="AC60" s="69"/>
      <c r="AD60" s="69"/>
      <c r="AE60" s="69"/>
      <c r="AF60" s="69"/>
      <c r="AG60" s="69"/>
      <c r="AH60" s="69"/>
      <c r="AI60" s="69"/>
      <c r="AJ60" s="69"/>
      <c r="AK60" s="69"/>
      <c r="AL60" s="69"/>
      <c r="AM60" s="69"/>
      <c r="AN60" s="69"/>
      <c r="AO60" s="69"/>
      <c r="AP60" s="69"/>
      <c r="AQ60" s="69"/>
      <c r="AR60" s="69"/>
      <c r="AS60" s="69"/>
      <c r="AT60" s="69"/>
    </row>
    <row r="61" spans="1:46" x14ac:dyDescent="0.2">
      <c r="A61" s="69"/>
      <c r="B61" s="69"/>
      <c r="C61" s="34" t="s">
        <v>142</v>
      </c>
      <c r="D61" s="35" t="s">
        <v>49</v>
      </c>
      <c r="E61" s="219" t="s">
        <v>143</v>
      </c>
      <c r="F61" s="220"/>
      <c r="G61" s="220"/>
      <c r="H61" s="220"/>
      <c r="I61" s="220"/>
      <c r="J61" s="220"/>
      <c r="K61" s="220"/>
      <c r="L61" s="220"/>
      <c r="M61" s="220"/>
      <c r="N61" s="220"/>
      <c r="O61" s="220"/>
      <c r="P61" s="220"/>
      <c r="Q61" s="220"/>
      <c r="R61" s="69"/>
      <c r="S61" s="69"/>
      <c r="T61" s="69"/>
      <c r="U61" s="69" t="s">
        <v>325</v>
      </c>
      <c r="V61" s="69" t="e">
        <f>-U59</f>
        <v>#VALUE!</v>
      </c>
      <c r="W61" s="69"/>
      <c r="X61" s="69"/>
      <c r="Y61" s="69"/>
      <c r="Z61" s="69"/>
      <c r="AA61" s="69"/>
      <c r="AB61" s="69"/>
      <c r="AC61" s="69"/>
      <c r="AD61" s="69"/>
      <c r="AE61" s="69"/>
      <c r="AF61" s="69"/>
      <c r="AG61" s="69"/>
      <c r="AH61" s="69"/>
      <c r="AI61" s="69"/>
      <c r="AJ61" s="69"/>
      <c r="AK61" s="69"/>
      <c r="AL61" s="69"/>
      <c r="AM61" s="69"/>
      <c r="AN61" s="69"/>
      <c r="AO61" s="69"/>
      <c r="AP61" s="69"/>
      <c r="AQ61" s="69"/>
      <c r="AR61" s="69"/>
      <c r="AS61" s="69"/>
      <c r="AT61" s="69"/>
    </row>
  </sheetData>
  <sheetProtection insertColumns="0" insertRows="0" deleteColumns="0" deleteRows="0" autoFilter="0"/>
  <mergeCells count="402">
    <mergeCell ref="AX37:AX38"/>
    <mergeCell ref="AY37:AY38"/>
    <mergeCell ref="AZ37:AZ38"/>
    <mergeCell ref="A37:A38"/>
    <mergeCell ref="B37:B38"/>
    <mergeCell ref="C37:C38"/>
    <mergeCell ref="D37:D38"/>
    <mergeCell ref="AJ37:AJ38"/>
    <mergeCell ref="AK37:AK38"/>
    <mergeCell ref="AL37:AL38"/>
    <mergeCell ref="AM37:AM38"/>
    <mergeCell ref="AN37:AN38"/>
    <mergeCell ref="AV27:AV28"/>
    <mergeCell ref="AX27:AX28"/>
    <mergeCell ref="AY27:AY28"/>
    <mergeCell ref="AZ27:AZ28"/>
    <mergeCell ref="AK27:AK28"/>
    <mergeCell ref="AL27:AL28"/>
    <mergeCell ref="AM27:AM28"/>
    <mergeCell ref="AN27:AN28"/>
    <mergeCell ref="AO27:AO28"/>
    <mergeCell ref="AP27:AP28"/>
    <mergeCell ref="AQ27:AQ28"/>
    <mergeCell ref="AR27:AR28"/>
    <mergeCell ref="AS27:AS28"/>
    <mergeCell ref="AY21:AY22"/>
    <mergeCell ref="AZ21:AZ22"/>
    <mergeCell ref="AO21:AO22"/>
    <mergeCell ref="AP21:AP22"/>
    <mergeCell ref="AQ21:AQ22"/>
    <mergeCell ref="AR21:AR22"/>
    <mergeCell ref="AS21:AS22"/>
    <mergeCell ref="AT21:AT22"/>
    <mergeCell ref="AU21:AU22"/>
    <mergeCell ref="AV21:AV22"/>
    <mergeCell ref="AX21:AX22"/>
    <mergeCell ref="A21:A22"/>
    <mergeCell ref="B21:B22"/>
    <mergeCell ref="C21:C22"/>
    <mergeCell ref="D21:D22"/>
    <mergeCell ref="AJ21:AJ22"/>
    <mergeCell ref="AK21:AK22"/>
    <mergeCell ref="AL21:AL22"/>
    <mergeCell ref="AM21:AM22"/>
    <mergeCell ref="AN21:AN22"/>
    <mergeCell ref="AU25:AU26"/>
    <mergeCell ref="AV25:AV26"/>
    <mergeCell ref="AX25:AX26"/>
    <mergeCell ref="AY25:AY26"/>
    <mergeCell ref="AZ25:AZ26"/>
    <mergeCell ref="B33:B34"/>
    <mergeCell ref="C33:C34"/>
    <mergeCell ref="D33:D34"/>
    <mergeCell ref="AO29:AO30"/>
    <mergeCell ref="AP29:AP30"/>
    <mergeCell ref="AU29:AU30"/>
    <mergeCell ref="AV29:AV30"/>
    <mergeCell ref="AX29:AX30"/>
    <mergeCell ref="AY29:AY30"/>
    <mergeCell ref="AZ29:AZ30"/>
    <mergeCell ref="AQ29:AQ30"/>
    <mergeCell ref="AR29:AR30"/>
    <mergeCell ref="AS29:AS30"/>
    <mergeCell ref="AT29:AT30"/>
    <mergeCell ref="AO31:AO32"/>
    <mergeCell ref="AP31:AP32"/>
    <mergeCell ref="AX31:AX32"/>
    <mergeCell ref="AT27:AT28"/>
    <mergeCell ref="AU27:AU28"/>
    <mergeCell ref="B19:B20"/>
    <mergeCell ref="C19:C20"/>
    <mergeCell ref="D19:D20"/>
    <mergeCell ref="C35:C36"/>
    <mergeCell ref="D35:D36"/>
    <mergeCell ref="B29:B30"/>
    <mergeCell ref="C29:C30"/>
    <mergeCell ref="B39:B40"/>
    <mergeCell ref="C39:C40"/>
    <mergeCell ref="B25:B26"/>
    <mergeCell ref="C25:C26"/>
    <mergeCell ref="D25:D26"/>
    <mergeCell ref="D29:D30"/>
    <mergeCell ref="B27:B28"/>
    <mergeCell ref="C27:C28"/>
    <mergeCell ref="D27:D28"/>
    <mergeCell ref="A2:N2"/>
    <mergeCell ref="W2:AB2"/>
    <mergeCell ref="W3:Y3"/>
    <mergeCell ref="Z3:AB3"/>
    <mergeCell ref="W4:Y4"/>
    <mergeCell ref="Z4:AB4"/>
    <mergeCell ref="B31:B32"/>
    <mergeCell ref="C31:C32"/>
    <mergeCell ref="D31:D32"/>
    <mergeCell ref="A12:A15"/>
    <mergeCell ref="B12:B15"/>
    <mergeCell ref="C12:C15"/>
    <mergeCell ref="D12:D15"/>
    <mergeCell ref="E12:AI12"/>
    <mergeCell ref="L13:L15"/>
    <mergeCell ref="M13:M15"/>
    <mergeCell ref="N13:N15"/>
    <mergeCell ref="A5:N5"/>
    <mergeCell ref="A6:N6"/>
    <mergeCell ref="W6:Y7"/>
    <mergeCell ref="Z6:AB7"/>
    <mergeCell ref="A8:B8"/>
    <mergeCell ref="A19:A20"/>
    <mergeCell ref="B17:B18"/>
    <mergeCell ref="C8:F8"/>
    <mergeCell ref="W8:Y8"/>
    <mergeCell ref="Z8:AB8"/>
    <mergeCell ref="E13:E15"/>
    <mergeCell ref="F13:F15"/>
    <mergeCell ref="G13:G15"/>
    <mergeCell ref="H13:H15"/>
    <mergeCell ref="I13:I15"/>
    <mergeCell ref="J13:J15"/>
    <mergeCell ref="K13:K15"/>
    <mergeCell ref="H9:S9"/>
    <mergeCell ref="D10:P10"/>
    <mergeCell ref="O13:O15"/>
    <mergeCell ref="P13:P15"/>
    <mergeCell ref="Q13:Q15"/>
    <mergeCell ref="R13:R15"/>
    <mergeCell ref="S13:S15"/>
    <mergeCell ref="T13:T15"/>
    <mergeCell ref="C17:C18"/>
    <mergeCell ref="D17:D18"/>
    <mergeCell ref="D39:D40"/>
    <mergeCell ref="AJ12:AO12"/>
    <mergeCell ref="AP12:AP15"/>
    <mergeCell ref="AQ12:AQ15"/>
    <mergeCell ref="AC13:AC15"/>
    <mergeCell ref="AD13:AD15"/>
    <mergeCell ref="AE13:AE15"/>
    <mergeCell ref="AF13:AF15"/>
    <mergeCell ref="U13:U15"/>
    <mergeCell ref="V13:V15"/>
    <mergeCell ref="W13:W15"/>
    <mergeCell ref="X13:X15"/>
    <mergeCell ref="Y13:Y15"/>
    <mergeCell ref="Z13:Z15"/>
    <mergeCell ref="AJ19:AJ20"/>
    <mergeCell ref="AK19:AK20"/>
    <mergeCell ref="AL19:AL20"/>
    <mergeCell ref="AQ17:AQ18"/>
    <mergeCell ref="AK31:AK32"/>
    <mergeCell ref="AL31:AL32"/>
    <mergeCell ref="AM31:AM32"/>
    <mergeCell ref="AN31:AN32"/>
    <mergeCell ref="AZ13:AZ15"/>
    <mergeCell ref="AK14:AK15"/>
    <mergeCell ref="AL14:AO14"/>
    <mergeCell ref="E16:AI16"/>
    <mergeCell ref="AK16:AO16"/>
    <mergeCell ref="A17:A18"/>
    <mergeCell ref="AJ17:AJ18"/>
    <mergeCell ref="AS13:AS15"/>
    <mergeCell ref="AT13:AT15"/>
    <mergeCell ref="AU13:AU15"/>
    <mergeCell ref="AV13:AV15"/>
    <mergeCell ref="AX13:AX15"/>
    <mergeCell ref="AY13:AY15"/>
    <mergeCell ref="AG13:AG15"/>
    <mergeCell ref="AH13:AH15"/>
    <mergeCell ref="AI13:AI15"/>
    <mergeCell ref="AJ13:AJ15"/>
    <mergeCell ref="AK13:AO13"/>
    <mergeCell ref="AR13:AR15"/>
    <mergeCell ref="AA13:AA15"/>
    <mergeCell ref="AB13:AB15"/>
    <mergeCell ref="AX17:AX18"/>
    <mergeCell ref="AY17:AY18"/>
    <mergeCell ref="AZ17:AZ18"/>
    <mergeCell ref="AR17:AR18"/>
    <mergeCell ref="AS17:AS18"/>
    <mergeCell ref="AT17:AT18"/>
    <mergeCell ref="AU17:AU18"/>
    <mergeCell ref="AQ19:AQ20"/>
    <mergeCell ref="AR19:AR20"/>
    <mergeCell ref="AV17:AV18"/>
    <mergeCell ref="AK17:AK18"/>
    <mergeCell ref="AL17:AL18"/>
    <mergeCell ref="AM17:AM18"/>
    <mergeCell ref="AN17:AN18"/>
    <mergeCell ref="AO17:AO18"/>
    <mergeCell ref="AP17:AP18"/>
    <mergeCell ref="AZ19:AZ20"/>
    <mergeCell ref="A23:A24"/>
    <mergeCell ref="AJ23:AJ24"/>
    <mergeCell ref="AK23:AK24"/>
    <mergeCell ref="AL23:AL24"/>
    <mergeCell ref="AM23:AM24"/>
    <mergeCell ref="AN23:AN24"/>
    <mergeCell ref="AS19:AS20"/>
    <mergeCell ref="AT19:AT20"/>
    <mergeCell ref="AU19:AU20"/>
    <mergeCell ref="AV19:AV20"/>
    <mergeCell ref="AX19:AX20"/>
    <mergeCell ref="AY19:AY20"/>
    <mergeCell ref="AM19:AM20"/>
    <mergeCell ref="AN19:AN20"/>
    <mergeCell ref="AO19:AO20"/>
    <mergeCell ref="AP19:AP20"/>
    <mergeCell ref="AU23:AU24"/>
    <mergeCell ref="AV23:AV24"/>
    <mergeCell ref="AX23:AX24"/>
    <mergeCell ref="AY23:AY24"/>
    <mergeCell ref="AZ23:AZ24"/>
    <mergeCell ref="AO23:AO24"/>
    <mergeCell ref="AP23:AP24"/>
    <mergeCell ref="AQ23:AQ24"/>
    <mergeCell ref="AR23:AR24"/>
    <mergeCell ref="AS23:AS24"/>
    <mergeCell ref="AT23:AT24"/>
    <mergeCell ref="B23:B24"/>
    <mergeCell ref="C23:C24"/>
    <mergeCell ref="D23:D24"/>
    <mergeCell ref="A25:A26"/>
    <mergeCell ref="AJ25:AJ26"/>
    <mergeCell ref="AK25:AK26"/>
    <mergeCell ref="AL25:AL26"/>
    <mergeCell ref="AM25:AM26"/>
    <mergeCell ref="AN25:AN26"/>
    <mergeCell ref="AO25:AO26"/>
    <mergeCell ref="AP25:AP26"/>
    <mergeCell ref="AQ25:AQ26"/>
    <mergeCell ref="AR25:AR26"/>
    <mergeCell ref="AS25:AS26"/>
    <mergeCell ref="AT25:AT26"/>
    <mergeCell ref="A29:A30"/>
    <mergeCell ref="AJ29:AJ30"/>
    <mergeCell ref="AK29:AK30"/>
    <mergeCell ref="AL29:AL30"/>
    <mergeCell ref="AM29:AM30"/>
    <mergeCell ref="AN29:AN30"/>
    <mergeCell ref="AY31:AY32"/>
    <mergeCell ref="AZ31:AZ32"/>
    <mergeCell ref="AV31:AV32"/>
    <mergeCell ref="AT31:AT32"/>
    <mergeCell ref="AU31:AU32"/>
    <mergeCell ref="AW31:AW32"/>
    <mergeCell ref="A27:A28"/>
    <mergeCell ref="AJ27:AJ28"/>
    <mergeCell ref="AZ33:AZ34"/>
    <mergeCell ref="AV33:AV34"/>
    <mergeCell ref="AX33:AX34"/>
    <mergeCell ref="AY33:AY34"/>
    <mergeCell ref="A31:A32"/>
    <mergeCell ref="AJ31:AJ32"/>
    <mergeCell ref="AS33:AS34"/>
    <mergeCell ref="AT33:AT34"/>
    <mergeCell ref="AU33:AU34"/>
    <mergeCell ref="AM33:AM34"/>
    <mergeCell ref="AN33:AN34"/>
    <mergeCell ref="AO33:AO34"/>
    <mergeCell ref="AP33:AP34"/>
    <mergeCell ref="AQ33:AQ34"/>
    <mergeCell ref="AR33:AR34"/>
    <mergeCell ref="A33:A34"/>
    <mergeCell ref="AJ33:AJ34"/>
    <mergeCell ref="AK33:AK34"/>
    <mergeCell ref="AL33:AL34"/>
    <mergeCell ref="AQ31:AQ32"/>
    <mergeCell ref="AR31:AR32"/>
    <mergeCell ref="AS31:AS32"/>
    <mergeCell ref="AY35:AY36"/>
    <mergeCell ref="AZ35:AZ36"/>
    <mergeCell ref="A39:A40"/>
    <mergeCell ref="AJ39:AJ40"/>
    <mergeCell ref="AO35:AO36"/>
    <mergeCell ref="AP35:AP36"/>
    <mergeCell ref="AQ35:AQ36"/>
    <mergeCell ref="AR35:AR36"/>
    <mergeCell ref="AS35:AS36"/>
    <mergeCell ref="AT35:AT36"/>
    <mergeCell ref="AX39:AX40"/>
    <mergeCell ref="AY39:AY40"/>
    <mergeCell ref="AZ39:AZ40"/>
    <mergeCell ref="AV39:AV40"/>
    <mergeCell ref="A35:A36"/>
    <mergeCell ref="AJ35:AJ36"/>
    <mergeCell ref="AK35:AK36"/>
    <mergeCell ref="AL35:AL36"/>
    <mergeCell ref="AM35:AM36"/>
    <mergeCell ref="AN35:AN36"/>
    <mergeCell ref="AU35:AU36"/>
    <mergeCell ref="B35:B36"/>
    <mergeCell ref="AU39:AU40"/>
    <mergeCell ref="AK39:AK40"/>
    <mergeCell ref="AL39:AL40"/>
    <mergeCell ref="AM39:AM40"/>
    <mergeCell ref="AN39:AN40"/>
    <mergeCell ref="AO39:AO40"/>
    <mergeCell ref="AP39:AP40"/>
    <mergeCell ref="AV35:AV36"/>
    <mergeCell ref="AX35:AX36"/>
    <mergeCell ref="AO41:AO42"/>
    <mergeCell ref="AP41:AP42"/>
    <mergeCell ref="AQ41:AQ42"/>
    <mergeCell ref="AR41:AR42"/>
    <mergeCell ref="AS41:AS42"/>
    <mergeCell ref="AQ39:AQ40"/>
    <mergeCell ref="AR39:AR40"/>
    <mergeCell ref="AS39:AS40"/>
    <mergeCell ref="AT39:AT40"/>
    <mergeCell ref="AO37:AO38"/>
    <mergeCell ref="AP37:AP38"/>
    <mergeCell ref="AQ37:AQ38"/>
    <mergeCell ref="AR37:AR38"/>
    <mergeCell ref="AS37:AS38"/>
    <mergeCell ref="AT37:AT38"/>
    <mergeCell ref="AU37:AU38"/>
    <mergeCell ref="AV37:AV38"/>
    <mergeCell ref="A41:A42"/>
    <mergeCell ref="AJ41:AJ42"/>
    <mergeCell ref="AK41:AK42"/>
    <mergeCell ref="AL41:AL42"/>
    <mergeCell ref="AM41:AM42"/>
    <mergeCell ref="AN41:AN42"/>
    <mergeCell ref="B41:B42"/>
    <mergeCell ref="C41:C42"/>
    <mergeCell ref="D41:D42"/>
    <mergeCell ref="A43:A44"/>
    <mergeCell ref="AJ43:AJ44"/>
    <mergeCell ref="AK43:AK44"/>
    <mergeCell ref="AL43:AL44"/>
    <mergeCell ref="B43:B44"/>
    <mergeCell ref="C43:C44"/>
    <mergeCell ref="D43:D44"/>
    <mergeCell ref="AS43:AS44"/>
    <mergeCell ref="AM43:AM44"/>
    <mergeCell ref="AN43:AN44"/>
    <mergeCell ref="AO43:AO44"/>
    <mergeCell ref="AP43:AP44"/>
    <mergeCell ref="AQ43:AQ44"/>
    <mergeCell ref="AR43:AR44"/>
    <mergeCell ref="AZ43:AZ44"/>
    <mergeCell ref="AV43:AV44"/>
    <mergeCell ref="AX43:AX44"/>
    <mergeCell ref="AY43:AY44"/>
    <mergeCell ref="AV41:AV42"/>
    <mergeCell ref="AX41:AX42"/>
    <mergeCell ref="AY41:AY42"/>
    <mergeCell ref="AZ41:AZ42"/>
    <mergeCell ref="AT41:AT42"/>
    <mergeCell ref="AT43:AT44"/>
    <mergeCell ref="AU43:AU44"/>
    <mergeCell ref="AU41:AU42"/>
    <mergeCell ref="A45:A46"/>
    <mergeCell ref="B45:B46"/>
    <mergeCell ref="C45:C46"/>
    <mergeCell ref="D45:D46"/>
    <mergeCell ref="AX45:AX46"/>
    <mergeCell ref="AY45:AY46"/>
    <mergeCell ref="AZ45:AZ46"/>
    <mergeCell ref="AQ45:AQ46"/>
    <mergeCell ref="AR45:AR46"/>
    <mergeCell ref="AS45:AS46"/>
    <mergeCell ref="AT45:AT46"/>
    <mergeCell ref="AU45:AU46"/>
    <mergeCell ref="AV45:AV46"/>
    <mergeCell ref="AP45:AP46"/>
    <mergeCell ref="E60:Q60"/>
    <mergeCell ref="E61:Q61"/>
    <mergeCell ref="AO45:AO46"/>
    <mergeCell ref="AN45:AN46"/>
    <mergeCell ref="AM45:AM46"/>
    <mergeCell ref="AL45:AL46"/>
    <mergeCell ref="AK45:AK46"/>
    <mergeCell ref="AJ45:AJ46"/>
    <mergeCell ref="U48:Z48"/>
    <mergeCell ref="U50:Z50"/>
    <mergeCell ref="A48:C48"/>
    <mergeCell ref="D48:I48"/>
    <mergeCell ref="K48:M48"/>
    <mergeCell ref="O48:S48"/>
    <mergeCell ref="D49:I49"/>
    <mergeCell ref="K49:M49"/>
    <mergeCell ref="O49:S49"/>
    <mergeCell ref="D50:I50"/>
    <mergeCell ref="D51:I51"/>
    <mergeCell ref="K51:M51"/>
    <mergeCell ref="O51:S51"/>
    <mergeCell ref="K50:M50"/>
    <mergeCell ref="O50:S50"/>
    <mergeCell ref="AW33:AW34"/>
    <mergeCell ref="AW35:AW36"/>
    <mergeCell ref="AW39:AW40"/>
    <mergeCell ref="AW41:AW42"/>
    <mergeCell ref="AW43:AW44"/>
    <mergeCell ref="AW45:AW46"/>
    <mergeCell ref="AW13:AW15"/>
    <mergeCell ref="AW17:AW18"/>
    <mergeCell ref="AW19:AW20"/>
    <mergeCell ref="AW21:AW22"/>
    <mergeCell ref="AW23:AW24"/>
    <mergeCell ref="AW25:AW26"/>
    <mergeCell ref="AW27:AW28"/>
    <mergeCell ref="AW29:AW30"/>
    <mergeCell ref="AW37:AW38"/>
  </mergeCells>
  <conditionalFormatting sqref="E17">
    <cfRule type="expression" dxfId="470" priority="73" stopIfTrue="1">
      <formula>(E17="Р")</formula>
    </cfRule>
    <cfRule type="expression" dxfId="469" priority="74" stopIfTrue="1">
      <formula>(E17="ВЧ")</formula>
    </cfRule>
    <cfRule type="expression" dxfId="468" priority="75" stopIfTrue="1">
      <formula>(E17="ВЧ1")</formula>
    </cfRule>
    <cfRule type="expression" dxfId="467" priority="76" stopIfTrue="1">
      <formula>(E17="ВЧ2")</formula>
    </cfRule>
    <cfRule type="expression" dxfId="466" priority="77" stopIfTrue="1">
      <formula>(E17="РН")</formula>
    </cfRule>
    <cfRule type="expression" dxfId="465" priority="78" stopIfTrue="1">
      <formula>(E17="НУ")</formula>
    </cfRule>
    <cfRule type="expression" dxfId="464" priority="79" stopIfTrue="1">
      <formula>(E17="Р1")</formula>
    </cfRule>
    <cfRule type="expression" dxfId="463" priority="80" stopIfTrue="1">
      <formula>(E17="Р2")</formula>
    </cfRule>
    <cfRule type="expression" dxfId="462" priority="81" stopIfTrue="1">
      <formula>(E17="Р1/РВ")</formula>
    </cfRule>
    <cfRule type="expression" dxfId="461" priority="82" stopIfTrue="1">
      <formula>(E17="Р2/РВ")</formula>
    </cfRule>
    <cfRule type="expression" dxfId="460" priority="83" stopIfTrue="1">
      <formula>(E17="ВЧ/РВ")</formula>
    </cfRule>
    <cfRule type="expression" priority="84" stopIfTrue="1">
      <formula>(E17="РН/РВ")</formula>
    </cfRule>
  </conditionalFormatting>
  <conditionalFormatting sqref="F17:AI17">
    <cfRule type="expression" dxfId="459" priority="61" stopIfTrue="1">
      <formula>(F17="Р")</formula>
    </cfRule>
    <cfRule type="expression" dxfId="458" priority="62" stopIfTrue="1">
      <formula>(F17="ВЧ")</formula>
    </cfRule>
    <cfRule type="expression" dxfId="457" priority="63" stopIfTrue="1">
      <formula>(F17="ВЧ1")</formula>
    </cfRule>
    <cfRule type="expression" dxfId="456" priority="64" stopIfTrue="1">
      <formula>(F17="ВЧ2")</formula>
    </cfRule>
    <cfRule type="expression" dxfId="455" priority="65" stopIfTrue="1">
      <formula>(F17="РН")</formula>
    </cfRule>
    <cfRule type="expression" dxfId="454" priority="66" stopIfTrue="1">
      <formula>(F17="НУ")</formula>
    </cfRule>
    <cfRule type="expression" dxfId="453" priority="67" stopIfTrue="1">
      <formula>(F17="Р1")</formula>
    </cfRule>
    <cfRule type="expression" dxfId="452" priority="68" stopIfTrue="1">
      <formula>(F17="Р2")</formula>
    </cfRule>
    <cfRule type="expression" dxfId="451" priority="69" stopIfTrue="1">
      <formula>(F17="Р1/РВ")</formula>
    </cfRule>
    <cfRule type="expression" dxfId="450" priority="70" stopIfTrue="1">
      <formula>(F17="Р2/РВ")</formula>
    </cfRule>
    <cfRule type="expression" dxfId="449" priority="71" stopIfTrue="1">
      <formula>(F17="ВЧ/РВ")</formula>
    </cfRule>
    <cfRule type="expression" priority="72" stopIfTrue="1">
      <formula>(F17="РН/РВ")</formula>
    </cfRule>
  </conditionalFormatting>
  <conditionalFormatting sqref="E18">
    <cfRule type="expression" dxfId="448" priority="85" stopIfTrue="1">
      <formula>(E17="ВД")</formula>
    </cfRule>
    <cfRule type="expression" dxfId="447" priority="86" stopIfTrue="1">
      <formula>(E17="В")</formula>
    </cfRule>
    <cfRule type="expression" dxfId="446" priority="87" stopIfTrue="1">
      <formula>(E17="ВП")</formula>
    </cfRule>
    <cfRule type="expression" dxfId="445" priority="88" stopIfTrue="1">
      <formula>(E17="ДД")</formula>
    </cfRule>
    <cfRule type="expression" dxfId="444" priority="89" stopIfTrue="1">
      <formula>(E17="НА")</formula>
    </cfRule>
    <cfRule type="expression" dxfId="443" priority="90" stopIfTrue="1">
      <formula>(E17="Ч")</formula>
    </cfRule>
    <cfRule type="expression" dxfId="442" priority="91" stopIfTrue="1">
      <formula>(E17="Н")</formula>
    </cfRule>
    <cfRule type="expression" dxfId="441" priority="92" stopIfTrue="1">
      <formula>(E17="ТН")</formula>
    </cfRule>
    <cfRule type="expression" dxfId="440" priority="93" stopIfTrue="1">
      <formula>(E17="ДО")</formula>
    </cfRule>
    <cfRule type="expression" dxfId="439" priority="94" stopIfTrue="1">
      <formula>(E17="ІН")</formula>
    </cfRule>
    <cfRule type="expression" dxfId="438" priority="95" stopIfTrue="1">
      <formula>(E17="РВ")</formula>
    </cfRule>
    <cfRule type="expression" dxfId="437" priority="96" stopIfTrue="1">
      <formula>(E17="ВБ")</formula>
    </cfRule>
  </conditionalFormatting>
  <conditionalFormatting sqref="F18:AI18">
    <cfRule type="expression" dxfId="436" priority="49" stopIfTrue="1">
      <formula>(F17="ВД")</formula>
    </cfRule>
    <cfRule type="expression" dxfId="435" priority="50" stopIfTrue="1">
      <formula>(F17="В")</formula>
    </cfRule>
    <cfRule type="expression" dxfId="434" priority="51" stopIfTrue="1">
      <formula>(F17="ВП")</formula>
    </cfRule>
    <cfRule type="expression" dxfId="433" priority="52" stopIfTrue="1">
      <formula>(F17="ДД")</formula>
    </cfRule>
    <cfRule type="expression" dxfId="432" priority="53" stopIfTrue="1">
      <formula>(F17="НА")</formula>
    </cfRule>
    <cfRule type="expression" dxfId="431" priority="54" stopIfTrue="1">
      <formula>(F17="Ч")</formula>
    </cfRule>
    <cfRule type="expression" dxfId="430" priority="55" stopIfTrue="1">
      <formula>(F17="Н")</formula>
    </cfRule>
    <cfRule type="expression" dxfId="429" priority="56" stopIfTrue="1">
      <formula>(F17="ТН")</formula>
    </cfRule>
    <cfRule type="expression" dxfId="428" priority="57" stopIfTrue="1">
      <formula>(F17="ДО")</formula>
    </cfRule>
    <cfRule type="expression" dxfId="427" priority="58" stopIfTrue="1">
      <formula>(F17="ІН")</formula>
    </cfRule>
    <cfRule type="expression" dxfId="426" priority="59" stopIfTrue="1">
      <formula>(F17="РВ")</formula>
    </cfRule>
    <cfRule type="expression" dxfId="425" priority="60" stopIfTrue="1">
      <formula>(F17="ВБ")</formula>
    </cfRule>
  </conditionalFormatting>
  <conditionalFormatting sqref="E19 E21 E23 E25 E27 E29 E31 E33 E35 E37 E39 E41 E43">
    <cfRule type="expression" dxfId="378" priority="25" stopIfTrue="1">
      <formula>(E19="Р")</formula>
    </cfRule>
    <cfRule type="expression" dxfId="377" priority="26" stopIfTrue="1">
      <formula>(E19="ВЧ")</formula>
    </cfRule>
    <cfRule type="expression" dxfId="376" priority="27" stopIfTrue="1">
      <formula>(E19="ВЧ1")</formula>
    </cfRule>
    <cfRule type="expression" dxfId="375" priority="28" stopIfTrue="1">
      <formula>(E19="ВЧ2")</formula>
    </cfRule>
    <cfRule type="expression" dxfId="374" priority="29" stopIfTrue="1">
      <formula>(E19="РН")</formula>
    </cfRule>
    <cfRule type="expression" dxfId="373" priority="30" stopIfTrue="1">
      <formula>(E19="НУ")</formula>
    </cfRule>
    <cfRule type="expression" dxfId="372" priority="31" stopIfTrue="1">
      <formula>(E19="Р1")</formula>
    </cfRule>
    <cfRule type="expression" dxfId="371" priority="32" stopIfTrue="1">
      <formula>(E19="Р2")</formula>
    </cfRule>
    <cfRule type="expression" dxfId="370" priority="33" stopIfTrue="1">
      <formula>(E19="Р1/РВ")</formula>
    </cfRule>
    <cfRule type="expression" dxfId="369" priority="34" stopIfTrue="1">
      <formula>(E19="Р2/РВ")</formula>
    </cfRule>
    <cfRule type="expression" dxfId="368" priority="35" stopIfTrue="1">
      <formula>(E19="ВЧ/РВ")</formula>
    </cfRule>
    <cfRule type="expression" priority="36" stopIfTrue="1">
      <formula>(E19="РН/РВ")</formula>
    </cfRule>
  </conditionalFormatting>
  <conditionalFormatting sqref="F19:AI19 F21:AI21 F23:AI23 F25:AI25 F27:AI27 F29:AI29 F31:AI31 F33:AI33 F35:AI35 F37:AI37 F39:AI39 F41:AI41 F43:AI43">
    <cfRule type="expression" dxfId="367" priority="13" stopIfTrue="1">
      <formula>(F19="Р")</formula>
    </cfRule>
    <cfRule type="expression" dxfId="366" priority="14" stopIfTrue="1">
      <formula>(F19="ВЧ")</formula>
    </cfRule>
    <cfRule type="expression" dxfId="365" priority="15" stopIfTrue="1">
      <formula>(F19="ВЧ1")</formula>
    </cfRule>
    <cfRule type="expression" dxfId="364" priority="16" stopIfTrue="1">
      <formula>(F19="ВЧ2")</formula>
    </cfRule>
    <cfRule type="expression" dxfId="363" priority="17" stopIfTrue="1">
      <formula>(F19="РН")</formula>
    </cfRule>
    <cfRule type="expression" dxfId="362" priority="18" stopIfTrue="1">
      <formula>(F19="НУ")</formula>
    </cfRule>
    <cfRule type="expression" dxfId="361" priority="19" stopIfTrue="1">
      <formula>(F19="Р1")</formula>
    </cfRule>
    <cfRule type="expression" dxfId="360" priority="20" stopIfTrue="1">
      <formula>(F19="Р2")</formula>
    </cfRule>
    <cfRule type="expression" dxfId="359" priority="21" stopIfTrue="1">
      <formula>(F19="Р1/РВ")</formula>
    </cfRule>
    <cfRule type="expression" dxfId="358" priority="22" stopIfTrue="1">
      <formula>(F19="Р2/РВ")</formula>
    </cfRule>
    <cfRule type="expression" dxfId="357" priority="23" stopIfTrue="1">
      <formula>(F19="ВЧ/РВ")</formula>
    </cfRule>
    <cfRule type="expression" priority="24" stopIfTrue="1">
      <formula>(F19="РН/РВ")</formula>
    </cfRule>
  </conditionalFormatting>
  <conditionalFormatting sqref="E20 E22 E24 E26 E28 E30 E32 E34 E36 E38 E40 E42 E44">
    <cfRule type="expression" dxfId="356" priority="37" stopIfTrue="1">
      <formula>(E19="ВД")</formula>
    </cfRule>
    <cfRule type="expression" dxfId="355" priority="38" stopIfTrue="1">
      <formula>(E19="В")</formula>
    </cfRule>
    <cfRule type="expression" dxfId="354" priority="39" stopIfTrue="1">
      <formula>(E19="ВП")</formula>
    </cfRule>
    <cfRule type="expression" dxfId="353" priority="40" stopIfTrue="1">
      <formula>(E19="ДД")</formula>
    </cfRule>
    <cfRule type="expression" dxfId="352" priority="41" stopIfTrue="1">
      <formula>(E19="НА")</formula>
    </cfRule>
    <cfRule type="expression" dxfId="351" priority="42" stopIfTrue="1">
      <formula>(E19="Ч")</formula>
    </cfRule>
    <cfRule type="expression" dxfId="350" priority="43" stopIfTrue="1">
      <formula>(E19="Н")</formula>
    </cfRule>
    <cfRule type="expression" dxfId="349" priority="44" stopIfTrue="1">
      <formula>(E19="ТН")</formula>
    </cfRule>
    <cfRule type="expression" dxfId="348" priority="45" stopIfTrue="1">
      <formula>(E19="ДО")</formula>
    </cfRule>
    <cfRule type="expression" dxfId="347" priority="46" stopIfTrue="1">
      <formula>(E19="ІН")</formula>
    </cfRule>
    <cfRule type="expression" dxfId="346" priority="47" stopIfTrue="1">
      <formula>(E19="РВ")</formula>
    </cfRule>
    <cfRule type="expression" dxfId="345" priority="48" stopIfTrue="1">
      <formula>(E19="ВБ")</formula>
    </cfRule>
  </conditionalFormatting>
  <conditionalFormatting sqref="F20:AI20 F22:AI22 F24:AI24 F26:AI26 F28:AI28 F30:AI30 F32:AI32 F34:AI34 F36:AI36 F38:AI38 F40:AI40 F42:AI42 F44:AI44">
    <cfRule type="expression" dxfId="344" priority="1" stopIfTrue="1">
      <formula>(F19="ВД")</formula>
    </cfRule>
    <cfRule type="expression" dxfId="343" priority="2" stopIfTrue="1">
      <formula>(F19="В")</formula>
    </cfRule>
    <cfRule type="expression" dxfId="342" priority="3" stopIfTrue="1">
      <formula>(F19="ВП")</formula>
    </cfRule>
    <cfRule type="expression" dxfId="341" priority="4" stopIfTrue="1">
      <formula>(F19="ДД")</formula>
    </cfRule>
    <cfRule type="expression" dxfId="340" priority="5" stopIfTrue="1">
      <formula>(F19="НА")</formula>
    </cfRule>
    <cfRule type="expression" dxfId="339" priority="6" stopIfTrue="1">
      <formula>(F19="Ч")</formula>
    </cfRule>
    <cfRule type="expression" dxfId="338" priority="7" stopIfTrue="1">
      <formula>(F19="Н")</formula>
    </cfRule>
    <cfRule type="expression" dxfId="337" priority="8" stopIfTrue="1">
      <formula>(F19="ТН")</formula>
    </cfRule>
    <cfRule type="expression" dxfId="336" priority="9" stopIfTrue="1">
      <formula>(F19="ДО")</formula>
    </cfRule>
    <cfRule type="expression" dxfId="335" priority="10" stopIfTrue="1">
      <formula>(F19="ІН")</formula>
    </cfRule>
    <cfRule type="expression" dxfId="334" priority="11" stopIfTrue="1">
      <formula>(F19="РВ")</formula>
    </cfRule>
    <cfRule type="expression" dxfId="333" priority="12" stopIfTrue="1">
      <formula>(F19="ВБ")</formula>
    </cfRule>
  </conditionalFormatting>
  <printOptions horizontalCentered="1"/>
  <pageMargins left="0.39370078740157483" right="0.39370078740157483" top="0.59055118110236227" bottom="0.59055118110236227" header="0" footer="0"/>
  <pageSetup paperSize="8" scale="84" fitToHeight="999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4" r:id="rId4" name="Button 4">
              <controlPr defaultSize="0" print="0" autoFill="0" autoPict="0" macro="[0]!Макрос1">
                <anchor moveWithCells="1" sizeWithCells="1">
                  <from>
                    <xdr:col>9</xdr:col>
                    <xdr:colOff>104775</xdr:colOff>
                    <xdr:row>0</xdr:row>
                    <xdr:rowOff>123825</xdr:rowOff>
                  </from>
                  <to>
                    <xdr:col>12</xdr:col>
                    <xdr:colOff>228600</xdr:colOff>
                    <xdr:row>1</xdr:row>
                    <xdr:rowOff>133350</xdr:rowOff>
                  </to>
                </anchor>
              </controlPr>
            </control>
          </mc:Choice>
        </mc:AlternateContent>
        <mc:AlternateContent xmlns:mc="http://schemas.openxmlformats.org/markup-compatibility/2006">
          <mc:Choice Requires="x14">
            <control shapeId="35845" r:id="rId5" name="Button 5">
              <controlPr defaultSize="0" print="0" autoFill="0" autoPict="0" macro="[0]!Макрос2">
                <anchor moveWithCells="1" sizeWithCells="1">
                  <from>
                    <xdr:col>9</xdr:col>
                    <xdr:colOff>104775</xdr:colOff>
                    <xdr:row>2</xdr:row>
                    <xdr:rowOff>76200</xdr:rowOff>
                  </from>
                  <to>
                    <xdr:col>13</xdr:col>
                    <xdr:colOff>0</xdr:colOff>
                    <xdr:row>3</xdr:row>
                    <xdr:rowOff>66675</xdr:rowOff>
                  </to>
                </anchor>
              </controlPr>
            </control>
          </mc:Choice>
        </mc:AlternateContent>
        <mc:AlternateContent xmlns:mc="http://schemas.openxmlformats.org/markup-compatibility/2006">
          <mc:Choice Requires="x14">
            <control shapeId="35846" r:id="rId6" name="Button 6">
              <controlPr defaultSize="0" print="0" autoFill="0" autoPict="0" macro="[0]!Макрос3">
                <anchor moveWithCells="1" sizeWithCells="1">
                  <from>
                    <xdr:col>8</xdr:col>
                    <xdr:colOff>76200</xdr:colOff>
                    <xdr:row>3</xdr:row>
                    <xdr:rowOff>161925</xdr:rowOff>
                  </from>
                  <to>
                    <xdr:col>13</xdr:col>
                    <xdr:colOff>0</xdr:colOff>
                    <xdr:row>4</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5">
    <pageSetUpPr fitToPage="1"/>
  </sheetPr>
  <dimension ref="A2:AZ98"/>
  <sheetViews>
    <sheetView showZeros="0" topLeftCell="C1" zoomScale="85" zoomScaleNormal="85" zoomScaleSheetLayoutView="80" workbookViewId="0">
      <pane ySplit="15" topLeftCell="A46" activePane="bottomLeft" state="frozen"/>
      <selection pane="bottomLeft" activeCell="E19" sqref="E19:AI52"/>
    </sheetView>
  </sheetViews>
  <sheetFormatPr defaultRowHeight="12.75" x14ac:dyDescent="0.2"/>
  <cols>
    <col min="1" max="1" width="5.28515625" style="51" customWidth="1"/>
    <col min="2" max="2" width="25.85546875" style="51" customWidth="1"/>
    <col min="3" max="3" width="5.85546875" style="13" customWidth="1"/>
    <col min="4" max="5" width="3.7109375" style="51" customWidth="1"/>
    <col min="6" max="6" width="5.28515625" style="51" customWidth="1"/>
    <col min="7" max="17" width="3.7109375" style="51" customWidth="1"/>
    <col min="18" max="18" width="4.42578125" style="51" customWidth="1"/>
    <col min="19" max="35" width="3.7109375" style="51" customWidth="1"/>
    <col min="36" max="36" width="4.7109375" style="51" customWidth="1"/>
    <col min="37" max="37" width="7.28515625" style="51" customWidth="1"/>
    <col min="38" max="42" width="4.7109375" style="51" customWidth="1"/>
    <col min="43" max="43" width="6.5703125" style="51" customWidth="1"/>
    <col min="44" max="44" width="5.28515625" style="51" customWidth="1"/>
    <col min="45" max="48" width="4.7109375" style="51" customWidth="1"/>
    <col min="49" max="49" width="4.7109375" style="131" customWidth="1"/>
    <col min="50" max="52" width="4.7109375" style="51" customWidth="1"/>
    <col min="53" max="16384" width="9.140625" style="5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124</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125</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4"/>
      <c r="U9" s="44"/>
      <c r="V9" s="44"/>
      <c r="W9" s="44"/>
      <c r="X9" s="44"/>
      <c r="Y9" s="44"/>
      <c r="Z9" s="44"/>
      <c r="AA9" s="44"/>
      <c r="AB9" s="44"/>
      <c r="AC9" s="44"/>
      <c r="AD9" s="44"/>
      <c r="AE9" s="44"/>
      <c r="AF9" s="44"/>
      <c r="AG9" s="44"/>
      <c r="AH9" s="44"/>
      <c r="AI9" s="44"/>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67">
        <v>1</v>
      </c>
      <c r="B16" s="66">
        <v>2</v>
      </c>
      <c r="C16" s="71">
        <v>3</v>
      </c>
      <c r="D16" s="71" t="s">
        <v>27</v>
      </c>
      <c r="E16" s="232">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66">
        <v>6</v>
      </c>
      <c r="AK16" s="233">
        <v>7</v>
      </c>
      <c r="AL16" s="232"/>
      <c r="AM16" s="232"/>
      <c r="AN16" s="232"/>
      <c r="AO16" s="234"/>
      <c r="AP16" s="66">
        <v>8</v>
      </c>
      <c r="AQ16" s="27">
        <v>9</v>
      </c>
      <c r="AR16" s="28"/>
      <c r="AS16" s="28"/>
      <c r="AT16" s="28"/>
      <c r="AU16" s="28"/>
      <c r="AV16" s="28"/>
      <c r="AW16" s="28"/>
      <c r="AX16" s="28"/>
      <c r="AY16" s="29"/>
      <c r="AZ16" s="30"/>
    </row>
    <row r="17" spans="1:52" ht="20.100000000000001" customHeight="1" x14ac:dyDescent="0.2">
      <c r="A17" s="289">
        <v>1</v>
      </c>
      <c r="B17" s="228" t="s">
        <v>126</v>
      </c>
      <c r="C17" s="228">
        <v>2127</v>
      </c>
      <c r="D17" s="279" t="s">
        <v>65</v>
      </c>
      <c r="E17" s="119" t="s">
        <v>68</v>
      </c>
      <c r="F17" s="191" t="s">
        <v>68</v>
      </c>
      <c r="G17" s="191" t="s">
        <v>68</v>
      </c>
      <c r="H17" s="191" t="s">
        <v>68</v>
      </c>
      <c r="I17" s="191" t="s">
        <v>68</v>
      </c>
      <c r="J17" s="191" t="s">
        <v>68</v>
      </c>
      <c r="K17" s="191" t="s">
        <v>68</v>
      </c>
      <c r="L17" s="191" t="s">
        <v>68</v>
      </c>
      <c r="M17" s="191" t="s">
        <v>68</v>
      </c>
      <c r="N17" s="191" t="s">
        <v>68</v>
      </c>
      <c r="O17" s="191" t="s">
        <v>68</v>
      </c>
      <c r="P17" s="191" t="s">
        <v>68</v>
      </c>
      <c r="Q17" s="191" t="s">
        <v>68</v>
      </c>
      <c r="R17" s="191" t="s">
        <v>68</v>
      </c>
      <c r="S17" s="191" t="s">
        <v>68</v>
      </c>
      <c r="T17" s="191" t="s">
        <v>68</v>
      </c>
      <c r="U17" s="191" t="s">
        <v>68</v>
      </c>
      <c r="V17" s="191" t="s">
        <v>68</v>
      </c>
      <c r="W17" s="191" t="s">
        <v>68</v>
      </c>
      <c r="X17" s="191" t="s">
        <v>68</v>
      </c>
      <c r="Y17" s="191" t="s">
        <v>68</v>
      </c>
      <c r="Z17" s="191" t="s">
        <v>68</v>
      </c>
      <c r="AA17" s="191" t="s">
        <v>68</v>
      </c>
      <c r="AB17" s="191" t="s">
        <v>68</v>
      </c>
      <c r="AC17" s="191" t="s">
        <v>68</v>
      </c>
      <c r="AD17" s="191" t="s">
        <v>68</v>
      </c>
      <c r="AE17" s="191" t="s">
        <v>68</v>
      </c>
      <c r="AF17" s="191" t="s">
        <v>68</v>
      </c>
      <c r="AG17" s="191" t="s">
        <v>68</v>
      </c>
      <c r="AH17" s="191" t="s">
        <v>68</v>
      </c>
      <c r="AI17" s="191" t="s">
        <v>68</v>
      </c>
      <c r="AJ17" s="294">
        <f>IFERROR(COUNTIF(E17:AI17,"=Р")+COUNTIF(E17:AI17,"=Р1")+COUNTIF(E17:AI17,"=ВЧ")+COUNTIF(E17:AI17,"=РН")+COUNTIF(E17:AI17,"=Р2")+COUNTIF(E17:AI17,"=Р1/РВ")+COUNTIF(E17:AI17,"=Р2/РВ")+COUNTIF(E17:AI17,"=ВЧ/РВ")+COUNTIF(E17:AI17,"=РН/РВ"),0)</f>
        <v>0</v>
      </c>
      <c r="AK17" s="211">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0</v>
      </c>
      <c r="AL17" s="211">
        <f>IFERROR(SUMIF(E17:AI17,"=НУ",E18:AI18),0)</f>
        <v>0</v>
      </c>
      <c r="AM17" s="211">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11">
        <f>IFERROR(SUMIF(E17:AI17,"=РВ",E18:AI18)+SUMIF(E17:AI17,"=ВЧ/РВ",E18:AI18)+SUMIF(E17:AI17,"=РН/РВ",E18:AI18)+SUMIF(E17:AI17,"=Р1/РВ",E18:AI18)+SUMIF(E17:AI17,"=ВЧ2/РВ",E18:AI18)+SUMIF(E17:AI17,"=Р2/РВ",E18:AI18),0)</f>
        <v>0</v>
      </c>
      <c r="AP17" s="211">
        <f>IFERROR(COUNTIF(E17:AI17,"=ВВ")+COUNTIF(E17:AI17,"=Р1/ВВ")+COUNTIF(E17:AI17,"=РН/ВВ")+COUNTIF(E17:AI17,"=ВЧ/ВВ"),0)</f>
        <v>0</v>
      </c>
      <c r="AQ17" s="211">
        <f>SUM(AR17:AZ17)</f>
        <v>167.99999999999997</v>
      </c>
      <c r="AR17" s="211">
        <f>IFERROR(SUMIF(E17:AI17,"=В",E18:AI18)+SUMIF(E17:AI17,"=Ч",E18:AI18)+SUMIF(E17:AI17,"=ВБ",E18:AI18),0)</f>
        <v>0</v>
      </c>
      <c r="AS17" s="211">
        <f>IFERROR(SUMIF(E17:AI17,"=Н",E18:AI18),0)</f>
        <v>0</v>
      </c>
      <c r="AT17" s="211">
        <f>IFERROR(SUMIF(E17:AI17,"=НА",E18:AI18),0)</f>
        <v>0</v>
      </c>
      <c r="AU17" s="211">
        <f>IFERROR(SUMIF(E17:AI17,"=ВП",E18:AI18),0)</f>
        <v>0</v>
      </c>
      <c r="AV17" s="211">
        <f>IFERROR(SUMIF(E17:AI17,"=ДД",E18:AI18),0)</f>
        <v>0</v>
      </c>
      <c r="AW17" s="202">
        <f>IFERROR(SUMIF(E17:AI17,"=ДО",E18:AI18),0)</f>
        <v>0</v>
      </c>
      <c r="AX17" s="211">
        <f>IFERROR(SUMIF(E17:AI17,"=ТН",E18:AI18),0)</f>
        <v>0</v>
      </c>
      <c r="AY17" s="211">
        <f>IFERROR(SUMIF(E17:AI17,"=ВД",E18:AI18),0)</f>
        <v>0</v>
      </c>
      <c r="AZ17" s="312">
        <f>IFERROR(SUMIF(E17:AI17,"=ІН",E18:AI18),0)+SUMIF(E17:AI17,"=НЗ",E18:AI18)</f>
        <v>167.99999999999997</v>
      </c>
    </row>
    <row r="18" spans="1:52" ht="16.5" customHeight="1" thickBot="1" x14ac:dyDescent="0.25">
      <c r="A18" s="290"/>
      <c r="B18" s="229"/>
      <c r="C18" s="229"/>
      <c r="D18" s="280"/>
      <c r="E18" s="186"/>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c r="AH18" s="192"/>
      <c r="AI18" s="192">
        <v>8.1999999999999993</v>
      </c>
      <c r="AJ18" s="297"/>
      <c r="AK18" s="311"/>
      <c r="AL18" s="311"/>
      <c r="AM18" s="311"/>
      <c r="AN18" s="212"/>
      <c r="AO18" s="311"/>
      <c r="AP18" s="212"/>
      <c r="AQ18" s="311"/>
      <c r="AR18" s="311"/>
      <c r="AS18" s="311"/>
      <c r="AT18" s="311"/>
      <c r="AU18" s="311"/>
      <c r="AV18" s="311"/>
      <c r="AW18" s="203"/>
      <c r="AX18" s="311"/>
      <c r="AY18" s="311"/>
      <c r="AZ18" s="327"/>
    </row>
    <row r="19" spans="1:52" ht="20.100000000000001" customHeight="1" x14ac:dyDescent="0.2">
      <c r="A19" s="289">
        <f>A17+1</f>
        <v>2</v>
      </c>
      <c r="B19" s="228" t="s">
        <v>131</v>
      </c>
      <c r="C19" s="228">
        <v>824</v>
      </c>
      <c r="D19" s="279" t="s">
        <v>65</v>
      </c>
      <c r="E19" s="191" t="s">
        <v>3</v>
      </c>
      <c r="F19" s="191" t="s">
        <v>3</v>
      </c>
      <c r="G19" s="191" t="s">
        <v>3</v>
      </c>
      <c r="H19" s="191" t="s">
        <v>3</v>
      </c>
      <c r="I19" s="191" t="s">
        <v>3</v>
      </c>
      <c r="J19" s="191" t="s">
        <v>3</v>
      </c>
      <c r="K19" s="191" t="s">
        <v>3</v>
      </c>
      <c r="L19" s="191" t="s">
        <v>3</v>
      </c>
      <c r="M19" s="191" t="s">
        <v>3</v>
      </c>
      <c r="N19" s="191" t="s">
        <v>4</v>
      </c>
      <c r="O19" s="191" t="s">
        <v>4</v>
      </c>
      <c r="P19" s="191" t="s">
        <v>4</v>
      </c>
      <c r="Q19" s="191" t="s">
        <v>4</v>
      </c>
      <c r="R19" s="191" t="s">
        <v>4</v>
      </c>
      <c r="S19" s="191" t="s">
        <v>142</v>
      </c>
      <c r="T19" s="191" t="s">
        <v>142</v>
      </c>
      <c r="U19" s="191" t="s">
        <v>4</v>
      </c>
      <c r="V19" s="191" t="s">
        <v>4</v>
      </c>
      <c r="W19" s="191" t="s">
        <v>4</v>
      </c>
      <c r="X19" s="191" t="s">
        <v>4</v>
      </c>
      <c r="Y19" s="191" t="s">
        <v>4</v>
      </c>
      <c r="Z19" s="191" t="s">
        <v>142</v>
      </c>
      <c r="AA19" s="191" t="s">
        <v>142</v>
      </c>
      <c r="AB19" s="191" t="s">
        <v>4</v>
      </c>
      <c r="AC19" s="191" t="s">
        <v>4</v>
      </c>
      <c r="AD19" s="191" t="s">
        <v>4</v>
      </c>
      <c r="AE19" s="191" t="s">
        <v>4</v>
      </c>
      <c r="AF19" s="191" t="s">
        <v>4</v>
      </c>
      <c r="AG19" s="191" t="s">
        <v>142</v>
      </c>
      <c r="AH19" s="191" t="s">
        <v>142</v>
      </c>
      <c r="AI19" s="191" t="s">
        <v>4</v>
      </c>
      <c r="AJ19" s="294">
        <f>IFERROR(COUNTIF(E19:AI19,"=Р")+COUNTIF(E19:AI19,"=Р1")+COUNTIF(E19:AI19,"=ВЧ")+COUNTIF(E19:AI19,"=РН")+COUNTIF(E19:AI19,"=Р2")+COUNTIF(E19:AI19,"=Р1/РВ")+COUNTIF(E19:AI19,"=Р2/РВ")+COUNTIF(E19:AI19,"=ВЧ/РВ")+COUNTIF(E19:AI19,"=РН/РВ"),0)</f>
        <v>16</v>
      </c>
      <c r="AK19" s="202">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128.20000000000002</v>
      </c>
      <c r="AL19" s="211">
        <f>IFERROR(SUMIF(E19:AI19,"=НУ",E20:AI20),0)</f>
        <v>0</v>
      </c>
      <c r="AM19" s="211">
        <f>IFERROR(SUMIF(E19:AI19,"=РН",E20:AI20)+SUMIF(E19:AI19,"=РН/РВ",E20:AI20)+SUMIFS(E20:AI20,E19:AI19,"=Р2",E20:AI20,"=8"),0)</f>
        <v>0</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0</v>
      </c>
      <c r="AO19" s="211">
        <f>IFERROR(SUMIF(E19:AI19,"=РВ",E20:AI20)+SUMIF(E19:AI19,"=ВЧ/РВ",E20:AI20)+SUMIF(E19:AI19,"=РН/РВ",E20:AI20)+SUMIF(E19:AI19,"=Р1/РВ",E20:AI20)+SUMIF(E19:AI19,"=ВЧ2/РВ",E20:AI20)+SUMIF(E19:AI19,"=Р2/РВ",E20:AI20),0)</f>
        <v>0</v>
      </c>
      <c r="AP19" s="211">
        <f>IFERROR(COUNTIF(E19:AI19,"=ВВ")+COUNTIF(E19:AI19,"=Р1/ВВ")+COUNTIF(E19:AI19,"=РН/ВВ")+COUNTIF(E19:AI19,"=ВЧ/ВВ"),0)</f>
        <v>6</v>
      </c>
      <c r="AQ19" s="211">
        <f>SUM(AR19:AZ19)</f>
        <v>39.799999999999997</v>
      </c>
      <c r="AR19" s="211">
        <f>IFERROR(SUMIF(E19:AI19,"=В",E20:AI20)+SUMIF(E19:AI19,"=Ч",E20:AI20)+SUMIF(E19:AI19,"=ВБ",E20:AI20),0)</f>
        <v>39.799999999999997</v>
      </c>
      <c r="AS19" s="211">
        <f>IFERROR(SUMIF(E19:AI19,"=Н",E20:AI20),0)</f>
        <v>0</v>
      </c>
      <c r="AT19" s="211">
        <f>IFERROR(SUMIF(E19:AI19,"=НА",E20:AI20),0)</f>
        <v>0</v>
      </c>
      <c r="AU19" s="211">
        <f>IFERROR(SUMIF(E19:AI19,"=ВП",E20:AI20),0)</f>
        <v>0</v>
      </c>
      <c r="AV19" s="211">
        <f>IFERROR(SUMIF(E19:AI19,"=ДД",E20:AI20),0)</f>
        <v>0</v>
      </c>
      <c r="AW19" s="202">
        <f>IFERROR(SUMIF(E19:AI19,"=ДО",E20:AI20),0)</f>
        <v>0</v>
      </c>
      <c r="AX19" s="211">
        <f>IFERROR(SUMIF(E19:AI19,"=ТН",E20:AI20),0)</f>
        <v>0</v>
      </c>
      <c r="AY19" s="211">
        <f>IFERROR(SUMIF(E19:AI19,"=ВД",E20:AI20),0)</f>
        <v>0</v>
      </c>
      <c r="AZ19" s="312">
        <f>IFERROR(SUMIF(E19:AI19,"=ІН",E20:AI20),0)+SUMIF(E19:AI19,"=НЗ",E20:AI20)</f>
        <v>0</v>
      </c>
    </row>
    <row r="20" spans="1:52" ht="16.5" customHeight="1" thickBot="1" x14ac:dyDescent="0.25">
      <c r="A20" s="290"/>
      <c r="B20" s="229"/>
      <c r="C20" s="229"/>
      <c r="D20" s="280"/>
      <c r="E20" s="192"/>
      <c r="F20" s="192"/>
      <c r="G20" s="192">
        <v>8.1999999999999993</v>
      </c>
      <c r="H20" s="192">
        <v>8.1999999999999993</v>
      </c>
      <c r="I20" s="192">
        <v>8.1999999999999993</v>
      </c>
      <c r="J20" s="192">
        <v>8.1999999999999993</v>
      </c>
      <c r="K20" s="192">
        <v>7</v>
      </c>
      <c r="L20" s="192"/>
      <c r="M20" s="192"/>
      <c r="N20" s="192">
        <v>8.1999999999999993</v>
      </c>
      <c r="O20" s="192">
        <v>8.1999999999999993</v>
      </c>
      <c r="P20" s="192">
        <v>8.1999999999999993</v>
      </c>
      <c r="Q20" s="192">
        <v>8.1999999999999993</v>
      </c>
      <c r="R20" s="192">
        <v>7.2</v>
      </c>
      <c r="S20" s="192"/>
      <c r="T20" s="192"/>
      <c r="U20" s="192">
        <v>8.1999999999999993</v>
      </c>
      <c r="V20" s="192">
        <v>8.1999999999999993</v>
      </c>
      <c r="W20" s="192">
        <v>8.1999999999999993</v>
      </c>
      <c r="X20" s="192">
        <v>8.1999999999999993</v>
      </c>
      <c r="Y20" s="192">
        <v>7.2</v>
      </c>
      <c r="Z20" s="192"/>
      <c r="AA20" s="192"/>
      <c r="AB20" s="192">
        <v>8.1999999999999993</v>
      </c>
      <c r="AC20" s="192">
        <v>8.1999999999999993</v>
      </c>
      <c r="AD20" s="192">
        <v>8.1999999999999993</v>
      </c>
      <c r="AE20" s="192">
        <v>8.1999999999999993</v>
      </c>
      <c r="AF20" s="192">
        <v>7.2</v>
      </c>
      <c r="AG20" s="192"/>
      <c r="AH20" s="192"/>
      <c r="AI20" s="192">
        <v>8.1999999999999993</v>
      </c>
      <c r="AJ20" s="297"/>
      <c r="AK20" s="203"/>
      <c r="AL20" s="311"/>
      <c r="AM20" s="311"/>
      <c r="AN20" s="212"/>
      <c r="AO20" s="311"/>
      <c r="AP20" s="212"/>
      <c r="AQ20" s="311"/>
      <c r="AR20" s="311"/>
      <c r="AS20" s="311"/>
      <c r="AT20" s="311"/>
      <c r="AU20" s="311"/>
      <c r="AV20" s="311"/>
      <c r="AW20" s="203"/>
      <c r="AX20" s="311"/>
      <c r="AY20" s="311"/>
      <c r="AZ20" s="327"/>
    </row>
    <row r="21" spans="1:52" s="127" customFormat="1" ht="18.75" customHeight="1" x14ac:dyDescent="0.2">
      <c r="A21" s="289">
        <f t="shared" ref="A21" si="0">A19+1</f>
        <v>3</v>
      </c>
      <c r="B21" s="228" t="s">
        <v>312</v>
      </c>
      <c r="C21" s="228">
        <v>2197</v>
      </c>
      <c r="D21" s="279" t="s">
        <v>65</v>
      </c>
      <c r="E21" s="191" t="s">
        <v>142</v>
      </c>
      <c r="F21" s="191" t="s">
        <v>142</v>
      </c>
      <c r="G21" s="191" t="s">
        <v>4</v>
      </c>
      <c r="H21" s="191" t="s">
        <v>4</v>
      </c>
      <c r="I21" s="191" t="s">
        <v>4</v>
      </c>
      <c r="J21" s="191" t="s">
        <v>4</v>
      </c>
      <c r="K21" s="191" t="s">
        <v>4</v>
      </c>
      <c r="L21" s="191" t="s">
        <v>47</v>
      </c>
      <c r="M21" s="191" t="s">
        <v>142</v>
      </c>
      <c r="N21" s="191" t="s">
        <v>4</v>
      </c>
      <c r="O21" s="191" t="s">
        <v>4</v>
      </c>
      <c r="P21" s="191" t="s">
        <v>4</v>
      </c>
      <c r="Q21" s="191" t="s">
        <v>4</v>
      </c>
      <c r="R21" s="191" t="s">
        <v>4</v>
      </c>
      <c r="S21" s="191" t="s">
        <v>142</v>
      </c>
      <c r="T21" s="191" t="s">
        <v>142</v>
      </c>
      <c r="U21" s="191" t="s">
        <v>4</v>
      </c>
      <c r="V21" s="191" t="s">
        <v>4</v>
      </c>
      <c r="W21" s="191" t="s">
        <v>4</v>
      </c>
      <c r="X21" s="191" t="s">
        <v>4</v>
      </c>
      <c r="Y21" s="191" t="s">
        <v>4</v>
      </c>
      <c r="Z21" s="191" t="s">
        <v>142</v>
      </c>
      <c r="AA21" s="191" t="s">
        <v>142</v>
      </c>
      <c r="AB21" s="191" t="s">
        <v>4</v>
      </c>
      <c r="AC21" s="191" t="s">
        <v>4</v>
      </c>
      <c r="AD21" s="191" t="s">
        <v>4</v>
      </c>
      <c r="AE21" s="191" t="s">
        <v>4</v>
      </c>
      <c r="AF21" s="191" t="s">
        <v>4</v>
      </c>
      <c r="AG21" s="191" t="s">
        <v>142</v>
      </c>
      <c r="AH21" s="191" t="s">
        <v>142</v>
      </c>
      <c r="AI21" s="191" t="s">
        <v>4</v>
      </c>
      <c r="AJ21" s="294">
        <f>IFERROR(COUNTIF(E21:AI21,"=Р")+COUNTIF(E21:AI21,"=Р1")+COUNTIF(E21:AI21,"=ВЧ")+COUNTIF(E21:AI21,"=РН")+COUNTIF(E21:AI21,"=Р2")+COUNTIF(E21:AI21,"=Р1/РВ")+COUNTIF(E21:AI21,"=Р2/РВ")+COUNTIF(E21:AI21,"=ВЧ/РВ")+COUNTIF(E21:AI21,"=РН/РВ"),0)</f>
        <v>21</v>
      </c>
      <c r="AK21" s="202">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167.99999999999997</v>
      </c>
      <c r="AL21" s="211">
        <f>IFERROR(SUMIF(E21:AI21,"=НУ",E22:AI22),0)</f>
        <v>0</v>
      </c>
      <c r="AM21" s="211">
        <f>IFERROR(SUMIF(E21:AI21,"=РН",E22:AI22)+SUMIF(E21:AI21,"=РН/РВ",E22:AI22)+SUMIFS(E22:AI22,E21:AI21,"=Р2",E22:AI22,"=8"),0)</f>
        <v>0</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0</v>
      </c>
      <c r="AO21" s="211">
        <f>IFERROR(SUMIF(E21:AI21,"=РВ",E22:AI22)+SUMIF(E21:AI21,"=ВЧ/РВ",E22:AI22)+SUMIF(E21:AI21,"=РН/РВ",E22:AI22)+SUMIF(E21:AI21,"=Р1/РВ",E22:AI22)+SUMIF(E21:AI21,"=ВЧ2/РВ",E22:AI22)+SUMIF(E21:AI21,"=Р2/РВ",E22:AI22),0)</f>
        <v>4.5</v>
      </c>
      <c r="AP21" s="211">
        <f>IFERROR(COUNTIF(E21:AI21,"=ВВ")+COUNTIF(E21:AI21,"=Р1/ВВ")+COUNTIF(E21:AI21,"=РН/ВВ")+COUNTIF(E21:AI21,"=ВЧ/ВВ"),0)</f>
        <v>9</v>
      </c>
      <c r="AQ21" s="211">
        <f>SUM(AR21:AZ21)</f>
        <v>0</v>
      </c>
      <c r="AR21" s="211">
        <f>IFERROR(SUMIF(E21:AI21,"=В",E22:AI22)+SUMIF(E21:AI21,"=Ч",E22:AI22)+SUMIF(E21:AI21,"=ВБ",E22:AI22),0)</f>
        <v>0</v>
      </c>
      <c r="AS21" s="211">
        <f>IFERROR(SUMIF(E21:AI21,"=Н",E22:AI22),0)</f>
        <v>0</v>
      </c>
      <c r="AT21" s="211">
        <f>IFERROR(SUMIF(E21:AI21,"=НА",E22:AI22),0)</f>
        <v>0</v>
      </c>
      <c r="AU21" s="211">
        <f>IFERROR(SUMIF(E21:AI21,"=ВП",E22:AI22),0)</f>
        <v>0</v>
      </c>
      <c r="AV21" s="211">
        <f>IFERROR(SUMIF(E21:AI21,"=ДД",E22:AI22),0)</f>
        <v>0</v>
      </c>
      <c r="AW21" s="202">
        <f>IFERROR(SUMIF(E21:AI21,"=ДО",E22:AI22),0)</f>
        <v>0</v>
      </c>
      <c r="AX21" s="211">
        <f>IFERROR(SUMIF(E21:AI21,"=ТН",E22:AI22),0)</f>
        <v>0</v>
      </c>
      <c r="AY21" s="211">
        <f>IFERROR(SUMIF(E21:AI21,"=ВД",E22:AI22),0)</f>
        <v>0</v>
      </c>
      <c r="AZ21" s="312">
        <f>IFERROR(SUMIF(E21:AI21,"=ІН",E22:AI22),0)+SUMIF(E21:AI21,"=НЗ",E22:AI22)</f>
        <v>0</v>
      </c>
    </row>
    <row r="22" spans="1:52" s="127" customFormat="1" ht="20.100000000000001" customHeight="1" thickBot="1" x14ac:dyDescent="0.25">
      <c r="A22" s="290"/>
      <c r="B22" s="229"/>
      <c r="C22" s="229"/>
      <c r="D22" s="280"/>
      <c r="E22" s="192"/>
      <c r="F22" s="192"/>
      <c r="G22" s="192">
        <v>8.1999999999999993</v>
      </c>
      <c r="H22" s="192">
        <v>8.1999999999999993</v>
      </c>
      <c r="I22" s="192">
        <v>8.1999999999999993</v>
      </c>
      <c r="J22" s="192">
        <v>8.1999999999999993</v>
      </c>
      <c r="K22" s="192">
        <v>7</v>
      </c>
      <c r="L22" s="192">
        <v>4.5</v>
      </c>
      <c r="M22" s="192"/>
      <c r="N22" s="192">
        <v>8.1999999999999993</v>
      </c>
      <c r="O22" s="192">
        <v>8.1999999999999993</v>
      </c>
      <c r="P22" s="192">
        <v>8.1999999999999993</v>
      </c>
      <c r="Q22" s="192">
        <v>8.1999999999999993</v>
      </c>
      <c r="R22" s="192">
        <v>7.2</v>
      </c>
      <c r="S22" s="192"/>
      <c r="T22" s="192"/>
      <c r="U22" s="192">
        <v>8.1999999999999993</v>
      </c>
      <c r="V22" s="192">
        <v>8.1999999999999993</v>
      </c>
      <c r="W22" s="192">
        <v>8.1999999999999993</v>
      </c>
      <c r="X22" s="192">
        <v>8.1999999999999993</v>
      </c>
      <c r="Y22" s="192">
        <v>7.2</v>
      </c>
      <c r="Z22" s="192"/>
      <c r="AA22" s="192"/>
      <c r="AB22" s="192">
        <v>8.1999999999999993</v>
      </c>
      <c r="AC22" s="192">
        <v>8.1999999999999993</v>
      </c>
      <c r="AD22" s="192">
        <v>8.1999999999999993</v>
      </c>
      <c r="AE22" s="192">
        <v>8.1999999999999993</v>
      </c>
      <c r="AF22" s="192">
        <v>7.2</v>
      </c>
      <c r="AG22" s="192"/>
      <c r="AH22" s="192"/>
      <c r="AI22" s="192">
        <v>8.1999999999999993</v>
      </c>
      <c r="AJ22" s="297"/>
      <c r="AK22" s="203"/>
      <c r="AL22" s="311"/>
      <c r="AM22" s="311"/>
      <c r="AN22" s="212"/>
      <c r="AO22" s="311"/>
      <c r="AP22" s="212"/>
      <c r="AQ22" s="311"/>
      <c r="AR22" s="311"/>
      <c r="AS22" s="311"/>
      <c r="AT22" s="311"/>
      <c r="AU22" s="311"/>
      <c r="AV22" s="311"/>
      <c r="AW22" s="203"/>
      <c r="AX22" s="311"/>
      <c r="AY22" s="311"/>
      <c r="AZ22" s="327"/>
    </row>
    <row r="23" spans="1:52" ht="20.100000000000001" customHeight="1" x14ac:dyDescent="0.2">
      <c r="A23" s="289">
        <f t="shared" ref="A23" si="1">A21+1</f>
        <v>4</v>
      </c>
      <c r="B23" s="228" t="s">
        <v>133</v>
      </c>
      <c r="C23" s="228">
        <v>1901</v>
      </c>
      <c r="D23" s="279" t="s">
        <v>65</v>
      </c>
      <c r="E23" s="191" t="s">
        <v>142</v>
      </c>
      <c r="F23" s="191" t="s">
        <v>142</v>
      </c>
      <c r="G23" s="191" t="s">
        <v>4</v>
      </c>
      <c r="H23" s="191" t="s">
        <v>4</v>
      </c>
      <c r="I23" s="191" t="s">
        <v>4</v>
      </c>
      <c r="J23" s="191" t="s">
        <v>4</v>
      </c>
      <c r="K23" s="191" t="s">
        <v>4</v>
      </c>
      <c r="L23" s="191" t="s">
        <v>142</v>
      </c>
      <c r="M23" s="191" t="s">
        <v>142</v>
      </c>
      <c r="N23" s="191" t="s">
        <v>4</v>
      </c>
      <c r="O23" s="191" t="s">
        <v>4</v>
      </c>
      <c r="P23" s="191" t="s">
        <v>4</v>
      </c>
      <c r="Q23" s="191" t="s">
        <v>4</v>
      </c>
      <c r="R23" s="191" t="s">
        <v>4</v>
      </c>
      <c r="S23" s="191" t="s">
        <v>142</v>
      </c>
      <c r="T23" s="191" t="s">
        <v>142</v>
      </c>
      <c r="U23" s="191" t="s">
        <v>4</v>
      </c>
      <c r="V23" s="191" t="s">
        <v>4</v>
      </c>
      <c r="W23" s="191" t="s">
        <v>4</v>
      </c>
      <c r="X23" s="191" t="s">
        <v>4</v>
      </c>
      <c r="Y23" s="191" t="s">
        <v>4</v>
      </c>
      <c r="Z23" s="191" t="s">
        <v>142</v>
      </c>
      <c r="AA23" s="191" t="s">
        <v>142</v>
      </c>
      <c r="AB23" s="191" t="s">
        <v>4</v>
      </c>
      <c r="AC23" s="191" t="s">
        <v>4</v>
      </c>
      <c r="AD23" s="191" t="s">
        <v>4</v>
      </c>
      <c r="AE23" s="191" t="s">
        <v>4</v>
      </c>
      <c r="AF23" s="191" t="s">
        <v>4</v>
      </c>
      <c r="AG23" s="191" t="s">
        <v>142</v>
      </c>
      <c r="AH23" s="191" t="s">
        <v>142</v>
      </c>
      <c r="AI23" s="191" t="s">
        <v>4</v>
      </c>
      <c r="AJ23" s="294">
        <f>IFERROR(COUNTIF(E23:AI23,"=Р")+COUNTIF(E23:AI23,"=Р1")+COUNTIF(E23:AI23,"=ВЧ")+COUNTIF(E23:AI23,"=РН")+COUNTIF(E23:AI23,"=Р2")+COUNTIF(E23:AI23,"=Р1/РВ")+COUNTIF(E23:AI23,"=Р2/РВ")+COUNTIF(E23:AI23,"=ВЧ/РВ")+COUNTIF(E23:AI23,"=РН/РВ"),0)</f>
        <v>21</v>
      </c>
      <c r="AK23" s="202">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167.99999999999997</v>
      </c>
      <c r="AL23" s="211">
        <f>IFERROR(SUMIF(E23:AI23,"=НУ",E24:AI24),0)</f>
        <v>0</v>
      </c>
      <c r="AM23" s="211">
        <f>IFERROR(SUMIF(E23:AI23,"=РН",E24:AI24)+SUMIF(E23:AI23,"=РН/РВ",E24:AI24)+SUMIFS(E24:AI24,E23:AI23,"=Р2",E24:AI24,"=8"),0)</f>
        <v>0</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0</v>
      </c>
      <c r="AO23" s="211">
        <f>IFERROR(SUMIF(E23:AI23,"=РВ",E24:AI24)+SUMIF(E23:AI23,"=ВЧ/РВ",E24:AI24)+SUMIF(E23:AI23,"=РН/РВ",E24:AI24)+SUMIF(E23:AI23,"=Р1/РВ",E24:AI24)+SUMIF(E23:AI23,"=ВЧ2/РВ",E24:AI24)+SUMIF(E23:AI23,"=Р2/РВ",E24:AI24),0)</f>
        <v>0</v>
      </c>
      <c r="AP23" s="211">
        <f>IFERROR(COUNTIF(E23:AI23,"=ВВ")+COUNTIF(E23:AI23,"=Р1/ВВ")+COUNTIF(E23:AI23,"=РН/ВВ")+COUNTIF(E23:AI23,"=ВЧ/ВВ"),0)</f>
        <v>10</v>
      </c>
      <c r="AQ23" s="211">
        <f>SUM(AR23:AZ23)</f>
        <v>0</v>
      </c>
      <c r="AR23" s="211">
        <f>IFERROR(SUMIF(E23:AI23,"=В",E24:AI24)+SUMIF(E23:AI23,"=Ч",E24:AI24)+SUMIF(E23:AI23,"=ВБ",E24:AI24),0)</f>
        <v>0</v>
      </c>
      <c r="AS23" s="211">
        <f>IFERROR(SUMIF(E23:AI23,"=Н",E24:AI24),0)</f>
        <v>0</v>
      </c>
      <c r="AT23" s="211">
        <f>IFERROR(SUMIF(E23:AI23,"=НА",E24:AI24),0)</f>
        <v>0</v>
      </c>
      <c r="AU23" s="211">
        <f>IFERROR(SUMIF(E23:AI23,"=ВП",E24:AI24),0)</f>
        <v>0</v>
      </c>
      <c r="AV23" s="211">
        <f>IFERROR(SUMIF(E23:AI23,"=ДД",E24:AI24),0)</f>
        <v>0</v>
      </c>
      <c r="AW23" s="202">
        <f>IFERROR(SUMIF(E23:AI23,"=ДО",E24:AI24),0)</f>
        <v>0</v>
      </c>
      <c r="AX23" s="211">
        <f>IFERROR(SUMIF(E23:AI23,"=ТН",E24:AI24),0)</f>
        <v>0</v>
      </c>
      <c r="AY23" s="211">
        <f>IFERROR(SUMIF(E23:AI23,"=ВД",E24:AI24),0)</f>
        <v>0</v>
      </c>
      <c r="AZ23" s="312">
        <f>IFERROR(SUMIF(E23:AI23,"=ІН",E24:AI24),0)+SUMIF(E23:AI23,"=НЗ",E24:AI24)</f>
        <v>0</v>
      </c>
    </row>
    <row r="24" spans="1:52" ht="20.100000000000001" customHeight="1" thickBot="1" x14ac:dyDescent="0.25">
      <c r="A24" s="290"/>
      <c r="B24" s="229"/>
      <c r="C24" s="229"/>
      <c r="D24" s="280"/>
      <c r="E24" s="192"/>
      <c r="F24" s="192"/>
      <c r="G24" s="192">
        <v>8.1999999999999993</v>
      </c>
      <c r="H24" s="192">
        <v>8.1999999999999993</v>
      </c>
      <c r="I24" s="192">
        <v>8.1999999999999993</v>
      </c>
      <c r="J24" s="192">
        <v>8.1999999999999993</v>
      </c>
      <c r="K24" s="192">
        <v>7</v>
      </c>
      <c r="L24" s="192"/>
      <c r="M24" s="192"/>
      <c r="N24" s="192">
        <v>8.1999999999999993</v>
      </c>
      <c r="O24" s="192">
        <v>8.1999999999999993</v>
      </c>
      <c r="P24" s="192">
        <v>8.1999999999999993</v>
      </c>
      <c r="Q24" s="192">
        <v>8.1999999999999993</v>
      </c>
      <c r="R24" s="192">
        <v>7.2</v>
      </c>
      <c r="S24" s="192"/>
      <c r="T24" s="192"/>
      <c r="U24" s="192">
        <v>8.1999999999999993</v>
      </c>
      <c r="V24" s="192">
        <v>8.1999999999999993</v>
      </c>
      <c r="W24" s="192">
        <v>8.1999999999999993</v>
      </c>
      <c r="X24" s="192">
        <v>8.1999999999999993</v>
      </c>
      <c r="Y24" s="192">
        <v>7.2</v>
      </c>
      <c r="Z24" s="192"/>
      <c r="AA24" s="192"/>
      <c r="AB24" s="192">
        <v>8.1999999999999993</v>
      </c>
      <c r="AC24" s="192">
        <v>8.1999999999999993</v>
      </c>
      <c r="AD24" s="192">
        <v>8.1999999999999993</v>
      </c>
      <c r="AE24" s="192">
        <v>8.1999999999999993</v>
      </c>
      <c r="AF24" s="192">
        <v>7.2</v>
      </c>
      <c r="AG24" s="192"/>
      <c r="AH24" s="192"/>
      <c r="AI24" s="192">
        <v>8.1999999999999993</v>
      </c>
      <c r="AJ24" s="297"/>
      <c r="AK24" s="203"/>
      <c r="AL24" s="311"/>
      <c r="AM24" s="311"/>
      <c r="AN24" s="212"/>
      <c r="AO24" s="311"/>
      <c r="AP24" s="212"/>
      <c r="AQ24" s="311"/>
      <c r="AR24" s="311"/>
      <c r="AS24" s="311"/>
      <c r="AT24" s="311"/>
      <c r="AU24" s="311"/>
      <c r="AV24" s="311"/>
      <c r="AW24" s="203"/>
      <c r="AX24" s="311"/>
      <c r="AY24" s="311"/>
      <c r="AZ24" s="327"/>
    </row>
    <row r="25" spans="1:52" s="166" customFormat="1" ht="20.100000000000001" customHeight="1" x14ac:dyDescent="0.2">
      <c r="A25" s="289">
        <f t="shared" ref="A25" si="2">A23+1</f>
        <v>5</v>
      </c>
      <c r="B25" s="228" t="s">
        <v>337</v>
      </c>
      <c r="C25" s="228">
        <v>2200</v>
      </c>
      <c r="D25" s="230" t="s">
        <v>72</v>
      </c>
      <c r="E25" s="191" t="s">
        <v>142</v>
      </c>
      <c r="F25" s="191" t="s">
        <v>142</v>
      </c>
      <c r="G25" s="191" t="s">
        <v>4</v>
      </c>
      <c r="H25" s="191" t="s">
        <v>4</v>
      </c>
      <c r="I25" s="191" t="s">
        <v>4</v>
      </c>
      <c r="J25" s="191" t="s">
        <v>4</v>
      </c>
      <c r="K25" s="191" t="s">
        <v>4</v>
      </c>
      <c r="L25" s="191" t="s">
        <v>142</v>
      </c>
      <c r="M25" s="191" t="s">
        <v>142</v>
      </c>
      <c r="N25" s="191" t="s">
        <v>4</v>
      </c>
      <c r="O25" s="191" t="s">
        <v>4</v>
      </c>
      <c r="P25" s="191" t="s">
        <v>4</v>
      </c>
      <c r="Q25" s="191" t="s">
        <v>4</v>
      </c>
      <c r="R25" s="191" t="s">
        <v>4</v>
      </c>
      <c r="S25" s="191" t="s">
        <v>142</v>
      </c>
      <c r="T25" s="191" t="s">
        <v>142</v>
      </c>
      <c r="U25" s="191" t="s">
        <v>4</v>
      </c>
      <c r="V25" s="191" t="s">
        <v>4</v>
      </c>
      <c r="W25" s="191" t="s">
        <v>4</v>
      </c>
      <c r="X25" s="191" t="s">
        <v>4</v>
      </c>
      <c r="Y25" s="191" t="s">
        <v>4</v>
      </c>
      <c r="Z25" s="191" t="s">
        <v>142</v>
      </c>
      <c r="AA25" s="191" t="s">
        <v>142</v>
      </c>
      <c r="AB25" s="191" t="s">
        <v>4</v>
      </c>
      <c r="AC25" s="191" t="s">
        <v>4</v>
      </c>
      <c r="AD25" s="191" t="s">
        <v>4</v>
      </c>
      <c r="AE25" s="191" t="s">
        <v>4</v>
      </c>
      <c r="AF25" s="191" t="s">
        <v>4</v>
      </c>
      <c r="AG25" s="191" t="s">
        <v>142</v>
      </c>
      <c r="AH25" s="191" t="s">
        <v>142</v>
      </c>
      <c r="AI25" s="191" t="s">
        <v>4</v>
      </c>
      <c r="AJ25" s="294">
        <f>IFERROR(COUNTIF(E25:AI25,"=Р")+COUNTIF(E25:AI25,"=Р1")+COUNTIF(E25:AI25,"=ВЧ")+COUNTIF(E25:AI25,"=РН")+COUNTIF(E25:AI25,"=Р2")+COUNTIF(E25:AI25,"=Р1/РВ")+COUNTIF(E25:AI25,"=Р2/РВ")+COUNTIF(E25:AI25,"=ВЧ/РВ")+COUNTIF(E25:AI25,"=РН/РВ"),0)</f>
        <v>21</v>
      </c>
      <c r="AK25" s="202">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167.99999999999997</v>
      </c>
      <c r="AL25" s="211">
        <f>IFERROR(SUMIF(E25:AI25,"=НУ",E26:AI26),0)</f>
        <v>0</v>
      </c>
      <c r="AM25" s="211">
        <f>IFERROR(SUMIF(E25:AI25,"=РН",E26:AI26)+SUMIF(E25:AI25,"=РН/РВ",E26:AI26)+SUMIFS(E26:AI26,E25:AI25,"=Р2",E26:AI26,"=8"),0)</f>
        <v>0</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0</v>
      </c>
      <c r="AO25" s="211">
        <f>IFERROR(SUMIF(E25:AI25,"=РВ",E26:AI26)+SUMIF(E25:AI25,"=ВЧ/РВ",E26:AI26)+SUMIF(E25:AI25,"=РН/РВ",E26:AI26)+SUMIF(E25:AI25,"=Р1/РВ",E26:AI26)+SUMIF(E25:AI25,"=ВЧ2/РВ",E26:AI26)+SUMIF(E25:AI25,"=Р2/РВ",E26:AI26),0)</f>
        <v>0</v>
      </c>
      <c r="AP25" s="211">
        <f>IFERROR(COUNTIF(E25:AI25,"=ВВ")+COUNTIF(E25:AI25,"=Р1/ВВ")+COUNTIF(E25:AI25,"=РН/ВВ")+COUNTIF(E25:AI25,"=ВЧ/ВВ"),0)</f>
        <v>10</v>
      </c>
      <c r="AQ25" s="211">
        <f>SUM(AR25:AZ25)</f>
        <v>0</v>
      </c>
      <c r="AR25" s="211">
        <f>IFERROR(SUMIF(E25:AI25,"=В",E26:AI26)+SUMIF(E25:AI25,"=Ч",E26:AI26)+SUMIF(E25:AI25,"=ВБ",E26:AI26),0)</f>
        <v>0</v>
      </c>
      <c r="AS25" s="211">
        <f>IFERROR(SUMIF(E25:AI25,"=Н",E26:AI26),0)</f>
        <v>0</v>
      </c>
      <c r="AT25" s="211">
        <f>IFERROR(SUMIF(E25:AI25,"=НА",E26:AI26),0)</f>
        <v>0</v>
      </c>
      <c r="AU25" s="211">
        <f>IFERROR(SUMIF(E25:AI25,"=ВП",E26:AI26),0)</f>
        <v>0</v>
      </c>
      <c r="AV25" s="211">
        <f>IFERROR(SUMIF(E25:AI25,"=ДД",E26:AI26),0)</f>
        <v>0</v>
      </c>
      <c r="AW25" s="202">
        <f>IFERROR(SUMIF(E25:AI25,"=ДО",E26:AI26),0)</f>
        <v>0</v>
      </c>
      <c r="AX25" s="211">
        <f>IFERROR(SUMIF(E25:AI25,"=ТН",E26:AI26),0)</f>
        <v>0</v>
      </c>
      <c r="AY25" s="211">
        <f>IFERROR(SUMIF(E25:AI25,"=ВД",E26:AI26),0)</f>
        <v>0</v>
      </c>
      <c r="AZ25" s="312">
        <f>IFERROR(SUMIF(E25:AI25,"=ІН",E26:AI26),0)+SUMIF(E25:AI25,"=НЗ",E26:AI26)</f>
        <v>0</v>
      </c>
    </row>
    <row r="26" spans="1:52" s="166" customFormat="1" ht="20.100000000000001" customHeight="1" thickBot="1" x14ac:dyDescent="0.25">
      <c r="A26" s="290"/>
      <c r="B26" s="229"/>
      <c r="C26" s="229"/>
      <c r="D26" s="231"/>
      <c r="E26" s="192"/>
      <c r="F26" s="192"/>
      <c r="G26" s="192">
        <v>8.1999999999999993</v>
      </c>
      <c r="H26" s="192">
        <v>8.1999999999999993</v>
      </c>
      <c r="I26" s="192">
        <v>8.1999999999999993</v>
      </c>
      <c r="J26" s="192">
        <v>8.1999999999999993</v>
      </c>
      <c r="K26" s="192">
        <v>7</v>
      </c>
      <c r="L26" s="192"/>
      <c r="M26" s="192"/>
      <c r="N26" s="192">
        <v>8.1999999999999993</v>
      </c>
      <c r="O26" s="192">
        <v>8.1999999999999993</v>
      </c>
      <c r="P26" s="192">
        <v>8.1999999999999993</v>
      </c>
      <c r="Q26" s="192">
        <v>8.1999999999999993</v>
      </c>
      <c r="R26" s="192">
        <v>7.2</v>
      </c>
      <c r="S26" s="192"/>
      <c r="T26" s="192"/>
      <c r="U26" s="192">
        <v>8.1999999999999993</v>
      </c>
      <c r="V26" s="192">
        <v>8.1999999999999993</v>
      </c>
      <c r="W26" s="192">
        <v>8.1999999999999993</v>
      </c>
      <c r="X26" s="192">
        <v>8.1999999999999993</v>
      </c>
      <c r="Y26" s="192">
        <v>7.2</v>
      </c>
      <c r="Z26" s="192"/>
      <c r="AA26" s="192"/>
      <c r="AB26" s="192">
        <v>8.1999999999999993</v>
      </c>
      <c r="AC26" s="192">
        <v>8.1999999999999993</v>
      </c>
      <c r="AD26" s="192">
        <v>8.1999999999999993</v>
      </c>
      <c r="AE26" s="192">
        <v>8.1999999999999993</v>
      </c>
      <c r="AF26" s="192">
        <v>7.2</v>
      </c>
      <c r="AG26" s="192"/>
      <c r="AH26" s="192"/>
      <c r="AI26" s="192">
        <v>8.1999999999999993</v>
      </c>
      <c r="AJ26" s="297"/>
      <c r="AK26" s="203"/>
      <c r="AL26" s="311"/>
      <c r="AM26" s="311"/>
      <c r="AN26" s="212"/>
      <c r="AO26" s="311"/>
      <c r="AP26" s="212"/>
      <c r="AQ26" s="311"/>
      <c r="AR26" s="311"/>
      <c r="AS26" s="311"/>
      <c r="AT26" s="311"/>
      <c r="AU26" s="311"/>
      <c r="AV26" s="311"/>
      <c r="AW26" s="203"/>
      <c r="AX26" s="311"/>
      <c r="AY26" s="311"/>
      <c r="AZ26" s="327"/>
    </row>
    <row r="27" spans="1:52" ht="19.5" customHeight="1" x14ac:dyDescent="0.2">
      <c r="A27" s="289">
        <f t="shared" ref="A27" si="3">A25+1</f>
        <v>6</v>
      </c>
      <c r="B27" s="228" t="s">
        <v>134</v>
      </c>
      <c r="C27" s="279">
        <v>1660</v>
      </c>
      <c r="D27" s="279" t="s">
        <v>65</v>
      </c>
      <c r="E27" s="191" t="s">
        <v>142</v>
      </c>
      <c r="F27" s="191" t="s">
        <v>142</v>
      </c>
      <c r="G27" s="191" t="s">
        <v>4</v>
      </c>
      <c r="H27" s="191" t="s">
        <v>4</v>
      </c>
      <c r="I27" s="191" t="s">
        <v>4</v>
      </c>
      <c r="J27" s="191" t="s">
        <v>4</v>
      </c>
      <c r="K27" s="191" t="s">
        <v>4</v>
      </c>
      <c r="L27" s="191" t="s">
        <v>142</v>
      </c>
      <c r="M27" s="191" t="s">
        <v>142</v>
      </c>
      <c r="N27" s="191" t="s">
        <v>4</v>
      </c>
      <c r="O27" s="191" t="s">
        <v>4</v>
      </c>
      <c r="P27" s="191" t="s">
        <v>4</v>
      </c>
      <c r="Q27" s="191" t="s">
        <v>4</v>
      </c>
      <c r="R27" s="191" t="s">
        <v>4</v>
      </c>
      <c r="S27" s="191" t="s">
        <v>142</v>
      </c>
      <c r="T27" s="191" t="s">
        <v>142</v>
      </c>
      <c r="U27" s="191" t="s">
        <v>4</v>
      </c>
      <c r="V27" s="191" t="s">
        <v>4</v>
      </c>
      <c r="W27" s="191" t="s">
        <v>4</v>
      </c>
      <c r="X27" s="191" t="s">
        <v>4</v>
      </c>
      <c r="Y27" s="191" t="s">
        <v>4</v>
      </c>
      <c r="Z27" s="191" t="s">
        <v>142</v>
      </c>
      <c r="AA27" s="191" t="s">
        <v>142</v>
      </c>
      <c r="AB27" s="191" t="s">
        <v>4</v>
      </c>
      <c r="AC27" s="191" t="s">
        <v>4</v>
      </c>
      <c r="AD27" s="191" t="s">
        <v>4</v>
      </c>
      <c r="AE27" s="191" t="s">
        <v>4</v>
      </c>
      <c r="AF27" s="191" t="s">
        <v>4</v>
      </c>
      <c r="AG27" s="191" t="s">
        <v>142</v>
      </c>
      <c r="AH27" s="191" t="s">
        <v>142</v>
      </c>
      <c r="AI27" s="191" t="s">
        <v>4</v>
      </c>
      <c r="AJ27" s="294">
        <f>IFERROR(COUNTIF(E27:AI27,"=Р")+COUNTIF(E27:AI27,"=Р1")+COUNTIF(E27:AI27,"=ВЧ")+COUNTIF(E27:AI27,"=РН")+COUNTIF(E27:AI27,"=Р2")+COUNTIF(E27:AI27,"=Р1/РВ")+COUNTIF(E27:AI27,"=Р2/РВ")+COUNTIF(E27:AI27,"=ВЧ/РВ")+COUNTIF(E27:AI27,"=РН/РВ"),0)</f>
        <v>21</v>
      </c>
      <c r="AK27" s="202">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167.99999999999997</v>
      </c>
      <c r="AL27" s="211">
        <f>IFERROR(SUMIF(E27:AI27,"=НУ",E28:AI28),0)</f>
        <v>0</v>
      </c>
      <c r="AM27" s="211">
        <f>IFERROR(SUMIF(E27:AI27,"=РН",E28:AI28)+SUMIF(E27:AI27,"=РН/РВ",E28:AI28)+SUMIFS(E28:AI28,E27:AI27,"=Р2",E28:AI28,"=8"),0)</f>
        <v>0</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0</v>
      </c>
      <c r="AO27" s="211">
        <f>IFERROR(SUMIF(E27:AI27,"=РВ",E28:AI28)+SUMIF(E27:AI27,"=ВЧ/РВ",E28:AI28)+SUMIF(E27:AI27,"=РН/РВ",E28:AI28)+SUMIF(E27:AI27,"=Р1/РВ",E28:AI28)+SUMIF(E27:AI27,"=ВЧ2/РВ",E28:AI28)+SUMIF(E27:AI27,"=Р2/РВ",E28:AI28),0)</f>
        <v>0</v>
      </c>
      <c r="AP27" s="211">
        <f>IFERROR(COUNTIF(E27:AI27,"=ВВ")+COUNTIF(E27:AI27,"=Р1/ВВ")+COUNTIF(E27:AI27,"=РН/ВВ")+COUNTIF(E27:AI27,"=ВЧ/ВВ"),0)</f>
        <v>10</v>
      </c>
      <c r="AQ27" s="211">
        <f>SUM(AR27:AZ27)</f>
        <v>0</v>
      </c>
      <c r="AR27" s="211">
        <f>IFERROR(SUMIF(E27:AI27,"=В",E28:AI28)+SUMIF(E27:AI27,"=Ч",E28:AI28)+SUMIF(E27:AI27,"=ВБ",E28:AI28),0)</f>
        <v>0</v>
      </c>
      <c r="AS27" s="211">
        <f>IFERROR(SUMIF(E27:AI27,"=Н",E28:AI28),0)</f>
        <v>0</v>
      </c>
      <c r="AT27" s="211">
        <f>IFERROR(SUMIF(E27:AI27,"=НА",E28:AI28),0)</f>
        <v>0</v>
      </c>
      <c r="AU27" s="211">
        <f>IFERROR(SUMIF(E27:AI27,"=ВП",E28:AI28),0)</f>
        <v>0</v>
      </c>
      <c r="AV27" s="211">
        <f>IFERROR(SUMIF(E27:AI27,"=ДД",E28:AI28),0)</f>
        <v>0</v>
      </c>
      <c r="AW27" s="202">
        <f>IFERROR(SUMIF(E27:AI27,"=ДО",E28:AI28),0)</f>
        <v>0</v>
      </c>
      <c r="AX27" s="211">
        <f>IFERROR(SUMIF(E27:AI27,"=ТН",E28:AI28),0)</f>
        <v>0</v>
      </c>
      <c r="AY27" s="211">
        <f>IFERROR(SUMIF(E27:AI27,"=ВД",E28:AI28),0)</f>
        <v>0</v>
      </c>
      <c r="AZ27" s="312">
        <f>IFERROR(SUMIF(E27:AI27,"=ІН",E28:AI28),0)+SUMIF(E27:AI27,"=НЗ",E28:AI28)</f>
        <v>0</v>
      </c>
    </row>
    <row r="28" spans="1:52" ht="18" customHeight="1" thickBot="1" x14ac:dyDescent="0.25">
      <c r="A28" s="290"/>
      <c r="B28" s="229"/>
      <c r="C28" s="280"/>
      <c r="D28" s="280"/>
      <c r="E28" s="192"/>
      <c r="F28" s="192"/>
      <c r="G28" s="192">
        <v>8.1999999999999993</v>
      </c>
      <c r="H28" s="192">
        <v>8.1999999999999993</v>
      </c>
      <c r="I28" s="192">
        <v>8.1999999999999993</v>
      </c>
      <c r="J28" s="192">
        <v>8.1999999999999993</v>
      </c>
      <c r="K28" s="192">
        <v>7</v>
      </c>
      <c r="L28" s="192"/>
      <c r="M28" s="192"/>
      <c r="N28" s="192">
        <v>8.1999999999999993</v>
      </c>
      <c r="O28" s="192">
        <v>8.1999999999999993</v>
      </c>
      <c r="P28" s="192">
        <v>8.1999999999999993</v>
      </c>
      <c r="Q28" s="192">
        <v>8.1999999999999993</v>
      </c>
      <c r="R28" s="192">
        <v>7.2</v>
      </c>
      <c r="S28" s="192"/>
      <c r="T28" s="192"/>
      <c r="U28" s="192">
        <v>8.1999999999999993</v>
      </c>
      <c r="V28" s="192">
        <v>8.1999999999999993</v>
      </c>
      <c r="W28" s="192">
        <v>8.1999999999999993</v>
      </c>
      <c r="X28" s="192">
        <v>8.1999999999999993</v>
      </c>
      <c r="Y28" s="192">
        <v>7.2</v>
      </c>
      <c r="Z28" s="192"/>
      <c r="AA28" s="192"/>
      <c r="AB28" s="192">
        <v>8.1999999999999993</v>
      </c>
      <c r="AC28" s="192">
        <v>8.1999999999999993</v>
      </c>
      <c r="AD28" s="192">
        <v>8.1999999999999993</v>
      </c>
      <c r="AE28" s="192">
        <v>8.1999999999999993</v>
      </c>
      <c r="AF28" s="192">
        <v>7.2</v>
      </c>
      <c r="AG28" s="192"/>
      <c r="AH28" s="192"/>
      <c r="AI28" s="192">
        <v>8.1999999999999993</v>
      </c>
      <c r="AJ28" s="297"/>
      <c r="AK28" s="203"/>
      <c r="AL28" s="311"/>
      <c r="AM28" s="311"/>
      <c r="AN28" s="212"/>
      <c r="AO28" s="311"/>
      <c r="AP28" s="212"/>
      <c r="AQ28" s="311"/>
      <c r="AR28" s="311"/>
      <c r="AS28" s="311"/>
      <c r="AT28" s="311"/>
      <c r="AU28" s="311"/>
      <c r="AV28" s="311"/>
      <c r="AW28" s="203"/>
      <c r="AX28" s="311"/>
      <c r="AY28" s="311"/>
      <c r="AZ28" s="327"/>
    </row>
    <row r="29" spans="1:52" ht="18" customHeight="1" x14ac:dyDescent="0.2">
      <c r="A29" s="289">
        <f t="shared" ref="A29" si="4">A27+1</f>
        <v>7</v>
      </c>
      <c r="B29" s="228" t="s">
        <v>128</v>
      </c>
      <c r="C29" s="228">
        <v>1496</v>
      </c>
      <c r="D29" s="279" t="s">
        <v>65</v>
      </c>
      <c r="E29" s="191" t="s">
        <v>142</v>
      </c>
      <c r="F29" s="191" t="s">
        <v>142</v>
      </c>
      <c r="G29" s="191" t="s">
        <v>4</v>
      </c>
      <c r="H29" s="191" t="s">
        <v>4</v>
      </c>
      <c r="I29" s="191" t="s">
        <v>4</v>
      </c>
      <c r="J29" s="191" t="s">
        <v>4</v>
      </c>
      <c r="K29" s="191" t="s">
        <v>4</v>
      </c>
      <c r="L29" s="191" t="s">
        <v>142</v>
      </c>
      <c r="M29" s="191" t="s">
        <v>142</v>
      </c>
      <c r="N29" s="191" t="s">
        <v>4</v>
      </c>
      <c r="O29" s="191" t="s">
        <v>4</v>
      </c>
      <c r="P29" s="191" t="s">
        <v>4</v>
      </c>
      <c r="Q29" s="191" t="s">
        <v>4</v>
      </c>
      <c r="R29" s="191" t="s">
        <v>4</v>
      </c>
      <c r="S29" s="191" t="s">
        <v>142</v>
      </c>
      <c r="T29" s="191" t="s">
        <v>142</v>
      </c>
      <c r="U29" s="191" t="s">
        <v>4</v>
      </c>
      <c r="V29" s="191" t="s">
        <v>4</v>
      </c>
      <c r="W29" s="191" t="s">
        <v>4</v>
      </c>
      <c r="X29" s="191" t="s">
        <v>4</v>
      </c>
      <c r="Y29" s="191" t="s">
        <v>4</v>
      </c>
      <c r="Z29" s="191" t="s">
        <v>142</v>
      </c>
      <c r="AA29" s="191" t="s">
        <v>142</v>
      </c>
      <c r="AB29" s="191" t="s">
        <v>4</v>
      </c>
      <c r="AC29" s="191" t="s">
        <v>4</v>
      </c>
      <c r="AD29" s="191" t="s">
        <v>4</v>
      </c>
      <c r="AE29" s="191" t="s">
        <v>4</v>
      </c>
      <c r="AF29" s="191" t="s">
        <v>4</v>
      </c>
      <c r="AG29" s="191" t="s">
        <v>142</v>
      </c>
      <c r="AH29" s="191" t="s">
        <v>142</v>
      </c>
      <c r="AI29" s="191" t="s">
        <v>4</v>
      </c>
      <c r="AJ29" s="294">
        <f>IFERROR(COUNTIF(E29:AI29,"=Р")+COUNTIF(E29:AI29,"=Р1")+COUNTIF(E29:AI29,"=ВЧ")+COUNTIF(E29:AI29,"=РН")+COUNTIF(E29:AI29,"=Р2")+COUNTIF(E29:AI29,"=Р1/РВ")+COUNTIF(E29:AI29,"=Р2/РВ")+COUNTIF(E29:AI29,"=ВЧ/РВ")+COUNTIF(E29:AI29,"=РН/РВ"),0)</f>
        <v>21</v>
      </c>
      <c r="AK29" s="202">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167.99999999999997</v>
      </c>
      <c r="AL29" s="211">
        <f>IFERROR(SUMIF(E29:AI29,"=НУ",E30:AI30),0)</f>
        <v>0</v>
      </c>
      <c r="AM29" s="211">
        <f>IFERROR(SUMIF(E29:AI29,"=РН",E30:AI30)+SUMIF(E29:AI29,"=РН/РВ",E30:AI30)+SUMIFS(E30:AI30,E29:AI29,"=Р2",E30:AI30,"=8"),0)</f>
        <v>0</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0</v>
      </c>
      <c r="AO29" s="211">
        <f>IFERROR(SUMIF(E29:AI29,"=РВ",E30:AI30)+SUMIF(E29:AI29,"=ВЧ/РВ",E30:AI30)+SUMIF(E29:AI29,"=РН/РВ",E30:AI30)+SUMIF(E29:AI29,"=Р1/РВ",E30:AI30)+SUMIF(E29:AI29,"=ВЧ2/РВ",E30:AI30)+SUMIF(E29:AI29,"=Р2/РВ",E30:AI30),0)</f>
        <v>0</v>
      </c>
      <c r="AP29" s="211">
        <f>IFERROR(COUNTIF(E29:AI29,"=ВВ")+COUNTIF(E29:AI29,"=Р1/ВВ")+COUNTIF(E29:AI29,"=РН/ВВ")+COUNTIF(E29:AI29,"=ВЧ/ВВ"),0)</f>
        <v>10</v>
      </c>
      <c r="AQ29" s="211">
        <f>SUM(AR29:AZ29)</f>
        <v>0</v>
      </c>
      <c r="AR29" s="211">
        <f>IFERROR(SUMIF(E29:AI29,"=В",E30:AI30)+SUMIF(E29:AI29,"=Ч",E30:AI30)+SUMIF(E29:AI29,"=ВБ",E30:AI30),0)</f>
        <v>0</v>
      </c>
      <c r="AS29" s="211">
        <f>IFERROR(SUMIF(E29:AI29,"=Н",E30:AI30),0)</f>
        <v>0</v>
      </c>
      <c r="AT29" s="211">
        <f>IFERROR(SUMIF(E29:AI29,"=НА",E30:AI30),0)</f>
        <v>0</v>
      </c>
      <c r="AU29" s="211">
        <f>IFERROR(SUMIF(E29:AI29,"=ВП",E30:AI30),0)</f>
        <v>0</v>
      </c>
      <c r="AV29" s="211">
        <f>IFERROR(SUMIF(E29:AI29,"=ДД",E30:AI30),0)</f>
        <v>0</v>
      </c>
      <c r="AW29" s="202">
        <f>IFERROR(SUMIF(E29:AI29,"=ДО",E30:AI30),0)</f>
        <v>0</v>
      </c>
      <c r="AX29" s="211">
        <f>IFERROR(SUMIF(E29:AI29,"=ТН",E30:AI30),0)</f>
        <v>0</v>
      </c>
      <c r="AY29" s="211">
        <f>IFERROR(SUMIF(E29:AI29,"=ВД",E30:AI30),0)</f>
        <v>0</v>
      </c>
      <c r="AZ29" s="312">
        <f>IFERROR(SUMIF(E29:AI29,"=ІН",E30:AI30),0)+SUMIF(E29:AI29,"=НЗ",E30:AI30)</f>
        <v>0</v>
      </c>
    </row>
    <row r="30" spans="1:52" ht="21" customHeight="1" thickBot="1" x14ac:dyDescent="0.25">
      <c r="A30" s="290"/>
      <c r="B30" s="229"/>
      <c r="C30" s="229"/>
      <c r="D30" s="280"/>
      <c r="E30" s="192"/>
      <c r="F30" s="192"/>
      <c r="G30" s="192">
        <v>8.1999999999999993</v>
      </c>
      <c r="H30" s="192">
        <v>8.1999999999999993</v>
      </c>
      <c r="I30" s="192">
        <v>8.1999999999999993</v>
      </c>
      <c r="J30" s="192">
        <v>8.1999999999999993</v>
      </c>
      <c r="K30" s="192">
        <v>7</v>
      </c>
      <c r="L30" s="192"/>
      <c r="M30" s="192"/>
      <c r="N30" s="192">
        <v>8.1999999999999993</v>
      </c>
      <c r="O30" s="192">
        <v>8.1999999999999993</v>
      </c>
      <c r="P30" s="192">
        <v>8.1999999999999993</v>
      </c>
      <c r="Q30" s="192">
        <v>8.1999999999999993</v>
      </c>
      <c r="R30" s="192">
        <v>7.2</v>
      </c>
      <c r="S30" s="192"/>
      <c r="T30" s="192"/>
      <c r="U30" s="192">
        <v>8.1999999999999993</v>
      </c>
      <c r="V30" s="192">
        <v>8.1999999999999993</v>
      </c>
      <c r="W30" s="192">
        <v>8.1999999999999993</v>
      </c>
      <c r="X30" s="192">
        <v>8.1999999999999993</v>
      </c>
      <c r="Y30" s="192">
        <v>7.2</v>
      </c>
      <c r="Z30" s="192"/>
      <c r="AA30" s="192"/>
      <c r="AB30" s="192">
        <v>8.1999999999999993</v>
      </c>
      <c r="AC30" s="192">
        <v>8.1999999999999993</v>
      </c>
      <c r="AD30" s="192">
        <v>8.1999999999999993</v>
      </c>
      <c r="AE30" s="192">
        <v>8.1999999999999993</v>
      </c>
      <c r="AF30" s="192">
        <v>7.2</v>
      </c>
      <c r="AG30" s="192"/>
      <c r="AH30" s="192"/>
      <c r="AI30" s="192">
        <v>8.1999999999999993</v>
      </c>
      <c r="AJ30" s="297"/>
      <c r="AK30" s="203"/>
      <c r="AL30" s="311"/>
      <c r="AM30" s="311"/>
      <c r="AN30" s="212"/>
      <c r="AO30" s="311"/>
      <c r="AP30" s="212"/>
      <c r="AQ30" s="311"/>
      <c r="AR30" s="311"/>
      <c r="AS30" s="311"/>
      <c r="AT30" s="311"/>
      <c r="AU30" s="311"/>
      <c r="AV30" s="311"/>
      <c r="AW30" s="203"/>
      <c r="AX30" s="311"/>
      <c r="AY30" s="311"/>
      <c r="AZ30" s="327"/>
    </row>
    <row r="31" spans="1:52" ht="16.5" customHeight="1" x14ac:dyDescent="0.2">
      <c r="A31" s="289">
        <f t="shared" ref="A31" si="5">A29+1</f>
        <v>8</v>
      </c>
      <c r="B31" s="228" t="s">
        <v>266</v>
      </c>
      <c r="C31" s="228">
        <v>2089</v>
      </c>
      <c r="D31" s="279" t="s">
        <v>65</v>
      </c>
      <c r="E31" s="191" t="s">
        <v>142</v>
      </c>
      <c r="F31" s="191" t="s">
        <v>142</v>
      </c>
      <c r="G31" s="191" t="s">
        <v>4</v>
      </c>
      <c r="H31" s="191" t="s">
        <v>4</v>
      </c>
      <c r="I31" s="191" t="s">
        <v>4</v>
      </c>
      <c r="J31" s="191" t="s">
        <v>4</v>
      </c>
      <c r="K31" s="191" t="s">
        <v>4</v>
      </c>
      <c r="L31" s="191" t="s">
        <v>142</v>
      </c>
      <c r="M31" s="191" t="s">
        <v>142</v>
      </c>
      <c r="N31" s="191" t="s">
        <v>3</v>
      </c>
      <c r="O31" s="191" t="s">
        <v>3</v>
      </c>
      <c r="P31" s="191" t="s">
        <v>3</v>
      </c>
      <c r="Q31" s="191" t="s">
        <v>3</v>
      </c>
      <c r="R31" s="191" t="s">
        <v>3</v>
      </c>
      <c r="S31" s="191" t="s">
        <v>3</v>
      </c>
      <c r="T31" s="191" t="s">
        <v>3</v>
      </c>
      <c r="U31" s="191" t="s">
        <v>3</v>
      </c>
      <c r="V31" s="191" t="s">
        <v>3</v>
      </c>
      <c r="W31" s="191" t="s">
        <v>3</v>
      </c>
      <c r="X31" s="191" t="s">
        <v>3</v>
      </c>
      <c r="Y31" s="191" t="s">
        <v>3</v>
      </c>
      <c r="Z31" s="191" t="s">
        <v>3</v>
      </c>
      <c r="AA31" s="191" t="s">
        <v>3</v>
      </c>
      <c r="AB31" s="191" t="s">
        <v>3</v>
      </c>
      <c r="AC31" s="191" t="s">
        <v>3</v>
      </c>
      <c r="AD31" s="191" t="s">
        <v>3</v>
      </c>
      <c r="AE31" s="191" t="s">
        <v>3</v>
      </c>
      <c r="AF31" s="191" t="s">
        <v>3</v>
      </c>
      <c r="AG31" s="191" t="s">
        <v>3</v>
      </c>
      <c r="AH31" s="191" t="s">
        <v>3</v>
      </c>
      <c r="AI31" s="191" t="s">
        <v>3</v>
      </c>
      <c r="AJ31" s="294">
        <f>IFERROR(COUNTIF(E31:AI31,"=Р")+COUNTIF(E31:AI31,"=Р1")+COUNTIF(E31:AI31,"=ВЧ")+COUNTIF(E31:AI31,"=РН")+COUNTIF(E31:AI31,"=Р2")+COUNTIF(E31:AI31,"=Р1/РВ")+COUNTIF(E31:AI31,"=Р2/РВ")+COUNTIF(E31:AI31,"=ВЧ/РВ")+COUNTIF(E31:AI31,"=РН/РВ"),0)</f>
        <v>5</v>
      </c>
      <c r="AK31" s="202">
        <f>IFERROR(SUMIF(E31:AI31,"=Р2",E32:AI32)+SUMIF(E31:AI31,"=ВЧ/РВ",E32:AI32)+SUMIF(E31:AI31,"=РН/РВ",E32:AI32)+SUMIF(E31:AI31,"=Р1/РВ",E32:AI32)+SUMIF(E31:AI31,"=ВЧ2/РВ",E32:AI32)+SUMIF(E31:AI31,"=Р2/РВ",E32:AI32)+SUMIF(E31:AI31,"=Р",E32:AI32)+SUMIF(E31:AI31,"=Р1",E32:AI32)+SUMIF(E31:AI31,"=ВЧ1",E32:AI32)+SUMIF(E31:AI31,"=РН",E32:AI32)+SUMIF(E31:AI31,"=ВЧ",E32:AI32),0)+AL31</f>
        <v>39.799999999999997</v>
      </c>
      <c r="AL31" s="211"/>
      <c r="AM31" s="211">
        <f>IFERROR(SUMIF(E31:AI31,"=РН",E32:AI32)+SUMIF(E31:AI31,"=РН/РВ",E32:AI32)+SUMIFS(E32:AI32,E31:AI31,"=Р2",E32:AI32,"=8"),0)</f>
        <v>0</v>
      </c>
      <c r="AN31" s="211">
        <f>IFERROR(SUMIF(E31:AI31,"=ВЧ",E32:AI32)+SUMIF(E31:AI31,"=ВЧ/РВ",E32:AI32)+CEILING(COUNTIFS(E31:AI31,"=Р2",E32:AI32,"=7")*4,1)+CEILING(COUNTIFS(E31:AI31,"=Р2/РВ",E32:AI32,"=7")*4,1)+SUMIFS(E32:AI32,E31:AI31,"=Р1/РВ",E32:AI32,"=12")/6+SUMIFS(E32:AI32,E31:AI31,"=ВЧ2/РВ",E32:AI32,"=4")/2+SUMIFS(E32:AI32,E31:AI31,"=Р1",E32:AI32,"=12")/6+SUMIFS(E32:AI32,E31:AI31,"=Р1",E32:AI32,"=8")/4+SUMIF(E31:AI31,"=ВЧ1",E32:AI32)/2,0)</f>
        <v>0</v>
      </c>
      <c r="AO31" s="211">
        <f>IFERROR(SUMIF(E31:AI31,"=РВ",E32:AI32)+SUMIF(E31:AI31,"=ВЧ/РВ",E32:AI32)+SUMIF(E31:AI31,"=РН/РВ",E32:AI32)+SUMIF(E31:AI31,"=Р1/РВ",E32:AI32)+SUMIF(E31:AI31,"=ВЧ2/РВ",E32:AI32)+SUMIF(E31:AI31,"=Р2/РВ",E32:AI32),0)</f>
        <v>0</v>
      </c>
      <c r="AP31" s="211">
        <f>IFERROR(COUNTIF(E31:AI31,"=ВВ")+COUNTIF(E31:AI31,"=Р1/ВВ")+COUNTIF(E31:AI31,"=РН/ВВ")+COUNTIF(E31:AI31,"=ВЧ/ВВ"),0)</f>
        <v>4</v>
      </c>
      <c r="AQ31" s="211">
        <f>SUM(AR31:AZ31)</f>
        <v>128.20000000000002</v>
      </c>
      <c r="AR31" s="211">
        <f>IFERROR(SUMIF(E31:AI31,"=В",E32:AI32)+SUMIF(E31:AI31,"=Ч",E32:AI32)+SUMIF(E31:AI31,"=ВБ",E32:AI32),0)</f>
        <v>128.20000000000002</v>
      </c>
      <c r="AS31" s="211">
        <f>IFERROR(SUMIF(E31:AI31,"=Н",E32:AI32),0)</f>
        <v>0</v>
      </c>
      <c r="AT31" s="211">
        <f>IFERROR(SUMIF(E31:AI31,"=НА",E32:AI32),0)</f>
        <v>0</v>
      </c>
      <c r="AU31" s="211">
        <f>IFERROR(SUMIF(E31:AI31,"=ВП",E32:AI32),0)</f>
        <v>0</v>
      </c>
      <c r="AV31" s="211">
        <f>IFERROR(SUMIF(E31:AI31,"=ДД",E32:AI32),0)</f>
        <v>0</v>
      </c>
      <c r="AW31" s="202">
        <f>IFERROR(SUMIF(E31:AI31,"=ДО",E32:AI32),0)</f>
        <v>0</v>
      </c>
      <c r="AX31" s="211">
        <f>IFERROR(SUMIF(E31:AI31,"=ТН",E32:AI32),0)</f>
        <v>0</v>
      </c>
      <c r="AY31" s="211">
        <f>IFERROR(SUMIF(E31:AI31,"=ВД",E32:AI32),0)</f>
        <v>0</v>
      </c>
      <c r="AZ31" s="312">
        <f>IFERROR(SUMIF(E31:AI31,"=ІН",E32:AI32),0)+SUMIF(E31:AI31,"=НЗ",E32:AI32)</f>
        <v>0</v>
      </c>
    </row>
    <row r="32" spans="1:52" ht="20.100000000000001" customHeight="1" thickBot="1" x14ac:dyDescent="0.25">
      <c r="A32" s="290"/>
      <c r="B32" s="229"/>
      <c r="C32" s="229"/>
      <c r="D32" s="280"/>
      <c r="E32" s="192"/>
      <c r="F32" s="192"/>
      <c r="G32" s="192">
        <v>8.1999999999999993</v>
      </c>
      <c r="H32" s="192">
        <v>8.1999999999999993</v>
      </c>
      <c r="I32" s="192">
        <v>8.1999999999999993</v>
      </c>
      <c r="J32" s="192">
        <v>8.1999999999999993</v>
      </c>
      <c r="K32" s="192">
        <v>7</v>
      </c>
      <c r="L32" s="192"/>
      <c r="M32" s="192"/>
      <c r="N32" s="192">
        <v>8.1999999999999993</v>
      </c>
      <c r="O32" s="192">
        <v>8.1999999999999993</v>
      </c>
      <c r="P32" s="192">
        <v>8.1999999999999993</v>
      </c>
      <c r="Q32" s="192">
        <v>8.1999999999999993</v>
      </c>
      <c r="R32" s="192">
        <v>7.2</v>
      </c>
      <c r="S32" s="192"/>
      <c r="T32" s="192"/>
      <c r="U32" s="192">
        <v>8.1999999999999993</v>
      </c>
      <c r="V32" s="192">
        <v>8.1999999999999993</v>
      </c>
      <c r="W32" s="192">
        <v>8.1999999999999993</v>
      </c>
      <c r="X32" s="192">
        <v>8.1999999999999993</v>
      </c>
      <c r="Y32" s="192">
        <v>7.2</v>
      </c>
      <c r="Z32" s="192"/>
      <c r="AA32" s="192"/>
      <c r="AB32" s="192">
        <v>8.1999999999999993</v>
      </c>
      <c r="AC32" s="192">
        <v>8.1999999999999993</v>
      </c>
      <c r="AD32" s="192">
        <v>8.1999999999999993</v>
      </c>
      <c r="AE32" s="192">
        <v>8.1999999999999993</v>
      </c>
      <c r="AF32" s="192">
        <v>7.2</v>
      </c>
      <c r="AG32" s="192"/>
      <c r="AH32" s="192"/>
      <c r="AI32" s="192">
        <v>8.1999999999999993</v>
      </c>
      <c r="AJ32" s="297"/>
      <c r="AK32" s="203"/>
      <c r="AL32" s="311"/>
      <c r="AM32" s="311"/>
      <c r="AN32" s="212"/>
      <c r="AO32" s="311"/>
      <c r="AP32" s="212"/>
      <c r="AQ32" s="311"/>
      <c r="AR32" s="311"/>
      <c r="AS32" s="311"/>
      <c r="AT32" s="311"/>
      <c r="AU32" s="311"/>
      <c r="AV32" s="311"/>
      <c r="AW32" s="203"/>
      <c r="AX32" s="311"/>
      <c r="AY32" s="311"/>
      <c r="AZ32" s="327"/>
    </row>
    <row r="33" spans="1:52" s="111" customFormat="1" ht="18" customHeight="1" x14ac:dyDescent="0.2">
      <c r="A33" s="289">
        <f t="shared" ref="A33" si="6">A31+1</f>
        <v>9</v>
      </c>
      <c r="B33" s="228" t="s">
        <v>283</v>
      </c>
      <c r="C33" s="228">
        <v>2159</v>
      </c>
      <c r="D33" s="279" t="s">
        <v>65</v>
      </c>
      <c r="E33" s="191" t="s">
        <v>142</v>
      </c>
      <c r="F33" s="191" t="s">
        <v>142</v>
      </c>
      <c r="G33" s="191" t="s">
        <v>4</v>
      </c>
      <c r="H33" s="191" t="s">
        <v>4</v>
      </c>
      <c r="I33" s="191" t="s">
        <v>4</v>
      </c>
      <c r="J33" s="191" t="s">
        <v>4</v>
      </c>
      <c r="K33" s="191" t="s">
        <v>4</v>
      </c>
      <c r="L33" s="191" t="s">
        <v>142</v>
      </c>
      <c r="M33" s="191" t="s">
        <v>142</v>
      </c>
      <c r="N33" s="191" t="s">
        <v>4</v>
      </c>
      <c r="O33" s="191" t="s">
        <v>4</v>
      </c>
      <c r="P33" s="191" t="s">
        <v>4</v>
      </c>
      <c r="Q33" s="191" t="s">
        <v>4</v>
      </c>
      <c r="R33" s="191" t="s">
        <v>4</v>
      </c>
      <c r="S33" s="191" t="s">
        <v>142</v>
      </c>
      <c r="T33" s="191" t="s">
        <v>142</v>
      </c>
      <c r="U33" s="191" t="s">
        <v>4</v>
      </c>
      <c r="V33" s="191" t="s">
        <v>4</v>
      </c>
      <c r="W33" s="191" t="s">
        <v>4</v>
      </c>
      <c r="X33" s="191" t="s">
        <v>4</v>
      </c>
      <c r="Y33" s="191" t="s">
        <v>4</v>
      </c>
      <c r="Z33" s="191" t="s">
        <v>142</v>
      </c>
      <c r="AA33" s="191" t="s">
        <v>142</v>
      </c>
      <c r="AB33" s="191" t="s">
        <v>4</v>
      </c>
      <c r="AC33" s="191" t="s">
        <v>4</v>
      </c>
      <c r="AD33" s="191" t="s">
        <v>4</v>
      </c>
      <c r="AE33" s="191" t="s">
        <v>4</v>
      </c>
      <c r="AF33" s="191" t="s">
        <v>4</v>
      </c>
      <c r="AG33" s="191" t="s">
        <v>142</v>
      </c>
      <c r="AH33" s="191" t="s">
        <v>142</v>
      </c>
      <c r="AI33" s="191" t="s">
        <v>4</v>
      </c>
      <c r="AJ33" s="294">
        <f>IFERROR(COUNTIF(E33:AI33,"=Р")+COUNTIF(E33:AI33,"=Р1")+COUNTIF(E33:AI33,"=ВЧ")+COUNTIF(E33:AI33,"=РН")+COUNTIF(E33:AI33,"=Р2")+COUNTIF(E33:AI33,"=Р1/РВ")+COUNTIF(E33:AI33,"=Р2/РВ")+COUNTIF(E33:AI33,"=ВЧ/РВ")+COUNTIF(E33:AI33,"=РН/РВ"),0)</f>
        <v>21</v>
      </c>
      <c r="AK33" s="202">
        <f>IFERROR(SUMIF(E33:AI33,"=Р2",E34:AI34)+SUMIF(E33:AI33,"=ВЧ/РВ",E34:AI34)+SUMIF(E33:AI33,"=РН/РВ",E34:AI34)+SUMIF(E33:AI33,"=Р1/РВ",E34:AI34)+SUMIF(E33:AI33,"=ВЧ2/РВ",E34:AI34)+SUMIF(E33:AI33,"=Р2/РВ",E34:AI34)+SUMIF(E33:AI33,"=Р",E34:AI34)+SUMIF(E33:AI33,"=Р1",E34:AI34)+SUMIF(E33:AI33,"=ВЧ1",E34:AI34)+SUMIF(E33:AI33,"=РН",E34:AI34)+SUMIF(E33:AI33,"=ВЧ",E34:AI34),0)+AL33</f>
        <v>167.99999999999997</v>
      </c>
      <c r="AL33" s="211">
        <f>IFERROR(SUMIF(E33:AI33,"=НУ",E34:AI34),0)</f>
        <v>0</v>
      </c>
      <c r="AM33" s="211">
        <f>IFERROR(SUMIF(E33:AI33,"=РН",E34:AI34)+SUMIF(E33:AI33,"=РН/РВ",E34:AI34)+SUMIFS(E34:AI34,E33:AI33,"=Р2",E34:AI34,"=8"),0)</f>
        <v>0</v>
      </c>
      <c r="AN33" s="211">
        <f>IFERROR(SUMIF(E33:AI33,"=ВЧ",E34:AI34)+SUMIF(E33:AI33,"=ВЧ/РВ",E34:AI34)+CEILING(COUNTIFS(E33:AI33,"=Р2",E34:AI34,"=7")*4,1)+CEILING(COUNTIFS(E33:AI33,"=Р2/РВ",E34:AI34,"=7")*4,1)+SUMIFS(E34:AI34,E33:AI33,"=Р1/РВ",E34:AI34,"=12")/6+SUMIFS(E34:AI34,E33:AI33,"=ВЧ2/РВ",E34:AI34,"=4")/2+SUMIFS(E34:AI34,E33:AI33,"=Р1",E34:AI34,"=12")/6+SUMIFS(E34:AI34,E33:AI33,"=Р1",E34:AI34,"=8")/4+SUMIF(E33:AI33,"=ВЧ1",E34:AI34)/2,0)</f>
        <v>0</v>
      </c>
      <c r="AO33" s="211">
        <f>IFERROR(SUMIF(E33:AI33,"=РВ",E34:AI34)+SUMIF(E33:AI33,"=ВЧ/РВ",E34:AI34)+SUMIF(E33:AI33,"=РН/РВ",E34:AI34)+SUMIF(E33:AI33,"=Р1/РВ",E34:AI34)+SUMIF(E33:AI33,"=ВЧ2/РВ",E34:AI34)+SUMIF(E33:AI33,"=Р2/РВ",E34:AI34),0)</f>
        <v>0</v>
      </c>
      <c r="AP33" s="211">
        <f>IFERROR(COUNTIF(E33:AI33,"=ВВ")+COUNTIF(E33:AI33,"=Р1/ВВ")+COUNTIF(E33:AI33,"=РН/ВВ")+COUNTIF(E33:AI33,"=ВЧ/ВВ"),0)</f>
        <v>10</v>
      </c>
      <c r="AQ33" s="211">
        <f>SUM(AR33:AZ33)</f>
        <v>0</v>
      </c>
      <c r="AR33" s="211">
        <f>IFERROR(SUMIF(E33:AI33,"=В",E34:AI34)+SUMIF(E33:AI33,"=Ч",E34:AI34)+SUMIF(E33:AI33,"=ВБ",E34:AI34),0)</f>
        <v>0</v>
      </c>
      <c r="AS33" s="211">
        <f>IFERROR(SUMIF(E33:AI33,"=Н",E34:AI34),0)</f>
        <v>0</v>
      </c>
      <c r="AT33" s="211">
        <f>IFERROR(SUMIF(E33:AI33,"=НА",E34:AI34),0)</f>
        <v>0</v>
      </c>
      <c r="AU33" s="211">
        <f>IFERROR(SUMIF(E33:AI33,"=ВП",E34:AI34),0)</f>
        <v>0</v>
      </c>
      <c r="AV33" s="211">
        <f>IFERROR(SUMIF(E33:AI33,"=ДД",E34:AI34),0)</f>
        <v>0</v>
      </c>
      <c r="AW33" s="202">
        <f>IFERROR(SUMIF(E33:AI33,"=ДО",E34:AI34),0)</f>
        <v>0</v>
      </c>
      <c r="AX33" s="211">
        <f>IFERROR(SUMIF(E33:AI33,"=ТН",E34:AI34),0)</f>
        <v>0</v>
      </c>
      <c r="AY33" s="211">
        <f>IFERROR(SUMIF(E33:AI33,"=ВД",E34:AI34),0)</f>
        <v>0</v>
      </c>
      <c r="AZ33" s="312">
        <f>IFERROR(SUMIF(E33:AI33,"=ІН",E34:AI34),0)+SUMIF(E33:AI33,"=НЗ",E34:AI34)</f>
        <v>0</v>
      </c>
    </row>
    <row r="34" spans="1:52" s="111" customFormat="1" ht="20.100000000000001" customHeight="1" thickBot="1" x14ac:dyDescent="0.25">
      <c r="A34" s="290"/>
      <c r="B34" s="229"/>
      <c r="C34" s="229"/>
      <c r="D34" s="280"/>
      <c r="E34" s="192"/>
      <c r="F34" s="192"/>
      <c r="G34" s="192">
        <v>8.1999999999999993</v>
      </c>
      <c r="H34" s="192">
        <v>8.1999999999999993</v>
      </c>
      <c r="I34" s="192">
        <v>8.1999999999999993</v>
      </c>
      <c r="J34" s="192">
        <v>8.1999999999999993</v>
      </c>
      <c r="K34" s="192">
        <v>7</v>
      </c>
      <c r="L34" s="192"/>
      <c r="M34" s="192"/>
      <c r="N34" s="192">
        <v>8.1999999999999993</v>
      </c>
      <c r="O34" s="192">
        <v>8.1999999999999993</v>
      </c>
      <c r="P34" s="192">
        <v>8.1999999999999993</v>
      </c>
      <c r="Q34" s="192">
        <v>8.1999999999999993</v>
      </c>
      <c r="R34" s="192">
        <v>7.2</v>
      </c>
      <c r="S34" s="192"/>
      <c r="T34" s="192"/>
      <c r="U34" s="192">
        <v>8.1999999999999993</v>
      </c>
      <c r="V34" s="192">
        <v>8.1999999999999993</v>
      </c>
      <c r="W34" s="192">
        <v>8.1999999999999993</v>
      </c>
      <c r="X34" s="192">
        <v>8.1999999999999993</v>
      </c>
      <c r="Y34" s="192">
        <v>7.2</v>
      </c>
      <c r="Z34" s="192"/>
      <c r="AA34" s="192"/>
      <c r="AB34" s="192">
        <v>8.1999999999999993</v>
      </c>
      <c r="AC34" s="192">
        <v>8.1999999999999993</v>
      </c>
      <c r="AD34" s="192">
        <v>8.1999999999999993</v>
      </c>
      <c r="AE34" s="192">
        <v>8.1999999999999993</v>
      </c>
      <c r="AF34" s="192">
        <v>7.2</v>
      </c>
      <c r="AG34" s="192"/>
      <c r="AH34" s="192"/>
      <c r="AI34" s="192">
        <v>8.1999999999999993</v>
      </c>
      <c r="AJ34" s="297"/>
      <c r="AK34" s="203"/>
      <c r="AL34" s="311"/>
      <c r="AM34" s="311"/>
      <c r="AN34" s="212"/>
      <c r="AO34" s="311"/>
      <c r="AP34" s="212"/>
      <c r="AQ34" s="311"/>
      <c r="AR34" s="311"/>
      <c r="AS34" s="311"/>
      <c r="AT34" s="311"/>
      <c r="AU34" s="311"/>
      <c r="AV34" s="311"/>
      <c r="AW34" s="203"/>
      <c r="AX34" s="311"/>
      <c r="AY34" s="311"/>
      <c r="AZ34" s="327"/>
    </row>
    <row r="35" spans="1:52" ht="15.75" customHeight="1" x14ac:dyDescent="0.2">
      <c r="A35" s="289">
        <f t="shared" ref="A35" si="7">A33+1</f>
        <v>10</v>
      </c>
      <c r="B35" s="228" t="s">
        <v>132</v>
      </c>
      <c r="C35" s="228">
        <v>1963</v>
      </c>
      <c r="D35" s="279" t="s">
        <v>65</v>
      </c>
      <c r="E35" s="191" t="s">
        <v>142</v>
      </c>
      <c r="F35" s="191" t="s">
        <v>142</v>
      </c>
      <c r="G35" s="191" t="s">
        <v>4</v>
      </c>
      <c r="H35" s="191" t="s">
        <v>4</v>
      </c>
      <c r="I35" s="191" t="s">
        <v>4</v>
      </c>
      <c r="J35" s="191" t="s">
        <v>4</v>
      </c>
      <c r="K35" s="191" t="s">
        <v>4</v>
      </c>
      <c r="L35" s="191" t="s">
        <v>142</v>
      </c>
      <c r="M35" s="191" t="s">
        <v>142</v>
      </c>
      <c r="N35" s="191" t="s">
        <v>4</v>
      </c>
      <c r="O35" s="191" t="s">
        <v>4</v>
      </c>
      <c r="P35" s="191" t="s">
        <v>4</v>
      </c>
      <c r="Q35" s="191" t="s">
        <v>4</v>
      </c>
      <c r="R35" s="191" t="s">
        <v>4</v>
      </c>
      <c r="S35" s="191" t="s">
        <v>142</v>
      </c>
      <c r="T35" s="191" t="s">
        <v>142</v>
      </c>
      <c r="U35" s="191" t="s">
        <v>48</v>
      </c>
      <c r="V35" s="191" t="s">
        <v>4</v>
      </c>
      <c r="W35" s="191" t="s">
        <v>4</v>
      </c>
      <c r="X35" s="191" t="s">
        <v>4</v>
      </c>
      <c r="Y35" s="191" t="s">
        <v>4</v>
      </c>
      <c r="Z35" s="191" t="s">
        <v>142</v>
      </c>
      <c r="AA35" s="191" t="s">
        <v>142</v>
      </c>
      <c r="AB35" s="191" t="s">
        <v>4</v>
      </c>
      <c r="AC35" s="191" t="s">
        <v>4</v>
      </c>
      <c r="AD35" s="191" t="s">
        <v>4</v>
      </c>
      <c r="AE35" s="191" t="s">
        <v>4</v>
      </c>
      <c r="AF35" s="191" t="s">
        <v>4</v>
      </c>
      <c r="AG35" s="191" t="s">
        <v>142</v>
      </c>
      <c r="AH35" s="191" t="s">
        <v>142</v>
      </c>
      <c r="AI35" s="191" t="s">
        <v>4</v>
      </c>
      <c r="AJ35" s="294">
        <f>IFERROR(COUNTIF(E35:AI35,"=Р")+COUNTIF(E35:AI35,"=Р1")+COUNTIF(E35:AI35,"=ВЧ")+COUNTIF(E35:AI35,"=РН")+COUNTIF(E35:AI35,"=Р2")+COUNTIF(E35:AI35,"=Р1/РВ")+COUNTIF(E35:AI35,"=Р2/РВ")+COUNTIF(E35:AI35,"=ВЧ/РВ")+COUNTIF(E35:AI35,"=РН/РВ"),0)</f>
        <v>20</v>
      </c>
      <c r="AK35" s="202">
        <f>IFERROR(SUMIF(E35:AI35,"=Р2",E36:AI36)+SUMIF(E35:AI35,"=ВЧ/РВ",E36:AI36)+SUMIF(E35:AI35,"=РН/РВ",E36:AI36)+SUMIF(E35:AI35,"=Р1/РВ",E36:AI36)+SUMIF(E35:AI35,"=ВЧ2/РВ",E36:AI36)+SUMIF(E35:AI35,"=Р2/РВ",E36:AI36)+SUMIF(E35:AI35,"=Р",E36:AI36)+SUMIF(E35:AI35,"=Р1",E36:AI36)+SUMIF(E35:AI35,"=ВЧ1",E36:AI36)+SUMIF(E35:AI35,"=РН",E36:AI36)+SUMIF(E35:AI35,"=ВЧ",E36:AI36),0)+AL35</f>
        <v>159.79999999999998</v>
      </c>
      <c r="AL35" s="211">
        <f>IFERROR(SUMIF(E35:AI35,"=НУ",E36:AI36),0)</f>
        <v>0</v>
      </c>
      <c r="AM35" s="211">
        <f>IFERROR(SUMIF(E35:AI35,"=РН",E36:AI36)+SUMIF(E35:AI35,"=РН/РВ",E36:AI36)+SUMIFS(E36:AI36,E35:AI35,"=Р2",E36:AI36,"=8"),0)</f>
        <v>0</v>
      </c>
      <c r="AN35" s="211">
        <f>IFERROR(SUMIF(E35:AI35,"=ВЧ",E36:AI36)+SUMIF(E35:AI35,"=ВЧ/РВ",E36:AI36)+CEILING(COUNTIFS(E35:AI35,"=Р2",E36:AI36,"=7")*4,1)+CEILING(COUNTIFS(E35:AI35,"=Р2/РВ",E36:AI36,"=7")*4,1)+SUMIFS(E36:AI36,E35:AI35,"=Р1/РВ",E36:AI36,"=12")/6+SUMIFS(E36:AI36,E35:AI35,"=ВЧ2/РВ",E36:AI36,"=4")/2+SUMIFS(E36:AI36,E35:AI35,"=Р1",E36:AI36,"=12")/6+SUMIFS(E36:AI36,E35:AI35,"=Р1",E36:AI36,"=8")/4+SUMIF(E35:AI35,"=ВЧ1",E36:AI36)/2,0)</f>
        <v>0</v>
      </c>
      <c r="AO35" s="211">
        <f>IFERROR(SUMIF(E35:AI35,"=РВ",E36:AI36)+SUMIF(E35:AI35,"=ВЧ/РВ",E36:AI36)+SUMIF(E35:AI35,"=РН/РВ",E36:AI36)+SUMIF(E35:AI35,"=Р1/РВ",E36:AI36)+SUMIF(E35:AI35,"=ВЧ2/РВ",E36:AI36)+SUMIF(E35:AI35,"=Р2/РВ",E36:AI36),0)</f>
        <v>0</v>
      </c>
      <c r="AP35" s="211">
        <f>IFERROR(COUNTIF(E35:AI35,"=ВВ")+COUNTIF(E35:AI35,"=Р1/ВВ")+COUNTIF(E35:AI35,"=РН/ВВ")+COUNTIF(E35:AI35,"=ВЧ/ВВ"),0)</f>
        <v>10</v>
      </c>
      <c r="AQ35" s="211">
        <f>SUM(AR35:AZ35)</f>
        <v>8.1999999999999993</v>
      </c>
      <c r="AR35" s="211">
        <f>IFERROR(SUMIF(E35:AI35,"=В",E36:AI36)+SUMIF(E35:AI35,"=Ч",E36:AI36)+SUMIF(E35:AI35,"=ВБ",E36:AI36),0)</f>
        <v>0</v>
      </c>
      <c r="AS35" s="211">
        <f>IFERROR(SUMIF(E35:AI35,"=Н",E36:AI36),0)</f>
        <v>0</v>
      </c>
      <c r="AT35" s="211">
        <f>IFERROR(SUMIF(E35:AI35,"=НА",E36:AI36),0)</f>
        <v>0</v>
      </c>
      <c r="AU35" s="211">
        <f>IFERROR(SUMIF(E35:AI35,"=ВП",E36:AI36),0)</f>
        <v>0</v>
      </c>
      <c r="AV35" s="211">
        <f>IFERROR(SUMIF(E35:AI35,"=ДД",E36:AI36),0)</f>
        <v>0</v>
      </c>
      <c r="AW35" s="202">
        <f>IFERROR(SUMIF(E35:AI35,"=ДО",E36:AI36),0)</f>
        <v>0</v>
      </c>
      <c r="AX35" s="211">
        <f>IFERROR(SUMIF(E35:AI35,"=ТН",E36:AI36),0)</f>
        <v>0</v>
      </c>
      <c r="AY35" s="211">
        <f>IFERROR(SUMIF(E35:AI35,"=ВД",E36:AI36),0)</f>
        <v>8.1999999999999993</v>
      </c>
      <c r="AZ35" s="312">
        <f>IFERROR(SUMIF(E35:AI35,"=ІН",E36:AI36),0)+SUMIF(E35:AI35,"=НЗ",E36:AI36)</f>
        <v>0</v>
      </c>
    </row>
    <row r="36" spans="1:52" ht="20.100000000000001" customHeight="1" thickBot="1" x14ac:dyDescent="0.25">
      <c r="A36" s="290"/>
      <c r="B36" s="229"/>
      <c r="C36" s="229"/>
      <c r="D36" s="280"/>
      <c r="E36" s="192"/>
      <c r="F36" s="192"/>
      <c r="G36" s="192">
        <v>8.1999999999999993</v>
      </c>
      <c r="H36" s="192">
        <v>8.1999999999999993</v>
      </c>
      <c r="I36" s="192">
        <v>8.1999999999999993</v>
      </c>
      <c r="J36" s="192">
        <v>8.1999999999999993</v>
      </c>
      <c r="K36" s="192">
        <v>7</v>
      </c>
      <c r="L36" s="192"/>
      <c r="M36" s="192"/>
      <c r="N36" s="192">
        <v>8.1999999999999993</v>
      </c>
      <c r="O36" s="192">
        <v>8.1999999999999993</v>
      </c>
      <c r="P36" s="192">
        <v>8.1999999999999993</v>
      </c>
      <c r="Q36" s="192">
        <v>8.1999999999999993</v>
      </c>
      <c r="R36" s="192">
        <v>7.2</v>
      </c>
      <c r="S36" s="192"/>
      <c r="T36" s="192"/>
      <c r="U36" s="192">
        <v>8.1999999999999993</v>
      </c>
      <c r="V36" s="192">
        <v>8.1999999999999993</v>
      </c>
      <c r="W36" s="192">
        <v>8.1999999999999993</v>
      </c>
      <c r="X36" s="192">
        <v>8.1999999999999993</v>
      </c>
      <c r="Y36" s="192">
        <v>7.2</v>
      </c>
      <c r="Z36" s="192"/>
      <c r="AA36" s="192"/>
      <c r="AB36" s="192">
        <v>8.1999999999999993</v>
      </c>
      <c r="AC36" s="192">
        <v>8.1999999999999993</v>
      </c>
      <c r="AD36" s="192">
        <v>8.1999999999999993</v>
      </c>
      <c r="AE36" s="192">
        <v>8.1999999999999993</v>
      </c>
      <c r="AF36" s="192">
        <v>7.2</v>
      </c>
      <c r="AG36" s="192"/>
      <c r="AH36" s="192"/>
      <c r="AI36" s="192">
        <v>8.1999999999999993</v>
      </c>
      <c r="AJ36" s="297"/>
      <c r="AK36" s="203"/>
      <c r="AL36" s="311"/>
      <c r="AM36" s="311"/>
      <c r="AN36" s="212"/>
      <c r="AO36" s="311"/>
      <c r="AP36" s="212"/>
      <c r="AQ36" s="311"/>
      <c r="AR36" s="311"/>
      <c r="AS36" s="311"/>
      <c r="AT36" s="311"/>
      <c r="AU36" s="311"/>
      <c r="AV36" s="311"/>
      <c r="AW36" s="203"/>
      <c r="AX36" s="311"/>
      <c r="AY36" s="311"/>
      <c r="AZ36" s="327"/>
    </row>
    <row r="37" spans="1:52" ht="16.5" customHeight="1" x14ac:dyDescent="0.2">
      <c r="A37" s="289">
        <f t="shared" ref="A37" si="8">A35+1</f>
        <v>11</v>
      </c>
      <c r="B37" s="228" t="s">
        <v>287</v>
      </c>
      <c r="C37" s="228">
        <v>1815</v>
      </c>
      <c r="D37" s="279" t="s">
        <v>65</v>
      </c>
      <c r="E37" s="191" t="s">
        <v>4</v>
      </c>
      <c r="F37" s="191" t="s">
        <v>354</v>
      </c>
      <c r="G37" s="191" t="s">
        <v>354</v>
      </c>
      <c r="H37" s="191" t="s">
        <v>142</v>
      </c>
      <c r="I37" s="191" t="s">
        <v>354</v>
      </c>
      <c r="J37" s="191" t="s">
        <v>354</v>
      </c>
      <c r="K37" s="191" t="s">
        <v>142</v>
      </c>
      <c r="L37" s="191" t="s">
        <v>354</v>
      </c>
      <c r="M37" s="191" t="s">
        <v>354</v>
      </c>
      <c r="N37" s="191" t="s">
        <v>142</v>
      </c>
      <c r="O37" s="191" t="s">
        <v>354</v>
      </c>
      <c r="P37" s="191" t="s">
        <v>354</v>
      </c>
      <c r="Q37" s="191" t="s">
        <v>142</v>
      </c>
      <c r="R37" s="191" t="s">
        <v>354</v>
      </c>
      <c r="S37" s="191" t="s">
        <v>354</v>
      </c>
      <c r="T37" s="191" t="s">
        <v>4</v>
      </c>
      <c r="U37" s="191" t="s">
        <v>354</v>
      </c>
      <c r="V37" s="191" t="s">
        <v>354</v>
      </c>
      <c r="W37" s="191" t="s">
        <v>142</v>
      </c>
      <c r="X37" s="191" t="s">
        <v>354</v>
      </c>
      <c r="Y37" s="191" t="s">
        <v>354</v>
      </c>
      <c r="Z37" s="191" t="s">
        <v>4</v>
      </c>
      <c r="AA37" s="191" t="s">
        <v>354</v>
      </c>
      <c r="AB37" s="191" t="s">
        <v>354</v>
      </c>
      <c r="AC37" s="191" t="s">
        <v>142</v>
      </c>
      <c r="AD37" s="191" t="s">
        <v>354</v>
      </c>
      <c r="AE37" s="191" t="s">
        <v>354</v>
      </c>
      <c r="AF37" s="191" t="s">
        <v>142</v>
      </c>
      <c r="AG37" s="191" t="s">
        <v>354</v>
      </c>
      <c r="AH37" s="191" t="s">
        <v>354</v>
      </c>
      <c r="AI37" s="191" t="s">
        <v>142</v>
      </c>
      <c r="AJ37" s="294">
        <f>IFERROR(COUNTIF(E37:AI37,"=Р")+COUNTIF(E37:AI37,"=Р1")+COUNTIF(E37:AI37,"=ВЧ")+COUNTIF(E37:AI37,"=РН")+COUNTIF(E37:AI37,"=Р2")+COUNTIF(E37:AI37,"=Р1/РВ")+COUNTIF(E37:AI37,"=Р2/РВ")+COUNTIF(E37:AI37,"=ВЧ/РВ")+COUNTIF(E37:AI37,"=РН/РВ"),0)</f>
        <v>23</v>
      </c>
      <c r="AK37" s="202">
        <f>IFERROR(SUMIF(E37:AI37,"=Р2",E38:AI38)+SUMIF(E37:AI37,"=ВЧ/РВ",E38:AI38)+SUMIF(E37:AI37,"=РН/РВ",E38:AI38)+SUMIF(E37:AI37,"=Р1/РВ",E38:AI38)+SUMIF(E37:AI37,"=ВЧ2/РВ",E38:AI38)+SUMIF(E37:AI37,"=Р2/РВ",E38:AI38)+SUMIF(E37:AI37,"=Р",E38:AI38)+SUMIF(E37:AI37,"=Р1",E38:AI38)+SUMIF(E37:AI37,"=ВЧ1",E38:AI38)+SUMIF(E37:AI37,"=РН",E38:AI38)+SUMIF(E37:AI37,"=ВЧ",E38:AI38),0)+AL37</f>
        <v>168</v>
      </c>
      <c r="AL37" s="211">
        <f>IFERROR(SUMIF(E37:AI37,"=НУ",E38:AI38),0)</f>
        <v>0</v>
      </c>
      <c r="AM37" s="211">
        <f>IFERROR(SUMIF(E37:AI37,"=РН",E38:AI38)+SUMIF(E37:AI37,"=РН/РВ",E38:AI38)+SUMIFS(E38:AI38,E37:AI37,"=Р2",E38:AI38,"=8"),0)</f>
        <v>80</v>
      </c>
      <c r="AN37" s="211">
        <f>IFERROR(SUMIF(E37:AI37,"=ВЧ",E38:AI38)+SUMIF(E37:AI37,"=ВЧ/РВ",E38:AI38)+CEILING(COUNTIFS(E37:AI37,"=Р2",E38:AI38,"=7")*4,1)+CEILING(COUNTIFS(E37:AI37,"=Р2/РВ",E38:AI38,"=7")*4,1)+SUMIFS(E38:AI38,E37:AI37,"=Р1/РВ",E38:AI38,"=12")/6+SUMIFS(E38:AI38,E37:AI37,"=ВЧ2/РВ",E38:AI38,"=4")/2+SUMIFS(E38:AI38,E37:AI37,"=Р1",E38:AI38,"=12")/6+SUMIFS(E38:AI38,E37:AI37,"=Р1",E38:AI38,"=8")/4+SUMIF(E37:AI37,"=ВЧ1",E38:AI38)/2,0)</f>
        <v>40</v>
      </c>
      <c r="AO37" s="211">
        <f>IFERROR(SUMIF(E37:AI37,"=РВ",E38:AI38)+SUMIF(E37:AI37,"=ВЧ/РВ",E38:AI38)+SUMIF(E37:AI37,"=РН/РВ",E38:AI38)+SUMIF(E37:AI37,"=Р1/РВ",E38:AI38)+SUMIF(E37:AI37,"=ВЧ2/РВ",E38:AI38)+SUMIF(E37:AI37,"=Р2/РВ",E38:AI38),0)</f>
        <v>0</v>
      </c>
      <c r="AP37" s="211">
        <f>IFERROR(COUNTIF(E37:AI37,"=ВВ")+COUNTIF(E37:AI37,"=Р1/ВВ")+COUNTIF(E37:AI37,"=РН/ВВ")+COUNTIF(E37:AI37,"=ВЧ/ВВ"),0)</f>
        <v>8</v>
      </c>
      <c r="AQ37" s="211">
        <f>SUM(AR37:AZ37)</f>
        <v>0</v>
      </c>
      <c r="AR37" s="211">
        <f>IFERROR(SUMIF(E37:AI37,"=В",E38:AI38)+SUMIF(E37:AI37,"=Ч",E38:AI38)+SUMIF(E37:AI37,"=ВБ",E38:AI38),0)</f>
        <v>0</v>
      </c>
      <c r="AS37" s="211">
        <f>IFERROR(SUMIF(E37:AI37,"=Н",E38:AI38),0)</f>
        <v>0</v>
      </c>
      <c r="AT37" s="211">
        <f>IFERROR(SUMIF(E37:AI37,"=НА",E38:AI38),0)</f>
        <v>0</v>
      </c>
      <c r="AU37" s="211">
        <f>IFERROR(SUMIF(E37:AI37,"=ВП",E38:AI38),0)</f>
        <v>0</v>
      </c>
      <c r="AV37" s="211">
        <f>IFERROR(SUMIF(E37:AI37,"=ДД",E38:AI38),0)</f>
        <v>0</v>
      </c>
      <c r="AW37" s="202">
        <f>IFERROR(SUMIF(E37:AI37,"=ДО",E38:AI38),0)</f>
        <v>0</v>
      </c>
      <c r="AX37" s="211">
        <f>IFERROR(SUMIF(E37:AI37,"=ТН",E38:AI38),0)</f>
        <v>0</v>
      </c>
      <c r="AY37" s="211">
        <f>IFERROR(SUMIF(E37:AI37,"=ВД",E38:AI38),0)</f>
        <v>0</v>
      </c>
      <c r="AZ37" s="312">
        <f>IFERROR(SUMIF(E37:AI37,"=ІН",E38:AI38),0)+SUMIF(E37:AI37,"=НЗ",E38:AI38)</f>
        <v>0</v>
      </c>
    </row>
    <row r="38" spans="1:52" ht="20.100000000000001" customHeight="1" thickBot="1" x14ac:dyDescent="0.25">
      <c r="A38" s="290"/>
      <c r="B38" s="229"/>
      <c r="C38" s="229"/>
      <c r="D38" s="280"/>
      <c r="E38" s="192">
        <v>6</v>
      </c>
      <c r="F38" s="192">
        <v>7</v>
      </c>
      <c r="G38" s="192">
        <v>8</v>
      </c>
      <c r="H38" s="192"/>
      <c r="I38" s="192">
        <v>7</v>
      </c>
      <c r="J38" s="192">
        <v>8</v>
      </c>
      <c r="K38" s="192"/>
      <c r="L38" s="192">
        <v>7</v>
      </c>
      <c r="M38" s="192">
        <v>8</v>
      </c>
      <c r="N38" s="192"/>
      <c r="O38" s="192">
        <v>7</v>
      </c>
      <c r="P38" s="192">
        <v>8</v>
      </c>
      <c r="Q38" s="192"/>
      <c r="R38" s="192">
        <v>7</v>
      </c>
      <c r="S38" s="192">
        <v>8</v>
      </c>
      <c r="T38" s="192">
        <v>6</v>
      </c>
      <c r="U38" s="192">
        <v>7</v>
      </c>
      <c r="V38" s="192">
        <v>8</v>
      </c>
      <c r="W38" s="192"/>
      <c r="X38" s="192">
        <v>7</v>
      </c>
      <c r="Y38" s="192">
        <v>8</v>
      </c>
      <c r="Z38" s="192">
        <v>6</v>
      </c>
      <c r="AA38" s="192">
        <v>7</v>
      </c>
      <c r="AB38" s="192">
        <v>8</v>
      </c>
      <c r="AC38" s="192"/>
      <c r="AD38" s="192">
        <v>7</v>
      </c>
      <c r="AE38" s="192">
        <v>8</v>
      </c>
      <c r="AF38" s="192"/>
      <c r="AG38" s="192">
        <v>7</v>
      </c>
      <c r="AH38" s="192">
        <v>8</v>
      </c>
      <c r="AI38" s="192"/>
      <c r="AJ38" s="297"/>
      <c r="AK38" s="203"/>
      <c r="AL38" s="311"/>
      <c r="AM38" s="311"/>
      <c r="AN38" s="212"/>
      <c r="AO38" s="311"/>
      <c r="AP38" s="212"/>
      <c r="AQ38" s="311"/>
      <c r="AR38" s="311"/>
      <c r="AS38" s="311"/>
      <c r="AT38" s="311"/>
      <c r="AU38" s="311"/>
      <c r="AV38" s="311"/>
      <c r="AW38" s="203"/>
      <c r="AX38" s="311"/>
      <c r="AY38" s="311"/>
      <c r="AZ38" s="327"/>
    </row>
    <row r="39" spans="1:52" ht="20.100000000000001" customHeight="1" x14ac:dyDescent="0.2">
      <c r="A39" s="289">
        <f t="shared" ref="A39" si="9">A37+1</f>
        <v>12</v>
      </c>
      <c r="B39" s="228" t="s">
        <v>130</v>
      </c>
      <c r="C39" s="228">
        <v>1768</v>
      </c>
      <c r="D39" s="279" t="s">
        <v>65</v>
      </c>
      <c r="E39" s="191" t="s">
        <v>142</v>
      </c>
      <c r="F39" s="191" t="s">
        <v>142</v>
      </c>
      <c r="G39" s="191" t="s">
        <v>4</v>
      </c>
      <c r="H39" s="191" t="s">
        <v>4</v>
      </c>
      <c r="I39" s="191" t="s">
        <v>4</v>
      </c>
      <c r="J39" s="191" t="s">
        <v>4</v>
      </c>
      <c r="K39" s="191" t="s">
        <v>4</v>
      </c>
      <c r="L39" s="191" t="s">
        <v>142</v>
      </c>
      <c r="M39" s="191" t="s">
        <v>142</v>
      </c>
      <c r="N39" s="191" t="s">
        <v>4</v>
      </c>
      <c r="O39" s="191" t="s">
        <v>4</v>
      </c>
      <c r="P39" s="191" t="s">
        <v>4</v>
      </c>
      <c r="Q39" s="191" t="s">
        <v>4</v>
      </c>
      <c r="R39" s="191" t="s">
        <v>4</v>
      </c>
      <c r="S39" s="191" t="s">
        <v>142</v>
      </c>
      <c r="T39" s="191" t="s">
        <v>142</v>
      </c>
      <c r="U39" s="191" t="s">
        <v>4</v>
      </c>
      <c r="V39" s="191" t="s">
        <v>4</v>
      </c>
      <c r="W39" s="191" t="s">
        <v>4</v>
      </c>
      <c r="X39" s="191" t="s">
        <v>4</v>
      </c>
      <c r="Y39" s="191" t="s">
        <v>4</v>
      </c>
      <c r="Z39" s="191" t="s">
        <v>142</v>
      </c>
      <c r="AA39" s="191" t="s">
        <v>142</v>
      </c>
      <c r="AB39" s="191" t="s">
        <v>4</v>
      </c>
      <c r="AC39" s="191" t="s">
        <v>4</v>
      </c>
      <c r="AD39" s="191" t="s">
        <v>4</v>
      </c>
      <c r="AE39" s="191" t="s">
        <v>4</v>
      </c>
      <c r="AF39" s="191" t="s">
        <v>4</v>
      </c>
      <c r="AG39" s="191" t="s">
        <v>142</v>
      </c>
      <c r="AH39" s="191" t="s">
        <v>142</v>
      </c>
      <c r="AI39" s="191" t="s">
        <v>4</v>
      </c>
      <c r="AJ39" s="294">
        <f>IFERROR(COUNTIF(E39:AI39,"=Р")+COUNTIF(E39:AI39,"=Р1")+COUNTIF(E39:AI39,"=ВЧ")+COUNTIF(E39:AI39,"=РН")+COUNTIF(E39:AI39,"=Р2")+COUNTIF(E39:AI39,"=Р1/РВ")+COUNTIF(E39:AI39,"=Р2/РВ")+COUNTIF(E39:AI39,"=ВЧ/РВ")+COUNTIF(E39:AI39,"=РН/РВ"),0)</f>
        <v>21</v>
      </c>
      <c r="AK39" s="202">
        <f>IFERROR(SUMIF(E39:AI39,"=Р2",E40:AI40)+SUMIF(E39:AI39,"=ВЧ/РВ",E40:AI40)+SUMIF(E39:AI39,"=РН/РВ",E40:AI40)+SUMIF(E39:AI39,"=Р1/РВ",E40:AI40)+SUMIF(E39:AI39,"=ВЧ2/РВ",E40:AI40)+SUMIF(E39:AI39,"=Р2/РВ",E40:AI40)+SUMIF(E39:AI39,"=Р",E40:AI40)+SUMIF(E39:AI39,"=Р1",E40:AI40)+SUMIF(E39:AI39,"=ВЧ1",E40:AI40)+SUMIF(E39:AI39,"=РН",E40:AI40)+SUMIF(E39:AI39,"=ВЧ",E40:AI40),0)+AL39</f>
        <v>167.99999999999997</v>
      </c>
      <c r="AL39" s="211">
        <f>IFERROR(SUMIF(E39:AI39,"=НУ",E40:AI40),0)</f>
        <v>0</v>
      </c>
      <c r="AM39" s="211">
        <f>IFERROR(SUMIF(E39:AI39,"=РН",E40:AI40)+SUMIF(E39:AI39,"=РН/РВ",E40:AI40)+SUMIFS(E40:AI40,E39:AI39,"=Р2",E40:AI40,"=8"),0)</f>
        <v>0</v>
      </c>
      <c r="AN39" s="211">
        <f>IFERROR(SUMIF(E39:AI39,"=ВЧ",E40:AI40)+SUMIF(E39:AI39,"=ВЧ/РВ",E40:AI40)+CEILING(COUNTIFS(E39:AI39,"=Р2",E40:AI40,"=7")*4,1)+CEILING(COUNTIFS(E39:AI39,"=Р2/РВ",E40:AI40,"=7")*4,1)+SUMIFS(E40:AI40,E39:AI39,"=Р1/РВ",E40:AI40,"=12")/6+SUMIFS(E40:AI40,E39:AI39,"=ВЧ2/РВ",E40:AI40,"=4")/2+SUMIFS(E40:AI40,E39:AI39,"=Р1",E40:AI40,"=12")/6+SUMIFS(E40:AI40,E39:AI39,"=Р1",E40:AI40,"=8")/4+SUMIF(E39:AI39,"=ВЧ1",E40:AI40)/2,0)</f>
        <v>0</v>
      </c>
      <c r="AO39" s="211">
        <f>IFERROR(SUMIF(E39:AI39,"=РВ",E40:AI40)+SUMIF(E39:AI39,"=ВЧ/РВ",E40:AI40)+SUMIF(E39:AI39,"=РН/РВ",E40:AI40)+SUMIF(E39:AI39,"=Р1/РВ",E40:AI40)+SUMIF(E39:AI39,"=ВЧ2/РВ",E40:AI40)+SUMIF(E39:AI39,"=Р2/РВ",E40:AI40),0)</f>
        <v>0</v>
      </c>
      <c r="AP39" s="211">
        <f>IFERROR(COUNTIF(E39:AI39,"=ВВ")+COUNTIF(E39:AI39,"=Р1/ВВ")+COUNTIF(E39:AI39,"=РН/ВВ")+COUNTIF(E39:AI39,"=ВЧ/ВВ"),0)</f>
        <v>10</v>
      </c>
      <c r="AQ39" s="211">
        <f>SUM(AR39:AZ39)</f>
        <v>0</v>
      </c>
      <c r="AR39" s="211">
        <f>IFERROR(SUMIF(E39:AI39,"=В",E40:AI40)+SUMIF(E39:AI39,"=Ч",E40:AI40)+SUMIF(E39:AI39,"=ВБ",E40:AI40),0)</f>
        <v>0</v>
      </c>
      <c r="AS39" s="211">
        <f>IFERROR(SUMIF(E39:AI39,"=Н",E40:AI40),0)</f>
        <v>0</v>
      </c>
      <c r="AT39" s="211">
        <f>IFERROR(SUMIF(E39:AI39,"=НА",E40:AI40),0)</f>
        <v>0</v>
      </c>
      <c r="AU39" s="211">
        <f>IFERROR(SUMIF(E39:AI39,"=ВП",E40:AI40),0)</f>
        <v>0</v>
      </c>
      <c r="AV39" s="211">
        <f>IFERROR(SUMIF(E39:AI39,"=ДД",E40:AI40),0)</f>
        <v>0</v>
      </c>
      <c r="AW39" s="202">
        <f>IFERROR(SUMIF(E39:AI39,"=ДО",E40:AI40),0)</f>
        <v>0</v>
      </c>
      <c r="AX39" s="211">
        <f>IFERROR(SUMIF(E39:AI39,"=ТН",E40:AI40),0)</f>
        <v>0</v>
      </c>
      <c r="AY39" s="211">
        <f>IFERROR(SUMIF(E39:AI39,"=ВД",E40:AI40),0)</f>
        <v>0</v>
      </c>
      <c r="AZ39" s="312">
        <f>IFERROR(SUMIF(E39:AI39,"=ІН",E40:AI40),0)+SUMIF(E39:AI39,"=НЗ",E40:AI40)</f>
        <v>0</v>
      </c>
    </row>
    <row r="40" spans="1:52" ht="20.100000000000001" customHeight="1" thickBot="1" x14ac:dyDescent="0.25">
      <c r="A40" s="290"/>
      <c r="B40" s="229"/>
      <c r="C40" s="229"/>
      <c r="D40" s="280"/>
      <c r="E40" s="192"/>
      <c r="F40" s="192"/>
      <c r="G40" s="192">
        <v>8.1999999999999993</v>
      </c>
      <c r="H40" s="192">
        <v>8.1999999999999993</v>
      </c>
      <c r="I40" s="192">
        <v>8.1999999999999993</v>
      </c>
      <c r="J40" s="192">
        <v>8.1999999999999993</v>
      </c>
      <c r="K40" s="192">
        <v>7</v>
      </c>
      <c r="L40" s="192"/>
      <c r="M40" s="192"/>
      <c r="N40" s="192">
        <v>8.1999999999999993</v>
      </c>
      <c r="O40" s="192">
        <v>8.1999999999999993</v>
      </c>
      <c r="P40" s="192">
        <v>8.1999999999999993</v>
      </c>
      <c r="Q40" s="192">
        <v>8.1999999999999993</v>
      </c>
      <c r="R40" s="192">
        <v>7.2</v>
      </c>
      <c r="S40" s="192"/>
      <c r="T40" s="192"/>
      <c r="U40" s="192">
        <v>8.1999999999999993</v>
      </c>
      <c r="V40" s="192">
        <v>8.1999999999999993</v>
      </c>
      <c r="W40" s="192">
        <v>8.1999999999999993</v>
      </c>
      <c r="X40" s="192">
        <v>8.1999999999999993</v>
      </c>
      <c r="Y40" s="192">
        <v>7.2</v>
      </c>
      <c r="Z40" s="192"/>
      <c r="AA40" s="192"/>
      <c r="AB40" s="192">
        <v>8.1999999999999993</v>
      </c>
      <c r="AC40" s="192">
        <v>8.1999999999999993</v>
      </c>
      <c r="AD40" s="192">
        <v>8.1999999999999993</v>
      </c>
      <c r="AE40" s="192">
        <v>8.1999999999999993</v>
      </c>
      <c r="AF40" s="192">
        <v>7.2</v>
      </c>
      <c r="AG40" s="192"/>
      <c r="AH40" s="192"/>
      <c r="AI40" s="192">
        <v>8.1999999999999993</v>
      </c>
      <c r="AJ40" s="297"/>
      <c r="AK40" s="203"/>
      <c r="AL40" s="311"/>
      <c r="AM40" s="311"/>
      <c r="AN40" s="212"/>
      <c r="AO40" s="311"/>
      <c r="AP40" s="212"/>
      <c r="AQ40" s="311"/>
      <c r="AR40" s="311"/>
      <c r="AS40" s="311"/>
      <c r="AT40" s="311"/>
      <c r="AU40" s="311"/>
      <c r="AV40" s="311"/>
      <c r="AW40" s="203"/>
      <c r="AX40" s="311"/>
      <c r="AY40" s="311"/>
      <c r="AZ40" s="327"/>
    </row>
    <row r="41" spans="1:52" ht="20.100000000000001" customHeight="1" x14ac:dyDescent="0.2">
      <c r="A41" s="289">
        <f t="shared" ref="A41" si="10">A39+1</f>
        <v>13</v>
      </c>
      <c r="B41" s="228" t="s">
        <v>127</v>
      </c>
      <c r="C41" s="228">
        <v>268</v>
      </c>
      <c r="D41" s="279" t="s">
        <v>65</v>
      </c>
      <c r="E41" s="191" t="s">
        <v>142</v>
      </c>
      <c r="F41" s="191" t="s">
        <v>142</v>
      </c>
      <c r="G41" s="191" t="s">
        <v>4</v>
      </c>
      <c r="H41" s="191" t="s">
        <v>4</v>
      </c>
      <c r="I41" s="191" t="s">
        <v>4</v>
      </c>
      <c r="J41" s="191" t="s">
        <v>4</v>
      </c>
      <c r="K41" s="191" t="s">
        <v>4</v>
      </c>
      <c r="L41" s="191" t="s">
        <v>142</v>
      </c>
      <c r="M41" s="191" t="s">
        <v>142</v>
      </c>
      <c r="N41" s="191" t="s">
        <v>4</v>
      </c>
      <c r="O41" s="191" t="s">
        <v>4</v>
      </c>
      <c r="P41" s="191" t="s">
        <v>4</v>
      </c>
      <c r="Q41" s="191" t="s">
        <v>4</v>
      </c>
      <c r="R41" s="191" t="s">
        <v>4</v>
      </c>
      <c r="S41" s="191" t="s">
        <v>142</v>
      </c>
      <c r="T41" s="191" t="s">
        <v>142</v>
      </c>
      <c r="U41" s="191" t="s">
        <v>4</v>
      </c>
      <c r="V41" s="191" t="s">
        <v>4</v>
      </c>
      <c r="W41" s="191" t="s">
        <v>4</v>
      </c>
      <c r="X41" s="191" t="s">
        <v>4</v>
      </c>
      <c r="Y41" s="191" t="s">
        <v>4</v>
      </c>
      <c r="Z41" s="191" t="s">
        <v>142</v>
      </c>
      <c r="AA41" s="191" t="s">
        <v>142</v>
      </c>
      <c r="AB41" s="191" t="s">
        <v>4</v>
      </c>
      <c r="AC41" s="191" t="s">
        <v>4</v>
      </c>
      <c r="AD41" s="191" t="s">
        <v>4</v>
      </c>
      <c r="AE41" s="191" t="s">
        <v>4</v>
      </c>
      <c r="AF41" s="191" t="s">
        <v>4</v>
      </c>
      <c r="AG41" s="191" t="s">
        <v>142</v>
      </c>
      <c r="AH41" s="191" t="s">
        <v>142</v>
      </c>
      <c r="AI41" s="191" t="s">
        <v>4</v>
      </c>
      <c r="AJ41" s="294">
        <f>IFERROR(COUNTIF(E41:AI41,"=Р")+COUNTIF(E41:AI41,"=Р1")+COUNTIF(E41:AI41,"=ВЧ")+COUNTIF(E41:AI41,"=РН")+COUNTIF(E41:AI41,"=Р2")+COUNTIF(E41:AI41,"=Р1/РВ")+COUNTIF(E41:AI41,"=Р2/РВ")+COUNTIF(E41:AI41,"=ВЧ/РВ")+COUNTIF(E41:AI41,"=РН/РВ"),0)</f>
        <v>21</v>
      </c>
      <c r="AK41" s="202">
        <f>IFERROR(SUMIF(E41:AI41,"=Р2",E42:AI42)+SUMIF(E41:AI41,"=ВЧ/РВ",E42:AI42)+SUMIF(E41:AI41,"=РН/РВ",E42:AI42)+SUMIF(E41:AI41,"=Р1/РВ",E42:AI42)+SUMIF(E41:AI41,"=ВЧ2/РВ",E42:AI42)+SUMIF(E41:AI41,"=Р2/РВ",E42:AI42)+SUMIF(E41:AI41,"=Р",E42:AI42)+SUMIF(E41:AI41,"=Р1",E42:AI42)+SUMIF(E41:AI41,"=ВЧ1",E42:AI42)+SUMIF(E41:AI41,"=РН",E42:AI42)+SUMIF(E41:AI41,"=ВЧ",E42:AI42),0)+AL41</f>
        <v>167.99999999999997</v>
      </c>
      <c r="AL41" s="211">
        <f>IFERROR(SUMIF(E41:AI41,"=НУ",E42:AI42),0)</f>
        <v>0</v>
      </c>
      <c r="AM41" s="211">
        <f>IFERROR(SUMIF(E41:AI41,"=РН",E42:AI42)+SUMIF(E41:AI41,"=РН/РВ",E42:AI42)+SUMIFS(E42:AI42,E41:AI41,"=Р2",E42:AI42,"=8"),0)</f>
        <v>0</v>
      </c>
      <c r="AN41" s="211">
        <f>IFERROR(SUMIF(E41:AI41,"=ВЧ",E42:AI42)+SUMIF(E41:AI41,"=ВЧ/РВ",E42:AI42)+CEILING(COUNTIFS(E41:AI41,"=Р2",E42:AI42,"=7")*4,1)+CEILING(COUNTIFS(E41:AI41,"=Р2/РВ",E42:AI42,"=7")*4,1)+SUMIFS(E42:AI42,E41:AI41,"=Р1/РВ",E42:AI42,"=12")/6+SUMIFS(E42:AI42,E41:AI41,"=ВЧ2/РВ",E42:AI42,"=4")/2+SUMIFS(E42:AI42,E41:AI41,"=Р1",E42:AI42,"=12")/6+SUMIFS(E42:AI42,E41:AI41,"=Р1",E42:AI42,"=8")/4+SUMIF(E41:AI41,"=ВЧ1",E42:AI42)/2,0)</f>
        <v>0</v>
      </c>
      <c r="AO41" s="211">
        <f>IFERROR(SUMIF(E41:AI41,"=РВ",E42:AI42)+SUMIF(E41:AI41,"=ВЧ/РВ",E42:AI42)+SUMIF(E41:AI41,"=РН/РВ",E42:AI42)+SUMIF(E41:AI41,"=Р1/РВ",E42:AI42)+SUMIF(E41:AI41,"=ВЧ2/РВ",E42:AI42)+SUMIF(E41:AI41,"=Р2/РВ",E42:AI42),0)</f>
        <v>0</v>
      </c>
      <c r="AP41" s="211">
        <f t="shared" ref="AP41:AP51" si="11">IFERROR(COUNTIF(E41:AI41,"=ВВ")+COUNTIF(E41:AI41,"=Р1/ВВ")+COUNTIF(E41:AI41,"=РН/ВВ")+COUNTIF(E41:AI41,"=ВЧ/ВВ"),0)</f>
        <v>10</v>
      </c>
      <c r="AQ41" s="211">
        <f>SUM(AR41:AZ41)</f>
        <v>0</v>
      </c>
      <c r="AR41" s="211">
        <f>IFERROR(SUMIF(E41:AI41,"=В",E42:AI42)+SUMIF(E41:AI41,"=Ч",E42:AI42)+SUMIF(E41:AI41,"=ВБ",E42:AI42),0)</f>
        <v>0</v>
      </c>
      <c r="AS41" s="211">
        <f>IFERROR(SUMIF(E41:AI41,"=Н",E42:AI42),0)</f>
        <v>0</v>
      </c>
      <c r="AT41" s="211">
        <f>IFERROR(SUMIF(E41:AI41,"=НА",E42:AI42),0)</f>
        <v>0</v>
      </c>
      <c r="AU41" s="211">
        <f>IFERROR(SUMIF(E41:AI41,"=ВП",E42:AI42),0)</f>
        <v>0</v>
      </c>
      <c r="AV41" s="211">
        <f>IFERROR(SUMIF(E41:AI41,"=ДД",E42:AI42),0)</f>
        <v>0</v>
      </c>
      <c r="AW41" s="202">
        <f>IFERROR(SUMIF(E41:AI41,"=ДО",E42:AI42),0)</f>
        <v>0</v>
      </c>
      <c r="AX41" s="211">
        <f>IFERROR(SUMIF(E41:AI41,"=ТН",E42:AI42),0)</f>
        <v>0</v>
      </c>
      <c r="AY41" s="211">
        <f>IFERROR(SUMIF(E41:AI41,"=ВД",E42:AI42),0)</f>
        <v>0</v>
      </c>
      <c r="AZ41" s="312">
        <f>IFERROR(SUMIF(E41:AI41,"=ІН",E42:AI42),0)+SUMIF(E41:AI41,"=НЗ",E42:AI42)</f>
        <v>0</v>
      </c>
    </row>
    <row r="42" spans="1:52" ht="20.100000000000001" customHeight="1" thickBot="1" x14ac:dyDescent="0.25">
      <c r="A42" s="290"/>
      <c r="B42" s="229"/>
      <c r="C42" s="229"/>
      <c r="D42" s="280"/>
      <c r="E42" s="192"/>
      <c r="F42" s="192"/>
      <c r="G42" s="192">
        <v>8.1999999999999993</v>
      </c>
      <c r="H42" s="192">
        <v>8.1999999999999993</v>
      </c>
      <c r="I42" s="192">
        <v>8.1999999999999993</v>
      </c>
      <c r="J42" s="192">
        <v>8.1999999999999993</v>
      </c>
      <c r="K42" s="192">
        <v>7</v>
      </c>
      <c r="L42" s="192"/>
      <c r="M42" s="192"/>
      <c r="N42" s="192">
        <v>8.1999999999999993</v>
      </c>
      <c r="O42" s="192">
        <v>8.1999999999999993</v>
      </c>
      <c r="P42" s="192">
        <v>8.1999999999999993</v>
      </c>
      <c r="Q42" s="192">
        <v>8.1999999999999993</v>
      </c>
      <c r="R42" s="192">
        <v>7.2</v>
      </c>
      <c r="S42" s="192"/>
      <c r="T42" s="192"/>
      <c r="U42" s="192">
        <v>8.1999999999999993</v>
      </c>
      <c r="V42" s="192">
        <v>8.1999999999999993</v>
      </c>
      <c r="W42" s="192">
        <v>8.1999999999999993</v>
      </c>
      <c r="X42" s="192">
        <v>8.1999999999999993</v>
      </c>
      <c r="Y42" s="192">
        <v>7.2</v>
      </c>
      <c r="Z42" s="192"/>
      <c r="AA42" s="192"/>
      <c r="AB42" s="192">
        <v>8.1999999999999993</v>
      </c>
      <c r="AC42" s="192">
        <v>8.1999999999999993</v>
      </c>
      <c r="AD42" s="192">
        <v>8.1999999999999993</v>
      </c>
      <c r="AE42" s="192">
        <v>8.1999999999999993</v>
      </c>
      <c r="AF42" s="192">
        <v>7.2</v>
      </c>
      <c r="AG42" s="192"/>
      <c r="AH42" s="192"/>
      <c r="AI42" s="192">
        <v>8.1999999999999993</v>
      </c>
      <c r="AJ42" s="297"/>
      <c r="AK42" s="203"/>
      <c r="AL42" s="311"/>
      <c r="AM42" s="311"/>
      <c r="AN42" s="212"/>
      <c r="AO42" s="311"/>
      <c r="AP42" s="212"/>
      <c r="AQ42" s="311"/>
      <c r="AR42" s="311"/>
      <c r="AS42" s="311"/>
      <c r="AT42" s="311"/>
      <c r="AU42" s="311"/>
      <c r="AV42" s="311"/>
      <c r="AW42" s="203"/>
      <c r="AX42" s="311"/>
      <c r="AY42" s="311"/>
      <c r="AZ42" s="327"/>
    </row>
    <row r="43" spans="1:52" ht="18.75" customHeight="1" x14ac:dyDescent="0.2">
      <c r="A43" s="289">
        <f t="shared" ref="A43" si="12">A41+1</f>
        <v>14</v>
      </c>
      <c r="B43" s="228" t="s">
        <v>129</v>
      </c>
      <c r="C43" s="228">
        <v>1915</v>
      </c>
      <c r="D43" s="279" t="s">
        <v>65</v>
      </c>
      <c r="E43" s="191" t="s">
        <v>142</v>
      </c>
      <c r="F43" s="191" t="s">
        <v>142</v>
      </c>
      <c r="G43" s="191" t="s">
        <v>4</v>
      </c>
      <c r="H43" s="191" t="s">
        <v>4</v>
      </c>
      <c r="I43" s="191" t="s">
        <v>4</v>
      </c>
      <c r="J43" s="191" t="s">
        <v>4</v>
      </c>
      <c r="K43" s="191" t="s">
        <v>4</v>
      </c>
      <c r="L43" s="191" t="s">
        <v>142</v>
      </c>
      <c r="M43" s="191" t="s">
        <v>142</v>
      </c>
      <c r="N43" s="191" t="s">
        <v>3</v>
      </c>
      <c r="O43" s="191" t="s">
        <v>3</v>
      </c>
      <c r="P43" s="191" t="s">
        <v>3</v>
      </c>
      <c r="Q43" s="191" t="s">
        <v>3</v>
      </c>
      <c r="R43" s="191" t="s">
        <v>3</v>
      </c>
      <c r="S43" s="191" t="s">
        <v>3</v>
      </c>
      <c r="T43" s="191" t="s">
        <v>3</v>
      </c>
      <c r="U43" s="191" t="s">
        <v>3</v>
      </c>
      <c r="V43" s="191" t="s">
        <v>3</v>
      </c>
      <c r="W43" s="191" t="s">
        <v>3</v>
      </c>
      <c r="X43" s="191" t="s">
        <v>3</v>
      </c>
      <c r="Y43" s="191" t="s">
        <v>3</v>
      </c>
      <c r="Z43" s="191" t="s">
        <v>3</v>
      </c>
      <c r="AA43" s="191" t="s">
        <v>3</v>
      </c>
      <c r="AB43" s="191" t="s">
        <v>3</v>
      </c>
      <c r="AC43" s="191" t="s">
        <v>3</v>
      </c>
      <c r="AD43" s="191" t="s">
        <v>3</v>
      </c>
      <c r="AE43" s="191" t="s">
        <v>3</v>
      </c>
      <c r="AF43" s="191" t="s">
        <v>3</v>
      </c>
      <c r="AG43" s="191" t="s">
        <v>3</v>
      </c>
      <c r="AH43" s="191" t="s">
        <v>3</v>
      </c>
      <c r="AI43" s="191" t="s">
        <v>3</v>
      </c>
      <c r="AJ43" s="294">
        <f>IFERROR(COUNTIF(E43:AI43,"=Р")+COUNTIF(E43:AI43,"=Р1")+COUNTIF(E43:AI43,"=ВЧ")+COUNTIF(E43:AI43,"=РН")+COUNTIF(E43:AI43,"=Р2")+COUNTIF(E43:AI43,"=Р1/РВ")+COUNTIF(E43:AI43,"=Р2/РВ")+COUNTIF(E43:AI43,"=ВЧ/РВ")+COUNTIF(E43:AI43,"=РН/РВ"),0)</f>
        <v>5</v>
      </c>
      <c r="AK43" s="202">
        <f>IFERROR(SUMIF(E43:AI43,"=Р2",E44:AI44)+SUMIF(E43:AI43,"=ВЧ/РВ",E44:AI44)+SUMIF(E43:AI43,"=РН/РВ",E44:AI44)+SUMIF(E43:AI43,"=Р1/РВ",E44:AI44)+SUMIF(E43:AI43,"=ВЧ2/РВ",E44:AI44)+SUMIF(E43:AI43,"=Р2/РВ",E44:AI44)+SUMIF(E43:AI43,"=Р",E44:AI44)+SUMIF(E43:AI43,"=Р1",E44:AI44)+SUMIF(E43:AI43,"=ВЧ1",E44:AI44)+SUMIF(E43:AI43,"=РН",E44:AI44)+SUMIF(E43:AI43,"=ВЧ",E44:AI44),0)+AL43</f>
        <v>39.799999999999997</v>
      </c>
      <c r="AL43" s="211">
        <f>IFERROR(SUMIF(E43:AI43,"=НУ",E44:AI44),0)</f>
        <v>0</v>
      </c>
      <c r="AM43" s="211">
        <f>IFERROR(SUMIF(E43:AI43,"=РН",E44:AI44)+SUMIF(E43:AI43,"=РН/РВ",E44:AI44)+SUMIFS(E44:AI44,E43:AI43,"=Р2",E44:AI44,"=8"),0)</f>
        <v>0</v>
      </c>
      <c r="AN43" s="211">
        <f>IFERROR(SUMIF(E43:AI43,"=ВЧ",E44:AI44)+SUMIF(E43:AI43,"=ВЧ/РВ",E44:AI44)+CEILING(COUNTIFS(E43:AI43,"=Р2",E44:AI44,"=7")*4,1)+CEILING(COUNTIFS(E43:AI43,"=Р2/РВ",E44:AI44,"=7")*4,1)+SUMIFS(E44:AI44,E43:AI43,"=Р1/РВ",E44:AI44,"=12")/6+SUMIFS(E44:AI44,E43:AI43,"=ВЧ2/РВ",E44:AI44,"=4")/2+SUMIFS(E44:AI44,E43:AI43,"=Р1",E44:AI44,"=12")/6+SUMIFS(E44:AI44,E43:AI43,"=Р1",E44:AI44,"=8")/4+SUMIF(E43:AI43,"=ВЧ1",E44:AI44)/2,0)</f>
        <v>0</v>
      </c>
      <c r="AO43" s="211">
        <f>IFERROR(SUMIF(E43:AI43,"=РВ",E44:AI44)+SUMIF(E43:AI43,"=ВЧ/РВ",E44:AI44)+SUMIF(E43:AI43,"=РН/РВ",E44:AI44)+SUMIF(E43:AI43,"=Р1/РВ",E44:AI44)+SUMIF(E43:AI43,"=ВЧ2/РВ",E44:AI44)+SUMIF(E43:AI43,"=Р2/РВ",E44:AI44),0)</f>
        <v>0</v>
      </c>
      <c r="AP43" s="211">
        <f t="shared" si="11"/>
        <v>4</v>
      </c>
      <c r="AQ43" s="211">
        <f>SUM(AR43:AZ43)</f>
        <v>128.20000000000002</v>
      </c>
      <c r="AR43" s="211">
        <f>IFERROR(SUMIF(E43:AI43,"=В",E44:AI44)+SUMIF(E43:AI43,"=Ч",E44:AI44)+SUMIF(E43:AI43,"=ВБ",E44:AI44),0)</f>
        <v>128.20000000000002</v>
      </c>
      <c r="AS43" s="211">
        <f>IFERROR(SUMIF(E43:AI43,"=Н",E44:AI44),0)</f>
        <v>0</v>
      </c>
      <c r="AT43" s="211">
        <f>IFERROR(SUMIF(E43:AI43,"=НА",E44:AI44),0)</f>
        <v>0</v>
      </c>
      <c r="AU43" s="211">
        <f>IFERROR(SUMIF(E43:AI43,"=ВП",E44:AI44),0)</f>
        <v>0</v>
      </c>
      <c r="AV43" s="211">
        <f>IFERROR(SUMIF(E43:AI43,"=ДД",E44:AI44),0)</f>
        <v>0</v>
      </c>
      <c r="AW43" s="202">
        <f>IFERROR(SUMIF(E43:AI43,"=ДО",E44:AI44),0)</f>
        <v>0</v>
      </c>
      <c r="AX43" s="211">
        <f>IFERROR(SUMIF(E43:AI43,"=ТН",E44:AI44),0)</f>
        <v>0</v>
      </c>
      <c r="AY43" s="211">
        <f>IFERROR(SUMIF(E43:AI43,"=ВД",E44:AI44),0)</f>
        <v>0</v>
      </c>
      <c r="AZ43" s="312">
        <f>IFERROR(SUMIF(E43:AI43,"=ІН",E44:AI44),0)+SUMIF(E43:AI43,"=НЗ",E44:AI44)</f>
        <v>0</v>
      </c>
    </row>
    <row r="44" spans="1:52" ht="20.100000000000001" customHeight="1" thickBot="1" x14ac:dyDescent="0.25">
      <c r="A44" s="290"/>
      <c r="B44" s="229"/>
      <c r="C44" s="229"/>
      <c r="D44" s="280"/>
      <c r="E44" s="192"/>
      <c r="F44" s="192"/>
      <c r="G44" s="192">
        <v>8.1999999999999993</v>
      </c>
      <c r="H44" s="192">
        <v>8.1999999999999993</v>
      </c>
      <c r="I44" s="192">
        <v>8.1999999999999993</v>
      </c>
      <c r="J44" s="192">
        <v>8.1999999999999993</v>
      </c>
      <c r="K44" s="192">
        <v>7</v>
      </c>
      <c r="L44" s="192"/>
      <c r="M44" s="192"/>
      <c r="N44" s="192">
        <v>8.1999999999999993</v>
      </c>
      <c r="O44" s="192">
        <v>8.1999999999999993</v>
      </c>
      <c r="P44" s="192">
        <v>8.1999999999999993</v>
      </c>
      <c r="Q44" s="192">
        <v>8.1999999999999993</v>
      </c>
      <c r="R44" s="192">
        <v>7.2</v>
      </c>
      <c r="S44" s="192"/>
      <c r="T44" s="192"/>
      <c r="U44" s="192">
        <v>8.1999999999999993</v>
      </c>
      <c r="V44" s="192">
        <v>8.1999999999999993</v>
      </c>
      <c r="W44" s="192">
        <v>8.1999999999999993</v>
      </c>
      <c r="X44" s="192">
        <v>8.1999999999999993</v>
      </c>
      <c r="Y44" s="192">
        <v>7.2</v>
      </c>
      <c r="Z44" s="192"/>
      <c r="AA44" s="192"/>
      <c r="AB44" s="192">
        <v>8.1999999999999993</v>
      </c>
      <c r="AC44" s="192">
        <v>8.1999999999999993</v>
      </c>
      <c r="AD44" s="192">
        <v>8.1999999999999993</v>
      </c>
      <c r="AE44" s="192">
        <v>8.1999999999999993</v>
      </c>
      <c r="AF44" s="192">
        <v>7.2</v>
      </c>
      <c r="AG44" s="192"/>
      <c r="AH44" s="192"/>
      <c r="AI44" s="192">
        <v>8.1999999999999993</v>
      </c>
      <c r="AJ44" s="297"/>
      <c r="AK44" s="203"/>
      <c r="AL44" s="311"/>
      <c r="AM44" s="311"/>
      <c r="AN44" s="212"/>
      <c r="AO44" s="311"/>
      <c r="AP44" s="212"/>
      <c r="AQ44" s="311"/>
      <c r="AR44" s="311"/>
      <c r="AS44" s="311"/>
      <c r="AT44" s="311"/>
      <c r="AU44" s="311"/>
      <c r="AV44" s="311"/>
      <c r="AW44" s="203"/>
      <c r="AX44" s="311"/>
      <c r="AY44" s="311"/>
      <c r="AZ44" s="327"/>
    </row>
    <row r="45" spans="1:52" ht="20.100000000000001" customHeight="1" x14ac:dyDescent="0.2">
      <c r="A45" s="289">
        <f t="shared" ref="A45" si="13">A43+1</f>
        <v>15</v>
      </c>
      <c r="B45" s="228" t="s">
        <v>329</v>
      </c>
      <c r="C45" s="228">
        <v>1634</v>
      </c>
      <c r="D45" s="279" t="s">
        <v>65</v>
      </c>
      <c r="E45" s="191" t="s">
        <v>142</v>
      </c>
      <c r="F45" s="191" t="s">
        <v>142</v>
      </c>
      <c r="G45" s="191" t="s">
        <v>4</v>
      </c>
      <c r="H45" s="191" t="s">
        <v>4</v>
      </c>
      <c r="I45" s="191" t="s">
        <v>4</v>
      </c>
      <c r="J45" s="191" t="s">
        <v>4</v>
      </c>
      <c r="K45" s="191" t="s">
        <v>4</v>
      </c>
      <c r="L45" s="191" t="s">
        <v>142</v>
      </c>
      <c r="M45" s="191" t="s">
        <v>142</v>
      </c>
      <c r="N45" s="191" t="s">
        <v>4</v>
      </c>
      <c r="O45" s="191" t="s">
        <v>4</v>
      </c>
      <c r="P45" s="191" t="s">
        <v>4</v>
      </c>
      <c r="Q45" s="191" t="s">
        <v>4</v>
      </c>
      <c r="R45" s="191" t="s">
        <v>4</v>
      </c>
      <c r="S45" s="191" t="s">
        <v>142</v>
      </c>
      <c r="T45" s="191" t="s">
        <v>142</v>
      </c>
      <c r="U45" s="191" t="s">
        <v>4</v>
      </c>
      <c r="V45" s="191" t="s">
        <v>4</v>
      </c>
      <c r="W45" s="191" t="s">
        <v>4</v>
      </c>
      <c r="X45" s="191" t="s">
        <v>4</v>
      </c>
      <c r="Y45" s="191" t="s">
        <v>4</v>
      </c>
      <c r="Z45" s="191" t="s">
        <v>142</v>
      </c>
      <c r="AA45" s="191" t="s">
        <v>142</v>
      </c>
      <c r="AB45" s="191" t="s">
        <v>4</v>
      </c>
      <c r="AC45" s="191" t="s">
        <v>4</v>
      </c>
      <c r="AD45" s="191" t="s">
        <v>4</v>
      </c>
      <c r="AE45" s="191" t="s">
        <v>4</v>
      </c>
      <c r="AF45" s="191" t="s">
        <v>4</v>
      </c>
      <c r="AG45" s="191" t="s">
        <v>142</v>
      </c>
      <c r="AH45" s="191" t="s">
        <v>142</v>
      </c>
      <c r="AI45" s="191" t="s">
        <v>4</v>
      </c>
      <c r="AJ45" s="294">
        <f>IFERROR(COUNTIF(E45:AI45,"=Р")+COUNTIF(E45:AI45,"=Р1")+COUNTIF(E45:AI45,"=ВЧ")+COUNTIF(E45:AI45,"=РН")+COUNTIF(E45:AI45,"=Р2")+COUNTIF(E45:AI45,"=Р1/РВ")+COUNTIF(E45:AI45,"=Р2/РВ")+COUNTIF(E45:AI45,"=ВЧ/РВ")+COUNTIF(E45:AI45,"=РН/РВ"),0)</f>
        <v>21</v>
      </c>
      <c r="AK45" s="202">
        <f>IFERROR(SUMIF(E45:AI45,"=Р2",E46:AI46)+SUMIF(E45:AI45,"=ВЧ/РВ",E46:AI46)+SUMIF(E45:AI45,"=РН/РВ",E46:AI46)+SUMIF(E45:AI45,"=Р1/РВ",E46:AI46)+SUMIF(E45:AI45,"=ВЧ2/РВ",E46:AI46)+SUMIF(E45:AI45,"=Р2/РВ",E46:AI46)+SUMIF(E45:AI45,"=Р",E46:AI46)+SUMIF(E45:AI45,"=Р1",E46:AI46)+SUMIF(E45:AI45,"=ВЧ1",E46:AI46)+SUMIF(E45:AI45,"=РН",E46:AI46)+SUMIF(E45:AI45,"=ВЧ",E46:AI46),0)+AL45</f>
        <v>167.99999999999997</v>
      </c>
      <c r="AL45" s="211">
        <f>IFERROR(SUMIF(E45:AI45,"=НУ",E46:AI46),0)</f>
        <v>0</v>
      </c>
      <c r="AM45" s="211">
        <f>IFERROR(SUMIF(E45:AI45,"=РН",E46:AI46)+SUMIF(E45:AI45,"=РН/РВ",E46:AI46)+SUMIFS(E46:AI46,E45:AI45,"=Р2",E46:AI46,"=8"),0)</f>
        <v>0</v>
      </c>
      <c r="AN45" s="211">
        <f>IFERROR(SUMIF(E45:AI45,"=ВЧ",E46:AI46)+SUMIF(E45:AI45,"=ВЧ/РВ",E46:AI46)+CEILING(COUNTIFS(E45:AI45,"=Р2",E46:AI46,"=7")*4,1)+CEILING(COUNTIFS(E45:AI45,"=Р2/РВ",E46:AI46,"=7")*4,1)+SUMIFS(E46:AI46,E45:AI45,"=Р1/РВ",E46:AI46,"=12")/6+SUMIFS(E46:AI46,E45:AI45,"=ВЧ2/РВ",E46:AI46,"=4")/2+SUMIFS(E46:AI46,E45:AI45,"=Р1",E46:AI46,"=12")/6+SUMIFS(E46:AI46,E45:AI45,"=Р1",E46:AI46,"=8")/4+SUMIF(E45:AI45,"=ВЧ1",E46:AI46)/2,0)</f>
        <v>0</v>
      </c>
      <c r="AO45" s="211">
        <f>IFERROR(SUMIF(E45:AI45,"=РВ",E46:AI46)+SUMIF(E45:AI45,"=ВЧ/РВ",E46:AI46)+SUMIF(E45:AI45,"=РН/РВ",E46:AI46)+SUMIF(E45:AI45,"=Р1/РВ",E46:AI46)+SUMIF(E45:AI45,"=ВЧ2/РВ",E46:AI46)+SUMIF(E45:AI45,"=Р2/РВ",E46:AI46),0)</f>
        <v>0</v>
      </c>
      <c r="AP45" s="211">
        <f t="shared" si="11"/>
        <v>10</v>
      </c>
      <c r="AQ45" s="211">
        <f>SUM(AR45:AZ45)</f>
        <v>0</v>
      </c>
      <c r="AR45" s="211">
        <f>IFERROR(SUMIF(E45:AI45,"=В",E46:AI46)+SUMIF(E45:AI45,"=Ч",E46:AI46)+SUMIF(E45:AI45,"=ВБ",E46:AI46),0)</f>
        <v>0</v>
      </c>
      <c r="AS45" s="211">
        <f>IFERROR(SUMIF(E45:AI45,"=Н",E46:AI46),0)</f>
        <v>0</v>
      </c>
      <c r="AT45" s="211">
        <f>IFERROR(SUMIF(E45:AI45,"=НА",E46:AI46),0)</f>
        <v>0</v>
      </c>
      <c r="AU45" s="211">
        <f>IFERROR(SUMIF(E45:AI45,"=ВП",E46:AI46),0)</f>
        <v>0</v>
      </c>
      <c r="AV45" s="211">
        <f>IFERROR(SUMIF(E45:AI45,"=ДД",E46:AI46),0)</f>
        <v>0</v>
      </c>
      <c r="AW45" s="202">
        <f>IFERROR(SUMIF(E45:AI45,"=ДО",E46:AI46),0)</f>
        <v>0</v>
      </c>
      <c r="AX45" s="211">
        <f>IFERROR(SUMIF(E45:AI45,"=ТН",E46:AI46),0)</f>
        <v>0</v>
      </c>
      <c r="AY45" s="211">
        <f>IFERROR(SUMIF(E45:AI45,"=ВД",E46:AI46),0)</f>
        <v>0</v>
      </c>
      <c r="AZ45" s="312">
        <f>IFERROR(SUMIF(E45:AI45,"=ІН",E46:AI46),0)+SUMIF(E45:AI45,"=НЗ",E46:AI46)</f>
        <v>0</v>
      </c>
    </row>
    <row r="46" spans="1:52" ht="16.5" customHeight="1" thickBot="1" x14ac:dyDescent="0.25">
      <c r="A46" s="290"/>
      <c r="B46" s="229"/>
      <c r="C46" s="229"/>
      <c r="D46" s="280"/>
      <c r="E46" s="192"/>
      <c r="F46" s="192"/>
      <c r="G46" s="192">
        <v>8.1999999999999993</v>
      </c>
      <c r="H46" s="192">
        <v>8.1999999999999993</v>
      </c>
      <c r="I46" s="192">
        <v>8.1999999999999993</v>
      </c>
      <c r="J46" s="192">
        <v>8.1999999999999993</v>
      </c>
      <c r="K46" s="192">
        <v>7</v>
      </c>
      <c r="L46" s="192"/>
      <c r="M46" s="192"/>
      <c r="N46" s="192">
        <v>8.1999999999999993</v>
      </c>
      <c r="O46" s="192">
        <v>8.1999999999999993</v>
      </c>
      <c r="P46" s="192">
        <v>8.1999999999999993</v>
      </c>
      <c r="Q46" s="192">
        <v>8.1999999999999993</v>
      </c>
      <c r="R46" s="192">
        <v>7.2</v>
      </c>
      <c r="S46" s="192"/>
      <c r="T46" s="192"/>
      <c r="U46" s="192">
        <v>8.1999999999999993</v>
      </c>
      <c r="V46" s="192">
        <v>8.1999999999999993</v>
      </c>
      <c r="W46" s="192">
        <v>8.1999999999999993</v>
      </c>
      <c r="X46" s="192">
        <v>8.1999999999999993</v>
      </c>
      <c r="Y46" s="192">
        <v>7.2</v>
      </c>
      <c r="Z46" s="192"/>
      <c r="AA46" s="192"/>
      <c r="AB46" s="192">
        <v>8.1999999999999993</v>
      </c>
      <c r="AC46" s="192">
        <v>8.1999999999999993</v>
      </c>
      <c r="AD46" s="192">
        <v>8.1999999999999993</v>
      </c>
      <c r="AE46" s="192">
        <v>8.1999999999999993</v>
      </c>
      <c r="AF46" s="192">
        <v>7.2</v>
      </c>
      <c r="AG46" s="192"/>
      <c r="AH46" s="192"/>
      <c r="AI46" s="192">
        <v>8.1999999999999993</v>
      </c>
      <c r="AJ46" s="297"/>
      <c r="AK46" s="203"/>
      <c r="AL46" s="311"/>
      <c r="AM46" s="311"/>
      <c r="AN46" s="212"/>
      <c r="AO46" s="311"/>
      <c r="AP46" s="212"/>
      <c r="AQ46" s="311"/>
      <c r="AR46" s="311"/>
      <c r="AS46" s="311"/>
      <c r="AT46" s="311"/>
      <c r="AU46" s="311"/>
      <c r="AV46" s="311"/>
      <c r="AW46" s="203"/>
      <c r="AX46" s="311"/>
      <c r="AY46" s="311"/>
      <c r="AZ46" s="327"/>
    </row>
    <row r="47" spans="1:52" ht="20.100000000000001" customHeight="1" x14ac:dyDescent="0.2">
      <c r="A47" s="289">
        <f t="shared" ref="A47" si="14">A45+1</f>
        <v>16</v>
      </c>
      <c r="B47" s="228" t="s">
        <v>288</v>
      </c>
      <c r="C47" s="228">
        <v>1805</v>
      </c>
      <c r="D47" s="279" t="s">
        <v>65</v>
      </c>
      <c r="E47" s="191" t="s">
        <v>354</v>
      </c>
      <c r="F47" s="191" t="s">
        <v>354</v>
      </c>
      <c r="G47" s="191" t="s">
        <v>142</v>
      </c>
      <c r="H47" s="191" t="s">
        <v>354</v>
      </c>
      <c r="I47" s="191" t="s">
        <v>354</v>
      </c>
      <c r="J47" s="191" t="s">
        <v>142</v>
      </c>
      <c r="K47" s="191" t="s">
        <v>354</v>
      </c>
      <c r="L47" s="191" t="s">
        <v>354</v>
      </c>
      <c r="M47" s="191" t="s">
        <v>4</v>
      </c>
      <c r="N47" s="191" t="s">
        <v>354</v>
      </c>
      <c r="O47" s="191" t="s">
        <v>354</v>
      </c>
      <c r="P47" s="191" t="s">
        <v>142</v>
      </c>
      <c r="Q47" s="191" t="s">
        <v>354</v>
      </c>
      <c r="R47" s="191" t="s">
        <v>354</v>
      </c>
      <c r="S47" s="191" t="s">
        <v>4</v>
      </c>
      <c r="T47" s="191" t="s">
        <v>354</v>
      </c>
      <c r="U47" s="191" t="s">
        <v>354</v>
      </c>
      <c r="V47" s="191" t="s">
        <v>142</v>
      </c>
      <c r="W47" s="191" t="s">
        <v>354</v>
      </c>
      <c r="X47" s="191" t="s">
        <v>354</v>
      </c>
      <c r="Y47" s="191" t="s">
        <v>142</v>
      </c>
      <c r="Z47" s="191" t="s">
        <v>354</v>
      </c>
      <c r="AA47" s="191" t="s">
        <v>354</v>
      </c>
      <c r="AB47" s="191" t="s">
        <v>142</v>
      </c>
      <c r="AC47" s="191" t="s">
        <v>354</v>
      </c>
      <c r="AD47" s="191" t="s">
        <v>354</v>
      </c>
      <c r="AE47" s="191" t="s">
        <v>142</v>
      </c>
      <c r="AF47" s="191" t="s">
        <v>354</v>
      </c>
      <c r="AG47" s="191" t="s">
        <v>354</v>
      </c>
      <c r="AH47" s="191" t="s">
        <v>4</v>
      </c>
      <c r="AI47" s="191" t="s">
        <v>354</v>
      </c>
      <c r="AJ47" s="294">
        <f>IFERROR(COUNTIF(E47:AI47,"=Р")+COUNTIF(E47:AI47,"=Р1")+COUNTIF(E47:AI47,"=ВЧ")+COUNTIF(E47:AI47,"=РН")+COUNTIF(E47:AI47,"=Р2")+COUNTIF(E47:AI47,"=Р1/РВ")+COUNTIF(E47:AI47,"=Р2/РВ")+COUNTIF(E47:AI47,"=ВЧ/РВ")+COUNTIF(E47:AI47,"=РН/РВ"),0)</f>
        <v>24</v>
      </c>
      <c r="AK47" s="202">
        <f>IFERROR(SUMIF(E47:AI47,"=Р2",E48:AI48)+SUMIF(E47:AI47,"=ВЧ/РВ",E48:AI48)+SUMIF(E47:AI47,"=РН/РВ",E48:AI48)+SUMIF(E47:AI47,"=Р1/РВ",E48:AI48)+SUMIF(E47:AI47,"=ВЧ2/РВ",E48:AI48)+SUMIF(E47:AI47,"=Р2/РВ",E48:AI48)+SUMIF(E47:AI47,"=Р",E48:AI48)+SUMIF(E47:AI47,"=Р1",E48:AI48)+SUMIF(E47:AI47,"=ВЧ1",E48:AI48)+SUMIF(E47:AI47,"=РН",E48:AI48)+SUMIF(E47:AI47,"=ВЧ",E48:AI48),0)+AL47</f>
        <v>168</v>
      </c>
      <c r="AL47" s="211">
        <f>IFERROR(SUMIF(E47:AI47,"=НУ",E48:AI48),0)</f>
        <v>0</v>
      </c>
      <c r="AM47" s="211">
        <f>IFERROR(SUMIF(E47:AI47,"=РН",E48:AI48)+SUMIF(E47:AI47,"=РН/РВ",E48:AI48)+SUMIFS(E48:AI48,E47:AI47,"=Р2",E48:AI48,"=8"),0)</f>
        <v>80</v>
      </c>
      <c r="AN47" s="211">
        <f>IFERROR(SUMIF(E47:AI47,"=ВЧ",E48:AI48)+SUMIF(E47:AI47,"=ВЧ/РВ",E48:AI48)+CEILING(COUNTIFS(E47:AI47,"=Р2",E48:AI48,"=7")*4,1)+CEILING(COUNTIFS(E47:AI47,"=Р2/РВ",E48:AI48,"=7")*4,1)+SUMIFS(E48:AI48,E47:AI47,"=Р1/РВ",E48:AI48,"=12")/6+SUMIFS(E48:AI48,E47:AI47,"=ВЧ2/РВ",E48:AI48,"=4")/2+SUMIFS(E48:AI48,E47:AI47,"=Р1",E48:AI48,"=12")/6+SUMIFS(E48:AI48,E47:AI47,"=Р1",E48:AI48,"=8")/4+SUMIF(E47:AI47,"=ВЧ1",E48:AI48)/2,0)</f>
        <v>44</v>
      </c>
      <c r="AO47" s="211">
        <f>IFERROR(SUMIF(E47:AI47,"=РВ",E48:AI48)+SUMIF(E47:AI47,"=ВЧ/РВ",E48:AI48)+SUMIF(E47:AI47,"=РН/РВ",E48:AI48)+SUMIF(E47:AI47,"=Р1/РВ",E48:AI48)+SUMIF(E47:AI47,"=ВЧ2/РВ",E48:AI48)+SUMIF(E47:AI47,"=Р2/РВ",E48:AI48),0)</f>
        <v>0</v>
      </c>
      <c r="AP47" s="211">
        <f t="shared" si="11"/>
        <v>7</v>
      </c>
      <c r="AQ47" s="211">
        <f>SUM(AR47:AZ47)</f>
        <v>0</v>
      </c>
      <c r="AR47" s="211">
        <f>IFERROR(SUMIF(E47:AI47,"=В",E48:AI48)+SUMIF(E47:AI47,"=Ч",E48:AI48)+SUMIF(E47:AI47,"=ВБ",E48:AI48),0)</f>
        <v>0</v>
      </c>
      <c r="AS47" s="211">
        <f>IFERROR(SUMIF(E47:AI47,"=Н",E48:AI48),0)</f>
        <v>0</v>
      </c>
      <c r="AT47" s="211">
        <f>IFERROR(SUMIF(E47:AI47,"=НА",E48:AI48),0)</f>
        <v>0</v>
      </c>
      <c r="AU47" s="211">
        <f>IFERROR(SUMIF(E47:AI47,"=ВП",E48:AI48),0)</f>
        <v>0</v>
      </c>
      <c r="AV47" s="211">
        <f>IFERROR(SUMIF(E47:AI47,"=ДД",E48:AI48),0)</f>
        <v>0</v>
      </c>
      <c r="AW47" s="202">
        <f>IFERROR(SUMIF(E47:AI47,"=ДО",E48:AI48),0)</f>
        <v>0</v>
      </c>
      <c r="AX47" s="211">
        <f>IFERROR(SUMIF(E47:AI47,"=ТН",E48:AI48),0)</f>
        <v>0</v>
      </c>
      <c r="AY47" s="211">
        <f>IFERROR(SUMIF(E47:AI47,"=ВД",E48:AI48),0)</f>
        <v>0</v>
      </c>
      <c r="AZ47" s="312">
        <f>IFERROR(SUMIF(E47:AI47,"=ІН",E48:AI48),0)+SUMIF(E47:AI47,"=НЗ",E48:AI48)</f>
        <v>0</v>
      </c>
    </row>
    <row r="48" spans="1:52" ht="20.100000000000001" customHeight="1" thickBot="1" x14ac:dyDescent="0.25">
      <c r="A48" s="290"/>
      <c r="B48" s="229"/>
      <c r="C48" s="229"/>
      <c r="D48" s="280"/>
      <c r="E48" s="192">
        <v>7</v>
      </c>
      <c r="F48" s="192">
        <v>8</v>
      </c>
      <c r="G48" s="192"/>
      <c r="H48" s="192">
        <v>7</v>
      </c>
      <c r="I48" s="192">
        <v>8</v>
      </c>
      <c r="J48" s="192"/>
      <c r="K48" s="192">
        <v>7</v>
      </c>
      <c r="L48" s="192">
        <v>8</v>
      </c>
      <c r="M48" s="192">
        <v>3</v>
      </c>
      <c r="N48" s="192">
        <v>7</v>
      </c>
      <c r="O48" s="192">
        <v>8</v>
      </c>
      <c r="P48" s="192"/>
      <c r="Q48" s="192">
        <v>7</v>
      </c>
      <c r="R48" s="192">
        <v>8</v>
      </c>
      <c r="S48" s="192">
        <v>4</v>
      </c>
      <c r="T48" s="192">
        <v>7</v>
      </c>
      <c r="U48" s="192">
        <v>8</v>
      </c>
      <c r="V48" s="192"/>
      <c r="W48" s="192">
        <v>7</v>
      </c>
      <c r="X48" s="192">
        <v>8</v>
      </c>
      <c r="Y48" s="192"/>
      <c r="Z48" s="192">
        <v>7</v>
      </c>
      <c r="AA48" s="192">
        <v>8</v>
      </c>
      <c r="AB48" s="192"/>
      <c r="AC48" s="192">
        <v>7</v>
      </c>
      <c r="AD48" s="192">
        <v>8</v>
      </c>
      <c r="AE48" s="192"/>
      <c r="AF48" s="192">
        <v>7</v>
      </c>
      <c r="AG48" s="192">
        <v>8</v>
      </c>
      <c r="AH48" s="192">
        <v>4</v>
      </c>
      <c r="AI48" s="192">
        <v>7</v>
      </c>
      <c r="AJ48" s="297"/>
      <c r="AK48" s="203"/>
      <c r="AL48" s="311"/>
      <c r="AM48" s="311"/>
      <c r="AN48" s="212"/>
      <c r="AO48" s="311"/>
      <c r="AP48" s="212"/>
      <c r="AQ48" s="311"/>
      <c r="AR48" s="311"/>
      <c r="AS48" s="311"/>
      <c r="AT48" s="311"/>
      <c r="AU48" s="311"/>
      <c r="AV48" s="311"/>
      <c r="AW48" s="203"/>
      <c r="AX48" s="311"/>
      <c r="AY48" s="311"/>
      <c r="AZ48" s="327"/>
    </row>
    <row r="49" spans="1:52" ht="20.100000000000001" customHeight="1" x14ac:dyDescent="0.2">
      <c r="A49" s="289">
        <f t="shared" ref="A49" si="15">A47+1</f>
        <v>17</v>
      </c>
      <c r="B49" s="228" t="s">
        <v>330</v>
      </c>
      <c r="C49" s="228">
        <v>1836</v>
      </c>
      <c r="D49" s="279" t="s">
        <v>65</v>
      </c>
      <c r="E49" s="191" t="s">
        <v>142</v>
      </c>
      <c r="F49" s="191" t="s">
        <v>142</v>
      </c>
      <c r="G49" s="191" t="s">
        <v>4</v>
      </c>
      <c r="H49" s="191" t="s">
        <v>4</v>
      </c>
      <c r="I49" s="191" t="s">
        <v>4</v>
      </c>
      <c r="J49" s="191" t="s">
        <v>4</v>
      </c>
      <c r="K49" s="191" t="s">
        <v>4</v>
      </c>
      <c r="L49" s="191" t="s">
        <v>142</v>
      </c>
      <c r="M49" s="191" t="s">
        <v>142</v>
      </c>
      <c r="N49" s="191" t="s">
        <v>4</v>
      </c>
      <c r="O49" s="191" t="s">
        <v>4</v>
      </c>
      <c r="P49" s="191" t="s">
        <v>4</v>
      </c>
      <c r="Q49" s="191" t="s">
        <v>4</v>
      </c>
      <c r="R49" s="191" t="s">
        <v>4</v>
      </c>
      <c r="S49" s="191" t="s">
        <v>142</v>
      </c>
      <c r="T49" s="191" t="s">
        <v>142</v>
      </c>
      <c r="U49" s="191" t="s">
        <v>4</v>
      </c>
      <c r="V49" s="191" t="s">
        <v>4</v>
      </c>
      <c r="W49" s="191" t="s">
        <v>4</v>
      </c>
      <c r="X49" s="191" t="s">
        <v>4</v>
      </c>
      <c r="Y49" s="191" t="s">
        <v>4</v>
      </c>
      <c r="Z49" s="191" t="s">
        <v>142</v>
      </c>
      <c r="AA49" s="191" t="s">
        <v>142</v>
      </c>
      <c r="AB49" s="191" t="s">
        <v>4</v>
      </c>
      <c r="AC49" s="191" t="s">
        <v>4</v>
      </c>
      <c r="AD49" s="191" t="s">
        <v>4</v>
      </c>
      <c r="AE49" s="191" t="s">
        <v>4</v>
      </c>
      <c r="AF49" s="191" t="s">
        <v>4</v>
      </c>
      <c r="AG49" s="191" t="s">
        <v>142</v>
      </c>
      <c r="AH49" s="191" t="s">
        <v>142</v>
      </c>
      <c r="AI49" s="191" t="s">
        <v>4</v>
      </c>
      <c r="AJ49" s="294">
        <f>IFERROR(COUNTIF(E49:AI49,"=Р")+COUNTIF(E49:AI49,"=Р1")+COUNTIF(E49:AI49,"=ВЧ")+COUNTIF(E49:AI49,"=РН")+COUNTIF(E49:AI49,"=Р2")+COUNTIF(E49:AI49,"=Р1/РВ")+COUNTIF(E49:AI49,"=Р2/РВ")+COUNTIF(E49:AI49,"=ВЧ/РВ")+COUNTIF(E49:AI49,"=РН/РВ"),0)</f>
        <v>21</v>
      </c>
      <c r="AK49" s="202">
        <f>IFERROR(SUMIF(E49:AI49,"=Р2",E50:AI50)+SUMIF(E49:AI49,"=ВЧ/РВ",E50:AI50)+SUMIF(E49:AI49,"=РН/РВ",E50:AI50)+SUMIF(E49:AI49,"=Р1/РВ",E50:AI50)+SUMIF(E49:AI49,"=ВЧ2/РВ",E50:AI50)+SUMIF(E49:AI49,"=Р2/РВ",E50:AI50)+SUMIF(E49:AI49,"=Р",E50:AI50)+SUMIF(E49:AI49,"=Р1",E50:AI50)+SUMIF(E49:AI49,"=ВЧ1",E50:AI50)+SUMIF(E49:AI49,"=РН",E50:AI50)+SUMIF(E49:AI49,"=ВЧ",E50:AI50),0)+AL49</f>
        <v>167.99999999999997</v>
      </c>
      <c r="AL49" s="211">
        <f>IFERROR(SUMIF(E49:AI49,"=НУ",E50:AI50),0)</f>
        <v>0</v>
      </c>
      <c r="AM49" s="211">
        <f>IFERROR(SUMIF(E49:AI49,"=РН",E50:AI50)+SUMIF(E49:AI49,"=РН/РВ",E50:AI50)+SUMIFS(E50:AI50,E49:AI49,"=Р2",E50:AI50,"=8"),0)</f>
        <v>0</v>
      </c>
      <c r="AN49" s="211">
        <f>IFERROR(SUMIF(E49:AI49,"=ВЧ",E50:AI50)+SUMIF(E49:AI49,"=ВЧ/РВ",E50:AI50)+CEILING(COUNTIFS(E49:AI49,"=Р2",E50:AI50,"=7")*4,1)+CEILING(COUNTIFS(E49:AI49,"=Р2/РВ",E50:AI50,"=7")*4,1)+SUMIFS(E50:AI50,E49:AI49,"=Р1/РВ",E50:AI50,"=12")/6+SUMIFS(E50:AI50,E49:AI49,"=ВЧ2/РВ",E50:AI50,"=4")/2+SUMIFS(E50:AI50,E49:AI49,"=Р1",E50:AI50,"=12")/6+SUMIFS(E50:AI50,E49:AI49,"=Р1",E50:AI50,"=8")/4+SUMIF(E49:AI49,"=ВЧ1",E50:AI50)/2,0)</f>
        <v>0</v>
      </c>
      <c r="AO49" s="211">
        <f>IFERROR(SUMIF(E49:AI49,"=РВ",E50:AI50)+SUMIF(E49:AI49,"=ВЧ/РВ",E50:AI50)+SUMIF(E49:AI49,"=РН/РВ",E50:AI50)+SUMIF(E49:AI49,"=Р1/РВ",E50:AI50)+SUMIF(E49:AI49,"=ВЧ2/РВ",E50:AI50)+SUMIF(E49:AI49,"=Р2/РВ",E50:AI50),0)</f>
        <v>0</v>
      </c>
      <c r="AP49" s="211">
        <f t="shared" si="11"/>
        <v>10</v>
      </c>
      <c r="AQ49" s="211">
        <f>SUM(AR49:AZ49)</f>
        <v>0</v>
      </c>
      <c r="AR49" s="211">
        <f>IFERROR(SUMIF(E49:AI49,"=В",E50:AI50)+SUMIF(E49:AI49,"=Ч",E50:AI50)+SUMIF(E49:AI49,"=ВБ",E50:AI50),0)</f>
        <v>0</v>
      </c>
      <c r="AS49" s="211">
        <f>IFERROR(SUMIF(E49:AI49,"=Н",E50:AI50),0)</f>
        <v>0</v>
      </c>
      <c r="AT49" s="211">
        <f>IFERROR(SUMIF(E49:AI49,"=НА",E50:AI50),0)</f>
        <v>0</v>
      </c>
      <c r="AU49" s="211">
        <f>IFERROR(SUMIF(E49:AI49,"=ВП",E50:AI50),0)</f>
        <v>0</v>
      </c>
      <c r="AV49" s="211">
        <f>IFERROR(SUMIF(E49:AI49,"=ДД",E50:AI50),0)</f>
        <v>0</v>
      </c>
      <c r="AW49" s="202">
        <f>IFERROR(SUMIF(E49:AI49,"=ДО",E50:AI50),0)</f>
        <v>0</v>
      </c>
      <c r="AX49" s="211">
        <f>IFERROR(SUMIF(E49:AI49,"=ТН",E50:AI50),0)</f>
        <v>0</v>
      </c>
      <c r="AY49" s="211">
        <f>IFERROR(SUMIF(E49:AI49,"=ВД",E50:AI50),0)</f>
        <v>0</v>
      </c>
      <c r="AZ49" s="312">
        <f>IFERROR(SUMIF(E49:AI49,"=ІН",E50:AI50),0)+SUMIF(E49:AI49,"=НЗ",E50:AI50)</f>
        <v>0</v>
      </c>
    </row>
    <row r="50" spans="1:52" ht="18" customHeight="1" thickBot="1" x14ac:dyDescent="0.25">
      <c r="A50" s="290"/>
      <c r="B50" s="229"/>
      <c r="C50" s="229"/>
      <c r="D50" s="280"/>
      <c r="E50" s="192"/>
      <c r="F50" s="192"/>
      <c r="G50" s="192">
        <v>8.1999999999999993</v>
      </c>
      <c r="H50" s="192">
        <v>8.1999999999999993</v>
      </c>
      <c r="I50" s="192">
        <v>8.1999999999999993</v>
      </c>
      <c r="J50" s="192">
        <v>8.1999999999999993</v>
      </c>
      <c r="K50" s="192">
        <v>7</v>
      </c>
      <c r="L50" s="192"/>
      <c r="M50" s="192"/>
      <c r="N50" s="192">
        <v>8.1999999999999993</v>
      </c>
      <c r="O50" s="192">
        <v>8.1999999999999993</v>
      </c>
      <c r="P50" s="192">
        <v>8.1999999999999993</v>
      </c>
      <c r="Q50" s="192">
        <v>8.1999999999999993</v>
      </c>
      <c r="R50" s="192">
        <v>7.2</v>
      </c>
      <c r="S50" s="192"/>
      <c r="T50" s="192"/>
      <c r="U50" s="192">
        <v>8.1999999999999993</v>
      </c>
      <c r="V50" s="192">
        <v>8.1999999999999993</v>
      </c>
      <c r="W50" s="192">
        <v>8.1999999999999993</v>
      </c>
      <c r="X50" s="192">
        <v>8.1999999999999993</v>
      </c>
      <c r="Y50" s="192">
        <v>7.2</v>
      </c>
      <c r="Z50" s="192"/>
      <c r="AA50" s="192"/>
      <c r="AB50" s="192">
        <v>8.1999999999999993</v>
      </c>
      <c r="AC50" s="192">
        <v>8.1999999999999993</v>
      </c>
      <c r="AD50" s="192">
        <v>8.1999999999999993</v>
      </c>
      <c r="AE50" s="192">
        <v>8.1999999999999993</v>
      </c>
      <c r="AF50" s="192">
        <v>7.2</v>
      </c>
      <c r="AG50" s="192"/>
      <c r="AH50" s="192"/>
      <c r="AI50" s="192">
        <v>8.1999999999999993</v>
      </c>
      <c r="AJ50" s="297"/>
      <c r="AK50" s="203"/>
      <c r="AL50" s="311"/>
      <c r="AM50" s="311"/>
      <c r="AN50" s="212"/>
      <c r="AO50" s="311"/>
      <c r="AP50" s="212"/>
      <c r="AQ50" s="311"/>
      <c r="AR50" s="311"/>
      <c r="AS50" s="311"/>
      <c r="AT50" s="311"/>
      <c r="AU50" s="311"/>
      <c r="AV50" s="311"/>
      <c r="AW50" s="203"/>
      <c r="AX50" s="311"/>
      <c r="AY50" s="311"/>
      <c r="AZ50" s="327"/>
    </row>
    <row r="51" spans="1:52" ht="20.100000000000001" customHeight="1" x14ac:dyDescent="0.2">
      <c r="A51" s="289">
        <f t="shared" ref="A51" si="16">A49+1</f>
        <v>18</v>
      </c>
      <c r="B51" s="228" t="s">
        <v>331</v>
      </c>
      <c r="C51" s="228">
        <v>1471</v>
      </c>
      <c r="D51" s="279" t="s">
        <v>65</v>
      </c>
      <c r="E51" s="191" t="s">
        <v>142</v>
      </c>
      <c r="F51" s="191" t="s">
        <v>142</v>
      </c>
      <c r="G51" s="191" t="s">
        <v>4</v>
      </c>
      <c r="H51" s="191" t="s">
        <v>4</v>
      </c>
      <c r="I51" s="191" t="s">
        <v>4</v>
      </c>
      <c r="J51" s="191" t="s">
        <v>4</v>
      </c>
      <c r="K51" s="191" t="s">
        <v>4</v>
      </c>
      <c r="L51" s="191" t="s">
        <v>142</v>
      </c>
      <c r="M51" s="191" t="s">
        <v>142</v>
      </c>
      <c r="N51" s="191" t="s">
        <v>4</v>
      </c>
      <c r="O51" s="191" t="s">
        <v>4</v>
      </c>
      <c r="P51" s="191" t="s">
        <v>4</v>
      </c>
      <c r="Q51" s="191" t="s">
        <v>4</v>
      </c>
      <c r="R51" s="191" t="s">
        <v>4</v>
      </c>
      <c r="S51" s="191" t="s">
        <v>142</v>
      </c>
      <c r="T51" s="191" t="s">
        <v>142</v>
      </c>
      <c r="U51" s="191" t="s">
        <v>4</v>
      </c>
      <c r="V51" s="191" t="s">
        <v>4</v>
      </c>
      <c r="W51" s="191" t="s">
        <v>4</v>
      </c>
      <c r="X51" s="191" t="s">
        <v>4</v>
      </c>
      <c r="Y51" s="191" t="s">
        <v>4</v>
      </c>
      <c r="Z51" s="191" t="s">
        <v>142</v>
      </c>
      <c r="AA51" s="191" t="s">
        <v>142</v>
      </c>
      <c r="AB51" s="191" t="s">
        <v>4</v>
      </c>
      <c r="AC51" s="191" t="s">
        <v>4</v>
      </c>
      <c r="AD51" s="191" t="s">
        <v>4</v>
      </c>
      <c r="AE51" s="191" t="s">
        <v>4</v>
      </c>
      <c r="AF51" s="191" t="s">
        <v>4</v>
      </c>
      <c r="AG51" s="191" t="s">
        <v>142</v>
      </c>
      <c r="AH51" s="191" t="s">
        <v>142</v>
      </c>
      <c r="AI51" s="191" t="s">
        <v>4</v>
      </c>
      <c r="AJ51" s="294">
        <f>IFERROR(COUNTIF(E51:AI51,"=Р")+COUNTIF(E51:AI51,"=Р1")+COUNTIF(E51:AI51,"=ВЧ")+COUNTIF(E51:AI51,"=РН")+COUNTIF(E51:AI51,"=Р2")+COUNTIF(E51:AI51,"=Р1/РВ")+COUNTIF(E51:AI51,"=Р2/РВ")+COUNTIF(E51:AI51,"=ВЧ/РВ")+COUNTIF(E51:AI51,"=РН/РВ"),0)</f>
        <v>21</v>
      </c>
      <c r="AK51" s="202">
        <f>IFERROR(SUMIF(E51:AI51,"=Р2",E52:AI52)+SUMIF(E51:AI51,"=ВЧ/РВ",E52:AI52)+SUMIF(E51:AI51,"=РН/РВ",E52:AI52)+SUMIF(E51:AI51,"=Р1/РВ",E52:AI52)+SUMIF(E51:AI51,"=ВЧ2/РВ",E52:AI52)+SUMIF(E51:AI51,"=Р2/РВ",E52:AI52)+SUMIF(E51:AI51,"=Р",E52:AI52)+SUMIF(E51:AI51,"=Р1",E52:AI52)+SUMIF(E51:AI51,"=ВЧ1",E52:AI52)+SUMIF(E51:AI51,"=РН",E52:AI52)+SUMIF(E51:AI51,"=ВЧ",E52:AI52),0)+AL51</f>
        <v>167.99999999999997</v>
      </c>
      <c r="AL51" s="211">
        <f>IFERROR(SUMIF(E51:AI51,"=НУ",E52:AI52),0)</f>
        <v>0</v>
      </c>
      <c r="AM51" s="211">
        <f>IFERROR(SUMIF(E51:AI51,"=РН",E52:AI52)+SUMIF(E51:AI51,"=РН/РВ",E52:AI52)+SUMIFS(E52:AI52,E51:AI51,"=Р2",E52:AI52,"=8"),0)</f>
        <v>0</v>
      </c>
      <c r="AN51" s="211">
        <f>IFERROR(SUMIF(E51:AI51,"=ВЧ",E52:AI52)+SUMIF(E51:AI51,"=ВЧ/РВ",E52:AI52)+CEILING(COUNTIFS(E51:AI51,"=Р2",E52:AI52,"=7")*4,1)+CEILING(COUNTIFS(E51:AI51,"=Р2/РВ",E52:AI52,"=7")*4,1)+SUMIFS(E52:AI52,E51:AI51,"=Р1/РВ",E52:AI52,"=12")/6+SUMIFS(E52:AI52,E51:AI51,"=ВЧ2/РВ",E52:AI52,"=4")/2+SUMIFS(E52:AI52,E51:AI51,"=Р1",E52:AI52,"=12")/6+SUMIFS(E52:AI52,E51:AI51,"=Р1",E52:AI52,"=8")/4+SUMIF(E51:AI51,"=ВЧ1",E52:AI52)/2,0)</f>
        <v>0</v>
      </c>
      <c r="AO51" s="211">
        <f>IFERROR(SUMIF(E51:AI51,"=РВ",E52:AI52)+SUMIF(E51:AI51,"=ВЧ/РВ",E52:AI52)+SUMIF(E51:AI51,"=РН/РВ",E52:AI52)+SUMIF(E51:AI51,"=Р1/РВ",E52:AI52)+SUMIF(E51:AI51,"=ВЧ2/РВ",E52:AI52)+SUMIF(E51:AI51,"=Р2/РВ",E52:AI52),0)</f>
        <v>0</v>
      </c>
      <c r="AP51" s="211">
        <f t="shared" si="11"/>
        <v>10</v>
      </c>
      <c r="AQ51" s="211">
        <f>SUM(AR51:AZ51)</f>
        <v>0</v>
      </c>
      <c r="AR51" s="211">
        <f>IFERROR(SUMIF(E51:AI51,"=В",E52:AI52)+SUMIF(E51:AI51,"=Ч",E52:AI52)+SUMIF(E51:AI51,"=ВБ",E52:AI52),0)</f>
        <v>0</v>
      </c>
      <c r="AS51" s="211">
        <f>IFERROR(SUMIF(E51:AI51,"=Н",E52:AI52),0)</f>
        <v>0</v>
      </c>
      <c r="AT51" s="211">
        <f>IFERROR(SUMIF(E51:AI51,"=НА",E52:AI52),0)</f>
        <v>0</v>
      </c>
      <c r="AU51" s="211">
        <f>IFERROR(SUMIF(E51:AI51,"=ВП",E52:AI52),0)</f>
        <v>0</v>
      </c>
      <c r="AV51" s="211">
        <f>IFERROR(SUMIF(E51:AI51,"=ДД",E52:AI52),0)</f>
        <v>0</v>
      </c>
      <c r="AW51" s="202">
        <f>IFERROR(SUMIF(E51:AI51,"=ДО",E52:AI52),0)</f>
        <v>0</v>
      </c>
      <c r="AX51" s="211">
        <f>IFERROR(SUMIF(E51:AI51,"=ТН",E52:AI52),0)</f>
        <v>0</v>
      </c>
      <c r="AY51" s="211">
        <f>IFERROR(SUMIF(E51:AI51,"=ВД",E52:AI52),0)</f>
        <v>0</v>
      </c>
      <c r="AZ51" s="312">
        <f>IFERROR(SUMIF(E51:AI51,"=ІН",E52:AI52),0)+SUMIF(E51:AI51,"=НЗ",E52:AI52)</f>
        <v>0</v>
      </c>
    </row>
    <row r="52" spans="1:52" ht="20.100000000000001" customHeight="1" thickBot="1" x14ac:dyDescent="0.25">
      <c r="A52" s="290"/>
      <c r="B52" s="229"/>
      <c r="C52" s="229"/>
      <c r="D52" s="280"/>
      <c r="E52" s="192"/>
      <c r="F52" s="192"/>
      <c r="G52" s="192">
        <v>8.1999999999999993</v>
      </c>
      <c r="H52" s="192">
        <v>8.1999999999999993</v>
      </c>
      <c r="I52" s="192">
        <v>8.1999999999999993</v>
      </c>
      <c r="J52" s="192">
        <v>8.1999999999999993</v>
      </c>
      <c r="K52" s="192">
        <v>7</v>
      </c>
      <c r="L52" s="192"/>
      <c r="M52" s="192"/>
      <c r="N52" s="192">
        <v>8.1999999999999993</v>
      </c>
      <c r="O52" s="192">
        <v>8.1999999999999993</v>
      </c>
      <c r="P52" s="192">
        <v>8.1999999999999993</v>
      </c>
      <c r="Q52" s="192">
        <v>8.1999999999999993</v>
      </c>
      <c r="R52" s="192">
        <v>7.2</v>
      </c>
      <c r="S52" s="192"/>
      <c r="T52" s="192"/>
      <c r="U52" s="192">
        <v>8.1999999999999993</v>
      </c>
      <c r="V52" s="192">
        <v>8.1999999999999993</v>
      </c>
      <c r="W52" s="192">
        <v>8.1999999999999993</v>
      </c>
      <c r="X52" s="192">
        <v>8.1999999999999993</v>
      </c>
      <c r="Y52" s="192">
        <v>7.2</v>
      </c>
      <c r="Z52" s="192"/>
      <c r="AA52" s="192"/>
      <c r="AB52" s="192">
        <v>8.1999999999999993</v>
      </c>
      <c r="AC52" s="192">
        <v>8.1999999999999993</v>
      </c>
      <c r="AD52" s="192">
        <v>8.1999999999999993</v>
      </c>
      <c r="AE52" s="192">
        <v>8.1999999999999993</v>
      </c>
      <c r="AF52" s="192">
        <v>7.2</v>
      </c>
      <c r="AG52" s="192"/>
      <c r="AH52" s="192"/>
      <c r="AI52" s="192">
        <v>8.1999999999999993</v>
      </c>
      <c r="AJ52" s="297"/>
      <c r="AK52" s="203"/>
      <c r="AL52" s="311"/>
      <c r="AM52" s="311"/>
      <c r="AN52" s="212"/>
      <c r="AO52" s="311"/>
      <c r="AP52" s="212"/>
      <c r="AQ52" s="311"/>
      <c r="AR52" s="311"/>
      <c r="AS52" s="311"/>
      <c r="AT52" s="311"/>
      <c r="AU52" s="311"/>
      <c r="AV52" s="311"/>
      <c r="AW52" s="203"/>
      <c r="AX52" s="311"/>
      <c r="AY52" s="311"/>
      <c r="AZ52" s="327"/>
    </row>
    <row r="53" spans="1:52" ht="20.100000000000001" customHeight="1" x14ac:dyDescent="0.2">
      <c r="A53" s="328">
        <v>0</v>
      </c>
      <c r="B53" s="293" t="s">
        <v>74</v>
      </c>
      <c r="C53" s="293">
        <v>0</v>
      </c>
      <c r="D53" s="324">
        <v>0</v>
      </c>
      <c r="E53" s="72">
        <v>0</v>
      </c>
      <c r="F53" s="72">
        <v>0</v>
      </c>
      <c r="G53" s="72">
        <v>0</v>
      </c>
      <c r="H53" s="72">
        <v>0</v>
      </c>
      <c r="I53" s="72">
        <v>0</v>
      </c>
      <c r="J53" s="72">
        <v>0</v>
      </c>
      <c r="K53" s="72">
        <v>0</v>
      </c>
      <c r="L53" s="72">
        <v>0</v>
      </c>
      <c r="M53" s="72">
        <v>0</v>
      </c>
      <c r="N53" s="72">
        <v>0</v>
      </c>
      <c r="O53" s="72">
        <v>0</v>
      </c>
      <c r="P53" s="72">
        <v>0</v>
      </c>
      <c r="Q53" s="72">
        <v>0</v>
      </c>
      <c r="R53" s="72">
        <v>0</v>
      </c>
      <c r="S53" s="72">
        <v>0</v>
      </c>
      <c r="T53" s="72"/>
      <c r="U53" s="72"/>
      <c r="V53" s="72"/>
      <c r="W53" s="72"/>
      <c r="X53" s="72"/>
      <c r="Y53" s="72"/>
      <c r="Z53" s="72"/>
      <c r="AA53" s="72"/>
      <c r="AB53" s="72"/>
      <c r="AC53" s="72"/>
      <c r="AD53" s="72"/>
      <c r="AE53" s="72"/>
      <c r="AF53" s="72"/>
      <c r="AG53" s="72"/>
      <c r="AH53" s="72"/>
      <c r="AI53" s="72"/>
      <c r="AJ53" s="320">
        <f>SUM(AJ17:AJ52)</f>
        <v>324</v>
      </c>
      <c r="AK53" s="320">
        <f t="shared" ref="AK53:AZ53" si="17">SUM(AK17:AK52)</f>
        <v>2551.5999999999995</v>
      </c>
      <c r="AL53" s="320">
        <f t="shared" si="17"/>
        <v>0</v>
      </c>
      <c r="AM53" s="320">
        <f t="shared" si="17"/>
        <v>160</v>
      </c>
      <c r="AN53" s="320">
        <f t="shared" si="17"/>
        <v>84</v>
      </c>
      <c r="AO53" s="320">
        <f t="shared" si="17"/>
        <v>4.5</v>
      </c>
      <c r="AP53" s="320">
        <f t="shared" si="17"/>
        <v>148</v>
      </c>
      <c r="AQ53" s="320">
        <f t="shared" si="17"/>
        <v>472.4</v>
      </c>
      <c r="AR53" s="320">
        <f t="shared" si="17"/>
        <v>296.20000000000005</v>
      </c>
      <c r="AS53" s="320">
        <f t="shared" si="17"/>
        <v>0</v>
      </c>
      <c r="AT53" s="320">
        <f t="shared" si="17"/>
        <v>0</v>
      </c>
      <c r="AU53" s="320">
        <f t="shared" si="17"/>
        <v>0</v>
      </c>
      <c r="AV53" s="320">
        <f t="shared" si="17"/>
        <v>0</v>
      </c>
      <c r="AW53" s="320">
        <f>SUM(AW17:AW52)</f>
        <v>0</v>
      </c>
      <c r="AX53" s="320">
        <f t="shared" si="17"/>
        <v>0</v>
      </c>
      <c r="AY53" s="320">
        <f t="shared" si="17"/>
        <v>8.1999999999999993</v>
      </c>
      <c r="AZ53" s="320">
        <f t="shared" si="17"/>
        <v>167.99999999999997</v>
      </c>
    </row>
    <row r="54" spans="1:52" ht="20.100000000000001" customHeight="1" thickBot="1" x14ac:dyDescent="0.25">
      <c r="A54" s="290"/>
      <c r="B54" s="229"/>
      <c r="C54" s="229"/>
      <c r="D54" s="325"/>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c r="AA54" s="73"/>
      <c r="AB54" s="73"/>
      <c r="AC54" s="73"/>
      <c r="AD54" s="73"/>
      <c r="AE54" s="73"/>
      <c r="AF54" s="73">
        <v>0</v>
      </c>
      <c r="AG54" s="73">
        <v>0</v>
      </c>
      <c r="AH54" s="73">
        <v>0</v>
      </c>
      <c r="AI54" s="73">
        <v>0</v>
      </c>
      <c r="AJ54" s="326"/>
      <c r="AK54" s="326"/>
      <c r="AL54" s="326"/>
      <c r="AM54" s="326"/>
      <c r="AN54" s="326"/>
      <c r="AO54" s="326"/>
      <c r="AP54" s="326"/>
      <c r="AQ54" s="326"/>
      <c r="AR54" s="326"/>
      <c r="AS54" s="326"/>
      <c r="AT54" s="326"/>
      <c r="AU54" s="326"/>
      <c r="AV54" s="326"/>
      <c r="AW54" s="326"/>
      <c r="AX54" s="326"/>
      <c r="AY54" s="326"/>
      <c r="AZ54" s="326"/>
    </row>
    <row r="55" spans="1:52" ht="20.100000000000001" customHeight="1" x14ac:dyDescent="0.2">
      <c r="A55" s="60"/>
      <c r="B55" s="61"/>
      <c r="C55" s="62"/>
      <c r="D55" s="63"/>
      <c r="E55" s="64"/>
      <c r="F55" s="64"/>
      <c r="G55" s="64"/>
      <c r="H55" s="64"/>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0">
        <v>0</v>
      </c>
      <c r="AK55" s="60">
        <v>0</v>
      </c>
      <c r="AL55" s="60">
        <v>0</v>
      </c>
      <c r="AM55" s="60">
        <v>0</v>
      </c>
      <c r="AN55" s="60">
        <v>0</v>
      </c>
      <c r="AO55" s="60">
        <v>0</v>
      </c>
      <c r="AP55" s="60">
        <v>0</v>
      </c>
      <c r="AQ55" s="60">
        <v>0</v>
      </c>
      <c r="AR55" s="60">
        <v>0</v>
      </c>
      <c r="AS55" s="60">
        <v>0</v>
      </c>
      <c r="AT55" s="60">
        <v>0</v>
      </c>
      <c r="AU55" s="60">
        <v>0</v>
      </c>
      <c r="AV55" s="60">
        <v>0</v>
      </c>
      <c r="AW55" s="60"/>
      <c r="AX55" s="60">
        <v>0</v>
      </c>
      <c r="AY55" s="60">
        <v>0</v>
      </c>
      <c r="AZ55" s="60">
        <v>0</v>
      </c>
    </row>
    <row r="56" spans="1:52" ht="12.75" customHeight="1" x14ac:dyDescent="0.2">
      <c r="A56" s="226" t="s">
        <v>32</v>
      </c>
      <c r="B56" s="226"/>
      <c r="C56" s="226"/>
      <c r="D56" s="227" t="s">
        <v>81</v>
      </c>
      <c r="E56" s="227"/>
      <c r="F56" s="227"/>
      <c r="G56" s="227"/>
      <c r="H56" s="227"/>
      <c r="I56" s="227"/>
      <c r="J56" s="69"/>
      <c r="K56" s="224"/>
      <c r="L56" s="224"/>
      <c r="M56" s="224"/>
      <c r="N56" s="69"/>
      <c r="O56" s="225" t="s">
        <v>278</v>
      </c>
      <c r="P56" s="225"/>
      <c r="Q56" s="225"/>
      <c r="R56" s="225"/>
      <c r="S56" s="225"/>
      <c r="T56" s="9"/>
      <c r="U56" s="283">
        <v>45747</v>
      </c>
      <c r="V56" s="283"/>
      <c r="W56" s="283"/>
      <c r="X56" s="283"/>
      <c r="Y56" s="283"/>
      <c r="Z56" s="283"/>
      <c r="AA56" s="69"/>
      <c r="AB56" s="69"/>
      <c r="AC56" s="69"/>
      <c r="AD56" s="69"/>
      <c r="AE56" s="69"/>
      <c r="AF56" s="69"/>
      <c r="AG56" s="69"/>
      <c r="AH56" s="69"/>
      <c r="AI56" s="69"/>
      <c r="AJ56" s="69"/>
      <c r="AK56" s="69"/>
      <c r="AL56" s="69"/>
      <c r="AM56" s="69"/>
      <c r="AN56" s="69"/>
      <c r="AO56" s="69"/>
      <c r="AP56" s="69"/>
      <c r="AQ56" s="69"/>
      <c r="AR56" s="69"/>
      <c r="AS56" s="69"/>
      <c r="AT56" s="69"/>
    </row>
    <row r="57" spans="1:52" x14ac:dyDescent="0.15">
      <c r="A57" s="13"/>
      <c r="B57" s="16"/>
      <c r="D57" s="222" t="s">
        <v>34</v>
      </c>
      <c r="E57" s="222"/>
      <c r="F57" s="222"/>
      <c r="G57" s="222"/>
      <c r="H57" s="222"/>
      <c r="I57" s="222"/>
      <c r="J57" s="13"/>
      <c r="K57" s="222" t="s">
        <v>35</v>
      </c>
      <c r="L57" s="222"/>
      <c r="M57" s="222"/>
      <c r="N57" s="13"/>
      <c r="O57" s="222" t="s">
        <v>36</v>
      </c>
      <c r="P57" s="222"/>
      <c r="Q57" s="222"/>
      <c r="R57" s="222"/>
      <c r="S57" s="222"/>
      <c r="T57" s="13"/>
      <c r="U57" s="13"/>
      <c r="V57" s="31"/>
      <c r="W57" s="13"/>
      <c r="X57" s="17"/>
      <c r="Y57" s="17"/>
      <c r="Z57" s="17"/>
      <c r="AA57" s="13"/>
      <c r="AB57" s="13"/>
      <c r="AC57" s="13"/>
      <c r="AD57" s="13"/>
      <c r="AE57" s="13"/>
      <c r="AF57" s="13"/>
      <c r="AG57" s="13"/>
      <c r="AH57" s="13"/>
      <c r="AI57" s="13"/>
      <c r="AJ57" s="13"/>
      <c r="AK57" s="13"/>
      <c r="AL57" s="13"/>
      <c r="AM57" s="13"/>
      <c r="AN57" s="13"/>
      <c r="AO57" s="13"/>
      <c r="AP57" s="13"/>
      <c r="AQ57" s="13"/>
      <c r="AR57" s="13"/>
      <c r="AS57" s="13"/>
      <c r="AT57" s="13"/>
    </row>
    <row r="58" spans="1:52" ht="12.75" customHeight="1" x14ac:dyDescent="0.2">
      <c r="A58" s="32" t="s">
        <v>33</v>
      </c>
      <c r="B58" s="32"/>
      <c r="C58" s="69"/>
      <c r="D58" s="223" t="s">
        <v>277</v>
      </c>
      <c r="E58" s="223"/>
      <c r="F58" s="223"/>
      <c r="G58" s="223"/>
      <c r="H58" s="223"/>
      <c r="I58" s="223"/>
      <c r="J58" s="69"/>
      <c r="K58" s="224"/>
      <c r="L58" s="224"/>
      <c r="M58" s="224"/>
      <c r="N58" s="69"/>
      <c r="O58" s="225" t="s">
        <v>279</v>
      </c>
      <c r="P58" s="225"/>
      <c r="Q58" s="225"/>
      <c r="R58" s="225"/>
      <c r="S58" s="225"/>
      <c r="T58" s="9"/>
      <c r="U58" s="283">
        <f>U56</f>
        <v>45747</v>
      </c>
      <c r="V58" s="283"/>
      <c r="W58" s="283"/>
      <c r="X58" s="283"/>
      <c r="Y58" s="283"/>
      <c r="Z58" s="283"/>
      <c r="AA58" s="69"/>
      <c r="AB58" s="69"/>
      <c r="AC58" s="69"/>
      <c r="AD58" s="69"/>
      <c r="AE58" s="69"/>
      <c r="AF58" s="69"/>
      <c r="AG58" s="69"/>
      <c r="AH58" s="69"/>
      <c r="AI58" s="69"/>
      <c r="AJ58" s="69"/>
      <c r="AK58" s="69"/>
      <c r="AL58" s="69"/>
      <c r="AM58" s="69"/>
      <c r="AN58" s="69"/>
      <c r="AO58" s="69"/>
      <c r="AP58" s="69"/>
      <c r="AQ58" s="69"/>
      <c r="AR58" s="69"/>
      <c r="AS58" s="69"/>
      <c r="AT58" s="69"/>
    </row>
    <row r="59" spans="1:52" x14ac:dyDescent="0.2">
      <c r="A59" s="13"/>
      <c r="B59" s="13"/>
      <c r="D59" s="222" t="s">
        <v>34</v>
      </c>
      <c r="E59" s="222"/>
      <c r="F59" s="222"/>
      <c r="G59" s="222"/>
      <c r="H59" s="222"/>
      <c r="I59" s="222"/>
      <c r="J59" s="13"/>
      <c r="K59" s="222" t="s">
        <v>35</v>
      </c>
      <c r="L59" s="222"/>
      <c r="M59" s="222"/>
      <c r="N59" s="13"/>
      <c r="O59" s="222" t="s">
        <v>36</v>
      </c>
      <c r="P59" s="222"/>
      <c r="Q59" s="222"/>
      <c r="R59" s="222"/>
      <c r="S59" s="222"/>
      <c r="T59" s="17"/>
      <c r="U59" s="17"/>
      <c r="V59" s="13"/>
      <c r="W59" s="17"/>
      <c r="X59" s="17"/>
      <c r="Y59" s="17"/>
      <c r="Z59" s="69"/>
      <c r="AA59" s="69"/>
      <c r="AB59" s="69"/>
      <c r="AC59" s="69"/>
      <c r="AD59" s="69"/>
      <c r="AE59" s="69"/>
      <c r="AF59" s="69"/>
      <c r="AG59" s="69"/>
      <c r="AH59" s="69"/>
      <c r="AI59" s="69"/>
      <c r="AJ59" s="69"/>
      <c r="AK59" s="69"/>
      <c r="AL59" s="69"/>
      <c r="AM59" s="69"/>
      <c r="AN59" s="69"/>
      <c r="AO59" s="69"/>
      <c r="AP59" s="69"/>
      <c r="AQ59" s="69"/>
      <c r="AR59" s="69"/>
      <c r="AS59" s="69"/>
      <c r="AT59" s="69"/>
    </row>
    <row r="60" spans="1:52" x14ac:dyDescent="0.2">
      <c r="A60" s="69"/>
      <c r="B60" s="69"/>
      <c r="C60" s="33" t="s">
        <v>39</v>
      </c>
      <c r="D60" s="70"/>
      <c r="E60" s="70"/>
      <c r="F60" s="70"/>
      <c r="G60" s="70"/>
      <c r="H60" s="70"/>
      <c r="I60" s="70"/>
      <c r="J60" s="70"/>
      <c r="K60" s="70"/>
      <c r="L60" s="70"/>
      <c r="M60" s="70"/>
      <c r="N60" s="70"/>
      <c r="O60" s="70"/>
      <c r="P60" s="70"/>
      <c r="Q60" s="70"/>
      <c r="R60" s="69"/>
      <c r="S60" s="69"/>
      <c r="T60" s="69"/>
      <c r="U60" s="69"/>
      <c r="V60" s="69"/>
      <c r="W60" s="69"/>
      <c r="X60" s="69"/>
      <c r="Y60" s="69"/>
      <c r="Z60" s="69"/>
      <c r="AA60" s="69"/>
      <c r="AB60" s="69"/>
      <c r="AC60" s="69"/>
      <c r="AD60" s="69"/>
      <c r="AE60" s="69"/>
      <c r="AF60" s="69"/>
      <c r="AG60" s="69"/>
      <c r="AH60" s="69"/>
      <c r="AI60" s="69"/>
      <c r="AJ60" s="69"/>
      <c r="AK60" s="69"/>
      <c r="AL60" s="69"/>
      <c r="AM60" s="69"/>
      <c r="AN60" s="69"/>
      <c r="AO60" s="69"/>
      <c r="AP60" s="69"/>
      <c r="AQ60" s="69"/>
      <c r="AR60" s="69"/>
      <c r="AS60" s="69"/>
      <c r="AT60" s="69"/>
    </row>
    <row r="61" spans="1:52" x14ac:dyDescent="0.2">
      <c r="A61" s="69"/>
      <c r="B61" s="69"/>
      <c r="C61" s="34" t="s">
        <v>4</v>
      </c>
      <c r="D61" s="35" t="s">
        <v>49</v>
      </c>
      <c r="E61" t="s">
        <v>5</v>
      </c>
      <c r="F61"/>
      <c r="G61"/>
      <c r="H61"/>
      <c r="I61"/>
      <c r="J61"/>
      <c r="K61"/>
      <c r="L61"/>
      <c r="M61"/>
      <c r="N61" s="36"/>
      <c r="O61" s="3"/>
      <c r="P61" s="37"/>
      <c r="Q61" s="37"/>
      <c r="R61" s="69"/>
      <c r="S61" s="69"/>
      <c r="T61" s="69"/>
      <c r="U61" s="21" t="s">
        <v>2</v>
      </c>
      <c r="V61" s="15" t="s">
        <v>49</v>
      </c>
      <c r="W61" t="s">
        <v>61</v>
      </c>
      <c r="X61"/>
      <c r="Y61" s="69"/>
      <c r="Z61" s="69"/>
      <c r="AA61" s="69"/>
      <c r="AB61" s="69"/>
      <c r="AC61" s="69"/>
      <c r="AD61" s="69"/>
      <c r="AE61" s="69"/>
      <c r="AF61" s="69"/>
      <c r="AG61" s="69"/>
      <c r="AH61" s="69"/>
      <c r="AI61" s="69"/>
      <c r="AJ61" s="69"/>
      <c r="AK61" s="69"/>
      <c r="AL61" s="69"/>
      <c r="AM61" s="69"/>
      <c r="AN61" s="69"/>
      <c r="AO61" s="69"/>
      <c r="AP61" s="69"/>
      <c r="AQ61" s="69"/>
      <c r="AR61" s="69"/>
      <c r="AS61" s="69"/>
      <c r="AT61" s="69"/>
    </row>
    <row r="62" spans="1:52" x14ac:dyDescent="0.2">
      <c r="A62" s="69"/>
      <c r="B62" s="69"/>
      <c r="C62" s="34" t="s">
        <v>41</v>
      </c>
      <c r="D62" s="35" t="s">
        <v>49</v>
      </c>
      <c r="E62" t="s">
        <v>40</v>
      </c>
      <c r="F62"/>
      <c r="G62"/>
      <c r="H62"/>
      <c r="I62"/>
      <c r="J62"/>
      <c r="K62"/>
      <c r="L62"/>
      <c r="M62"/>
      <c r="N62" s="36"/>
      <c r="O62" s="3"/>
      <c r="P62" s="37"/>
      <c r="Q62" s="37"/>
      <c r="R62" s="69"/>
      <c r="S62" s="69"/>
      <c r="T62" s="69"/>
      <c r="U62" s="21" t="s">
        <v>50</v>
      </c>
      <c r="V62" s="15" t="s">
        <v>49</v>
      </c>
      <c r="W62" t="s">
        <v>62</v>
      </c>
      <c r="X62"/>
      <c r="Y62" s="69"/>
      <c r="Z62" s="69"/>
      <c r="AA62" s="69"/>
      <c r="AB62" s="69"/>
      <c r="AC62" s="69"/>
      <c r="AD62" s="69"/>
      <c r="AE62" s="69"/>
      <c r="AF62" s="69"/>
      <c r="AG62" s="69"/>
      <c r="AH62" s="69"/>
      <c r="AI62" s="69"/>
      <c r="AJ62" s="69"/>
      <c r="AK62" s="69"/>
      <c r="AL62" s="69"/>
      <c r="AM62" s="69"/>
      <c r="AN62" s="69"/>
      <c r="AO62" s="69"/>
      <c r="AP62" s="69"/>
      <c r="AQ62" s="69"/>
      <c r="AR62" s="69"/>
      <c r="AS62" s="69"/>
      <c r="AT62" s="69"/>
    </row>
    <row r="63" spans="1:52" ht="15" customHeight="1" x14ac:dyDescent="0.2">
      <c r="A63" s="69"/>
      <c r="B63" s="69"/>
      <c r="C63" s="34" t="s">
        <v>43</v>
      </c>
      <c r="D63" s="35" t="s">
        <v>49</v>
      </c>
      <c r="E63" t="s">
        <v>42</v>
      </c>
      <c r="F63"/>
      <c r="G63"/>
      <c r="H63"/>
      <c r="I63"/>
      <c r="J63"/>
      <c r="K63"/>
      <c r="L63"/>
      <c r="M63"/>
      <c r="N63" s="36"/>
      <c r="O63" s="3"/>
      <c r="P63" s="37"/>
      <c r="Q63" s="37"/>
      <c r="R63" s="69"/>
      <c r="S63" s="69"/>
      <c r="T63" s="69"/>
      <c r="U63" s="21" t="s">
        <v>51</v>
      </c>
      <c r="V63" s="15" t="s">
        <v>49</v>
      </c>
      <c r="W63" t="s">
        <v>53</v>
      </c>
      <c r="X63"/>
      <c r="Y63" s="69"/>
      <c r="Z63" s="69"/>
      <c r="AA63" s="69"/>
      <c r="AB63" s="69"/>
      <c r="AC63" s="69"/>
      <c r="AD63" s="69"/>
      <c r="AE63" s="69"/>
      <c r="AF63" s="69"/>
      <c r="AG63" s="69"/>
      <c r="AH63" s="69"/>
      <c r="AI63" s="69"/>
      <c r="AJ63" s="69"/>
      <c r="AK63" s="69"/>
      <c r="AL63" s="69"/>
      <c r="AM63" s="69"/>
      <c r="AN63" s="69"/>
      <c r="AO63" s="69"/>
      <c r="AP63" s="69"/>
      <c r="AQ63" s="69"/>
      <c r="AR63" s="69"/>
      <c r="AS63" s="69"/>
      <c r="AT63" s="69"/>
    </row>
    <row r="64" spans="1:52" ht="15" customHeight="1" x14ac:dyDescent="0.2">
      <c r="A64" s="69"/>
      <c r="B64" s="69"/>
      <c r="C64" s="34" t="s">
        <v>45</v>
      </c>
      <c r="D64" s="35" t="s">
        <v>49</v>
      </c>
      <c r="E64" t="s">
        <v>44</v>
      </c>
      <c r="F64"/>
      <c r="G64"/>
      <c r="H64"/>
      <c r="I64"/>
      <c r="J64"/>
      <c r="K64"/>
      <c r="L64"/>
      <c r="M64"/>
      <c r="N64" s="3"/>
      <c r="O64" s="3"/>
      <c r="P64" s="37"/>
      <c r="Q64" s="37"/>
      <c r="R64" s="69"/>
      <c r="S64" s="69"/>
      <c r="T64" s="69"/>
      <c r="U64" s="15" t="s">
        <v>63</v>
      </c>
      <c r="V64" s="15" t="s">
        <v>49</v>
      </c>
      <c r="W64" t="s">
        <v>64</v>
      </c>
      <c r="X64"/>
      <c r="Y64" s="69"/>
      <c r="Z64" s="69"/>
      <c r="AA64" s="69"/>
      <c r="AB64" s="69"/>
      <c r="AC64" s="69"/>
      <c r="AD64" s="69"/>
      <c r="AE64" s="69"/>
      <c r="AF64" s="69"/>
      <c r="AG64" s="69"/>
      <c r="AH64" s="69"/>
      <c r="AI64" s="69"/>
      <c r="AJ64" s="69"/>
      <c r="AK64" s="69"/>
      <c r="AL64" s="69"/>
      <c r="AM64" s="69"/>
      <c r="AN64" s="69"/>
      <c r="AO64" s="69"/>
      <c r="AP64" s="69"/>
      <c r="AQ64" s="69"/>
      <c r="AR64" s="69"/>
      <c r="AS64" s="69"/>
      <c r="AT64" s="69"/>
    </row>
    <row r="65" spans="1:46" ht="15" customHeight="1" x14ac:dyDescent="0.2">
      <c r="A65" s="69"/>
      <c r="B65" s="69"/>
      <c r="C65" s="34" t="s">
        <v>47</v>
      </c>
      <c r="D65" s="35" t="s">
        <v>49</v>
      </c>
      <c r="E65" t="s">
        <v>46</v>
      </c>
      <c r="F65"/>
      <c r="G65"/>
      <c r="H65"/>
      <c r="I65"/>
      <c r="J65"/>
      <c r="K65"/>
      <c r="L65"/>
      <c r="M65"/>
      <c r="N65" s="3"/>
      <c r="O65" s="3"/>
      <c r="P65" s="37"/>
      <c r="Q65" s="37"/>
      <c r="R65" s="69"/>
      <c r="S65" s="69"/>
      <c r="T65" s="69"/>
      <c r="U65" s="15" t="s">
        <v>65</v>
      </c>
      <c r="V65" s="15" t="s">
        <v>49</v>
      </c>
      <c r="W65" t="s">
        <v>66</v>
      </c>
      <c r="X65"/>
      <c r="Y65" s="69"/>
      <c r="Z65" s="69"/>
      <c r="AA65" s="69"/>
      <c r="AB65" s="69"/>
      <c r="AC65" s="69"/>
      <c r="AD65" s="69"/>
      <c r="AE65" s="69"/>
      <c r="AF65" s="69"/>
      <c r="AG65" s="69"/>
      <c r="AH65" s="69"/>
      <c r="AI65" s="69"/>
      <c r="AJ65" s="69"/>
      <c r="AK65" s="69"/>
      <c r="AL65" s="69"/>
      <c r="AM65" s="69"/>
      <c r="AN65" s="69"/>
      <c r="AO65" s="69"/>
      <c r="AP65" s="69"/>
      <c r="AQ65" s="69"/>
      <c r="AR65" s="69"/>
      <c r="AS65" s="69"/>
      <c r="AT65" s="69"/>
    </row>
    <row r="66" spans="1:46" ht="15" customHeight="1" x14ac:dyDescent="0.2">
      <c r="A66" s="69"/>
      <c r="B66" s="69"/>
      <c r="C66" s="34" t="s">
        <v>48</v>
      </c>
      <c r="D66" s="35" t="s">
        <v>49</v>
      </c>
      <c r="E66" t="s">
        <v>29</v>
      </c>
      <c r="F66"/>
      <c r="G66"/>
      <c r="H66"/>
      <c r="I66"/>
      <c r="J66"/>
      <c r="K66"/>
      <c r="L66"/>
      <c r="M66"/>
      <c r="N66" s="36"/>
      <c r="O66" s="3"/>
      <c r="P66" s="37"/>
      <c r="Q66" s="37"/>
      <c r="R66" s="69"/>
      <c r="S66" s="69"/>
      <c r="T66" s="69"/>
      <c r="U66" s="21" t="s">
        <v>52</v>
      </c>
      <c r="V66" s="15" t="s">
        <v>49</v>
      </c>
      <c r="W66" t="s">
        <v>54</v>
      </c>
      <c r="X66"/>
      <c r="Y66" s="69"/>
      <c r="Z66" s="69"/>
      <c r="AA66" s="69"/>
      <c r="AB66" s="69"/>
      <c r="AC66" s="69"/>
      <c r="AD66" s="69"/>
      <c r="AE66" s="69"/>
      <c r="AF66" s="69"/>
      <c r="AG66" s="69"/>
      <c r="AH66" s="69"/>
      <c r="AI66" s="69"/>
      <c r="AJ66" s="69"/>
      <c r="AK66" s="69"/>
      <c r="AL66" s="69"/>
      <c r="AM66" s="69"/>
      <c r="AN66" s="69"/>
      <c r="AO66" s="69"/>
      <c r="AP66" s="69"/>
      <c r="AQ66" s="69"/>
      <c r="AR66" s="69"/>
      <c r="AS66" s="69"/>
      <c r="AT66" s="69"/>
    </row>
    <row r="67" spans="1:46" ht="15" customHeight="1" x14ac:dyDescent="0.2">
      <c r="A67" s="69"/>
      <c r="B67" s="69"/>
      <c r="C67" s="34" t="s">
        <v>3</v>
      </c>
      <c r="D67" s="35" t="s">
        <v>49</v>
      </c>
      <c r="E67" t="s">
        <v>67</v>
      </c>
      <c r="F67"/>
      <c r="G67"/>
      <c r="H67"/>
      <c r="I67"/>
      <c r="J67"/>
      <c r="K67"/>
      <c r="L67"/>
      <c r="M67"/>
      <c r="N67" s="36"/>
      <c r="O67" s="3"/>
      <c r="P67" s="37"/>
      <c r="Q67" s="37"/>
      <c r="R67" s="69"/>
      <c r="S67" s="69"/>
      <c r="T67" s="69"/>
      <c r="U67" s="21" t="s">
        <v>68</v>
      </c>
      <c r="V67" s="15" t="s">
        <v>49</v>
      </c>
      <c r="W67" t="s">
        <v>31</v>
      </c>
      <c r="X67"/>
      <c r="Y67" s="69"/>
      <c r="Z67" s="69"/>
      <c r="AA67" s="69"/>
      <c r="AB67" s="69"/>
      <c r="AC67" s="69"/>
      <c r="AD67" s="69"/>
      <c r="AE67" s="69"/>
      <c r="AF67" s="69"/>
      <c r="AG67" s="69"/>
      <c r="AH67" s="69"/>
      <c r="AI67" s="69"/>
      <c r="AJ67" s="69"/>
      <c r="AK67" s="69"/>
      <c r="AL67" s="69"/>
      <c r="AM67" s="69"/>
      <c r="AN67" s="69"/>
      <c r="AO67" s="69"/>
      <c r="AP67" s="69"/>
      <c r="AQ67" s="69"/>
      <c r="AR67" s="69"/>
      <c r="AS67" s="69"/>
      <c r="AT67" s="69"/>
    </row>
    <row r="68" spans="1:46" ht="15" customHeight="1" x14ac:dyDescent="0.2">
      <c r="A68" s="69"/>
      <c r="B68" s="69"/>
      <c r="C68" s="34" t="s">
        <v>73</v>
      </c>
      <c r="D68" s="35" t="s">
        <v>49</v>
      </c>
      <c r="E68" s="219" t="s">
        <v>75</v>
      </c>
      <c r="F68" s="220"/>
      <c r="G68" s="220"/>
      <c r="H68" s="220"/>
      <c r="I68" s="220"/>
      <c r="J68" s="220"/>
      <c r="K68" s="220"/>
      <c r="L68" s="220"/>
      <c r="M68" s="220"/>
      <c r="N68" s="220"/>
      <c r="O68" s="220"/>
      <c r="P68" s="220"/>
      <c r="Q68" s="220"/>
      <c r="R68" s="69"/>
      <c r="S68" s="69"/>
      <c r="T68" s="69"/>
      <c r="U68" s="21" t="s">
        <v>76</v>
      </c>
      <c r="V68" s="15" t="s">
        <v>49</v>
      </c>
      <c r="W68" t="s">
        <v>77</v>
      </c>
      <c r="X68" s="69"/>
      <c r="Y68" s="69"/>
      <c r="Z68" s="69"/>
      <c r="AA68" s="69"/>
      <c r="AB68" s="69"/>
      <c r="AC68" s="69"/>
      <c r="AD68" s="69"/>
      <c r="AE68" s="69"/>
      <c r="AF68" s="69"/>
      <c r="AG68" s="69"/>
      <c r="AH68" s="69"/>
      <c r="AI68" s="69"/>
      <c r="AJ68" s="69"/>
      <c r="AK68" s="69"/>
      <c r="AL68" s="69"/>
      <c r="AM68" s="69"/>
      <c r="AN68" s="69"/>
      <c r="AO68" s="69"/>
      <c r="AP68" s="69"/>
      <c r="AQ68" s="69"/>
      <c r="AR68" s="69"/>
      <c r="AS68" s="69"/>
      <c r="AT68" s="69"/>
    </row>
    <row r="69" spans="1:46" ht="15" customHeight="1" x14ac:dyDescent="0.2">
      <c r="A69" s="69"/>
      <c r="B69" s="69"/>
      <c r="C69" s="34" t="s">
        <v>142</v>
      </c>
      <c r="D69" s="35" t="s">
        <v>49</v>
      </c>
      <c r="E69" s="219" t="s">
        <v>143</v>
      </c>
      <c r="F69" s="220"/>
      <c r="G69" s="220"/>
      <c r="H69" s="220"/>
      <c r="I69" s="220"/>
      <c r="J69" s="220"/>
      <c r="K69" s="220"/>
      <c r="L69" s="220"/>
      <c r="M69" s="220"/>
      <c r="N69" s="220"/>
      <c r="O69" s="220"/>
      <c r="P69" s="220"/>
      <c r="Q69" s="220"/>
      <c r="R69" s="69"/>
      <c r="S69" s="69"/>
      <c r="T69" s="69"/>
      <c r="U69" s="69"/>
      <c r="V69" s="69"/>
      <c r="W69" s="69"/>
      <c r="X69" s="69"/>
      <c r="Y69" s="69"/>
      <c r="Z69" s="69"/>
      <c r="AA69" s="69"/>
      <c r="AB69" s="69"/>
      <c r="AC69" s="69"/>
      <c r="AD69" s="69"/>
      <c r="AE69" s="69"/>
      <c r="AF69" s="69"/>
      <c r="AG69" s="69"/>
      <c r="AH69" s="69"/>
      <c r="AI69" s="69"/>
      <c r="AJ69" s="69"/>
      <c r="AK69" s="69"/>
      <c r="AL69" s="69"/>
      <c r="AM69" s="69"/>
      <c r="AN69" s="69"/>
      <c r="AO69" s="69"/>
      <c r="AP69" s="69"/>
      <c r="AQ69" s="69"/>
      <c r="AR69" s="69"/>
      <c r="AS69" s="69"/>
      <c r="AT69" s="69"/>
    </row>
    <row r="70" spans="1:46" ht="15" customHeight="1" x14ac:dyDescent="0.2"/>
    <row r="71" spans="1:46" ht="15" customHeight="1" x14ac:dyDescent="0.2"/>
    <row r="72" spans="1:46" ht="15" customHeight="1" x14ac:dyDescent="0.2"/>
    <row r="73" spans="1:46" ht="15" customHeight="1" x14ac:dyDescent="0.2"/>
    <row r="74" spans="1:46" ht="15" customHeight="1" x14ac:dyDescent="0.2"/>
    <row r="75" spans="1:46" ht="15" customHeight="1" x14ac:dyDescent="0.2"/>
    <row r="76" spans="1:46" ht="15" customHeight="1" x14ac:dyDescent="0.2"/>
    <row r="77" spans="1:46" ht="15" customHeight="1" x14ac:dyDescent="0.2"/>
    <row r="78" spans="1:46" ht="15" customHeight="1" x14ac:dyDescent="0.2"/>
    <row r="79" spans="1:46" ht="15" customHeight="1" x14ac:dyDescent="0.2"/>
    <row r="80" spans="1:46" ht="15" customHeight="1" x14ac:dyDescent="0.2"/>
    <row r="81" ht="15" customHeight="1" x14ac:dyDescent="0.2"/>
    <row r="82" ht="15" customHeight="1" x14ac:dyDescent="0.2"/>
    <row r="83" ht="15" customHeight="1" x14ac:dyDescent="0.2"/>
    <row r="84" ht="15" customHeight="1" x14ac:dyDescent="0.2"/>
    <row r="85" ht="15" customHeight="1" x14ac:dyDescent="0.2"/>
    <row r="86" ht="15" customHeight="1" x14ac:dyDescent="0.2"/>
    <row r="87" ht="15" customHeight="1" x14ac:dyDescent="0.2"/>
    <row r="88" ht="15" customHeight="1" x14ac:dyDescent="0.2"/>
    <row r="89" ht="15" customHeight="1" x14ac:dyDescent="0.2"/>
    <row r="90" ht="15" customHeight="1" x14ac:dyDescent="0.2"/>
    <row r="91" ht="15" customHeight="1" x14ac:dyDescent="0.2"/>
    <row r="92" ht="15" customHeight="1" x14ac:dyDescent="0.2"/>
    <row r="93" ht="15" customHeight="1" x14ac:dyDescent="0.2"/>
    <row r="94" ht="15" customHeight="1" x14ac:dyDescent="0.2"/>
    <row r="95" ht="15" customHeight="1" x14ac:dyDescent="0.2"/>
    <row r="96" ht="15" customHeight="1" x14ac:dyDescent="0.2"/>
    <row r="97" ht="15" customHeight="1" x14ac:dyDescent="0.2"/>
    <row r="98" ht="15" customHeight="1" x14ac:dyDescent="0.2"/>
  </sheetData>
  <sheetProtection insertColumns="0" insertRows="0" deleteColumns="0" deleteRows="0" autoFilter="0"/>
  <mergeCells count="486">
    <mergeCell ref="AX25:AX26"/>
    <mergeCell ref="AY25:AY26"/>
    <mergeCell ref="AZ25:AZ26"/>
    <mergeCell ref="AO25:AO26"/>
    <mergeCell ref="AP25:AP26"/>
    <mergeCell ref="AQ25:AQ26"/>
    <mergeCell ref="AR25:AR26"/>
    <mergeCell ref="AS25:AS26"/>
    <mergeCell ref="AT25:AT26"/>
    <mergeCell ref="AU25:AU26"/>
    <mergeCell ref="AV25:AV26"/>
    <mergeCell ref="AW25:AW26"/>
    <mergeCell ref="A25:A26"/>
    <mergeCell ref="B25:B26"/>
    <mergeCell ref="C25:C26"/>
    <mergeCell ref="D25:D26"/>
    <mergeCell ref="AJ25:AJ26"/>
    <mergeCell ref="AK25:AK26"/>
    <mergeCell ref="AL25:AL26"/>
    <mergeCell ref="AM25:AM26"/>
    <mergeCell ref="AN25:AN26"/>
    <mergeCell ref="AS33:AS34"/>
    <mergeCell ref="AT33:AT34"/>
    <mergeCell ref="AU33:AU34"/>
    <mergeCell ref="AV33:AV34"/>
    <mergeCell ref="AX33:AX34"/>
    <mergeCell ref="AY33:AY34"/>
    <mergeCell ref="AZ33:AZ34"/>
    <mergeCell ref="AJ33:AJ34"/>
    <mergeCell ref="AK33:AK34"/>
    <mergeCell ref="AL33:AL34"/>
    <mergeCell ref="AM33:AM34"/>
    <mergeCell ref="AN33:AN34"/>
    <mergeCell ref="AO33:AO34"/>
    <mergeCell ref="AP33:AP34"/>
    <mergeCell ref="AQ33:AQ34"/>
    <mergeCell ref="AR33:AR34"/>
    <mergeCell ref="AW33:AW34"/>
    <mergeCell ref="B29:B30"/>
    <mergeCell ref="C29:C30"/>
    <mergeCell ref="D29:D30"/>
    <mergeCell ref="A2:N2"/>
    <mergeCell ref="W2:AB2"/>
    <mergeCell ref="W3:Y3"/>
    <mergeCell ref="Z3:AB3"/>
    <mergeCell ref="W4:Y4"/>
    <mergeCell ref="Z4:AB4"/>
    <mergeCell ref="B17:B18"/>
    <mergeCell ref="C17:C18"/>
    <mergeCell ref="D17:D18"/>
    <mergeCell ref="A12:A15"/>
    <mergeCell ref="B12:B15"/>
    <mergeCell ref="C12:C15"/>
    <mergeCell ref="D12:D15"/>
    <mergeCell ref="E12:AI12"/>
    <mergeCell ref="L13:L15"/>
    <mergeCell ref="M13:M15"/>
    <mergeCell ref="N13:N15"/>
    <mergeCell ref="A5:N5"/>
    <mergeCell ref="T13:T15"/>
    <mergeCell ref="A6:N6"/>
    <mergeCell ref="W6:Y7"/>
    <mergeCell ref="Z6:AB7"/>
    <mergeCell ref="A8:B8"/>
    <mergeCell ref="C8:F8"/>
    <mergeCell ref="W8:Y8"/>
    <mergeCell ref="Z8:AB8"/>
    <mergeCell ref="E13:E15"/>
    <mergeCell ref="F13:F15"/>
    <mergeCell ref="G13:G15"/>
    <mergeCell ref="H13:H15"/>
    <mergeCell ref="I13:I15"/>
    <mergeCell ref="J13:J15"/>
    <mergeCell ref="K13:K15"/>
    <mergeCell ref="H9:S9"/>
    <mergeCell ref="D10:P10"/>
    <mergeCell ref="O13:O15"/>
    <mergeCell ref="P13:P15"/>
    <mergeCell ref="Q13:Q15"/>
    <mergeCell ref="R13:R15"/>
    <mergeCell ref="S13:S15"/>
    <mergeCell ref="AJ12:AO12"/>
    <mergeCell ref="AP12:AP15"/>
    <mergeCell ref="AQ12:AQ15"/>
    <mergeCell ref="AC13:AC15"/>
    <mergeCell ref="AD13:AD15"/>
    <mergeCell ref="AE13:AE15"/>
    <mergeCell ref="AF13:AF15"/>
    <mergeCell ref="U13:U15"/>
    <mergeCell ref="V13:V15"/>
    <mergeCell ref="W13:W15"/>
    <mergeCell ref="X13:X15"/>
    <mergeCell ref="Y13:Y15"/>
    <mergeCell ref="Z13:Z15"/>
    <mergeCell ref="AZ13:AZ15"/>
    <mergeCell ref="AK14:AK15"/>
    <mergeCell ref="AL14:AO14"/>
    <mergeCell ref="E16:AI16"/>
    <mergeCell ref="AK16:AO16"/>
    <mergeCell ref="A17:A18"/>
    <mergeCell ref="AJ17:AJ18"/>
    <mergeCell ref="AS13:AS15"/>
    <mergeCell ref="AT13:AT15"/>
    <mergeCell ref="AU13:AU15"/>
    <mergeCell ref="AV13:AV15"/>
    <mergeCell ref="AX13:AX15"/>
    <mergeCell ref="AY13:AY15"/>
    <mergeCell ref="AG13:AG15"/>
    <mergeCell ref="AH13:AH15"/>
    <mergeCell ref="AI13:AI15"/>
    <mergeCell ref="AJ13:AJ15"/>
    <mergeCell ref="AK13:AO13"/>
    <mergeCell ref="AR13:AR15"/>
    <mergeCell ref="AA13:AA15"/>
    <mergeCell ref="AB13:AB15"/>
    <mergeCell ref="AX17:AX18"/>
    <mergeCell ref="AY17:AY18"/>
    <mergeCell ref="AZ17:AZ18"/>
    <mergeCell ref="A19:A20"/>
    <mergeCell ref="AJ19:AJ20"/>
    <mergeCell ref="AK19:AK20"/>
    <mergeCell ref="AL19:AL20"/>
    <mergeCell ref="AQ17:AQ18"/>
    <mergeCell ref="AR17:AR18"/>
    <mergeCell ref="AS17:AS18"/>
    <mergeCell ref="AT17:AT18"/>
    <mergeCell ref="AU17:AU18"/>
    <mergeCell ref="AQ19:AQ20"/>
    <mergeCell ref="AR19:AR20"/>
    <mergeCell ref="D19:D20"/>
    <mergeCell ref="B19:B20"/>
    <mergeCell ref="C19:C20"/>
    <mergeCell ref="AV17:AV18"/>
    <mergeCell ref="AK17:AK18"/>
    <mergeCell ref="AL17:AL18"/>
    <mergeCell ref="AM17:AM18"/>
    <mergeCell ref="AN17:AN18"/>
    <mergeCell ref="AO17:AO18"/>
    <mergeCell ref="AP17:AP18"/>
    <mergeCell ref="AZ19:AZ20"/>
    <mergeCell ref="A23:A24"/>
    <mergeCell ref="AJ23:AJ24"/>
    <mergeCell ref="AK23:AK24"/>
    <mergeCell ref="AL23:AL24"/>
    <mergeCell ref="AM23:AM24"/>
    <mergeCell ref="AN23:AN24"/>
    <mergeCell ref="AS19:AS20"/>
    <mergeCell ref="AT19:AT20"/>
    <mergeCell ref="AU19:AU20"/>
    <mergeCell ref="AV19:AV20"/>
    <mergeCell ref="AX19:AX20"/>
    <mergeCell ref="AY19:AY20"/>
    <mergeCell ref="AM19:AM20"/>
    <mergeCell ref="AN19:AN20"/>
    <mergeCell ref="AO19:AO20"/>
    <mergeCell ref="AP19:AP20"/>
    <mergeCell ref="AX23:AX24"/>
    <mergeCell ref="AY23:AY24"/>
    <mergeCell ref="AZ23:AZ24"/>
    <mergeCell ref="AO23:AO24"/>
    <mergeCell ref="AP23:AP24"/>
    <mergeCell ref="AQ23:AQ24"/>
    <mergeCell ref="AR23:AR24"/>
    <mergeCell ref="AS23:AS24"/>
    <mergeCell ref="AT23:AT24"/>
    <mergeCell ref="B23:B24"/>
    <mergeCell ref="C23:C24"/>
    <mergeCell ref="D23:D24"/>
    <mergeCell ref="B27:B28"/>
    <mergeCell ref="AU27:AU28"/>
    <mergeCell ref="AV27:AV28"/>
    <mergeCell ref="AX27:AX28"/>
    <mergeCell ref="AY27:AY28"/>
    <mergeCell ref="AZ27:AZ28"/>
    <mergeCell ref="AQ27:AQ28"/>
    <mergeCell ref="AR27:AR28"/>
    <mergeCell ref="AS27:AS28"/>
    <mergeCell ref="AT27:AT28"/>
    <mergeCell ref="AJ27:AJ28"/>
    <mergeCell ref="AK27:AK28"/>
    <mergeCell ref="AL27:AL28"/>
    <mergeCell ref="AM27:AM28"/>
    <mergeCell ref="AN27:AN28"/>
    <mergeCell ref="AO27:AO28"/>
    <mergeCell ref="AP27:AP28"/>
    <mergeCell ref="C27:C28"/>
    <mergeCell ref="D27:D28"/>
    <mergeCell ref="AU23:AU24"/>
    <mergeCell ref="AV23:AV24"/>
    <mergeCell ref="AY29:AY30"/>
    <mergeCell ref="AZ29:AZ30"/>
    <mergeCell ref="A31:A32"/>
    <mergeCell ref="AJ31:AJ32"/>
    <mergeCell ref="AO29:AO30"/>
    <mergeCell ref="AP29:AP30"/>
    <mergeCell ref="AQ29:AQ30"/>
    <mergeCell ref="AR29:AR30"/>
    <mergeCell ref="AS29:AS30"/>
    <mergeCell ref="AT29:AT30"/>
    <mergeCell ref="AX31:AX32"/>
    <mergeCell ref="AY31:AY32"/>
    <mergeCell ref="AZ31:AZ32"/>
    <mergeCell ref="AV31:AV32"/>
    <mergeCell ref="A29:A30"/>
    <mergeCell ref="AJ29:AJ30"/>
    <mergeCell ref="AK29:AK30"/>
    <mergeCell ref="AL29:AL30"/>
    <mergeCell ref="AM29:AM30"/>
    <mergeCell ref="AN29:AN30"/>
    <mergeCell ref="AU29:AU30"/>
    <mergeCell ref="B31:B32"/>
    <mergeCell ref="AV29:AV30"/>
    <mergeCell ref="AX29:AX30"/>
    <mergeCell ref="A35:A36"/>
    <mergeCell ref="AJ35:AJ36"/>
    <mergeCell ref="AK35:AK36"/>
    <mergeCell ref="AL35:AL36"/>
    <mergeCell ref="AQ31:AQ32"/>
    <mergeCell ref="AR31:AR32"/>
    <mergeCell ref="AS31:AS32"/>
    <mergeCell ref="AT31:AT32"/>
    <mergeCell ref="AU31:AU32"/>
    <mergeCell ref="AK31:AK32"/>
    <mergeCell ref="AL31:AL32"/>
    <mergeCell ref="AM31:AM32"/>
    <mergeCell ref="AN31:AN32"/>
    <mergeCell ref="AO31:AO32"/>
    <mergeCell ref="AP31:AP32"/>
    <mergeCell ref="B35:B36"/>
    <mergeCell ref="C35:C36"/>
    <mergeCell ref="D35:D36"/>
    <mergeCell ref="C31:C32"/>
    <mergeCell ref="D31:D32"/>
    <mergeCell ref="A33:A34"/>
    <mergeCell ref="B33:B34"/>
    <mergeCell ref="C33:C34"/>
    <mergeCell ref="D33:D34"/>
    <mergeCell ref="AZ35:AZ36"/>
    <mergeCell ref="A37:A38"/>
    <mergeCell ref="AJ37:AJ38"/>
    <mergeCell ref="AK37:AK38"/>
    <mergeCell ref="AL37:AL38"/>
    <mergeCell ref="AM37:AM38"/>
    <mergeCell ref="AN37:AN38"/>
    <mergeCell ref="AS35:AS36"/>
    <mergeCell ref="AT35:AT36"/>
    <mergeCell ref="AU35:AU36"/>
    <mergeCell ref="AV35:AV36"/>
    <mergeCell ref="AX35:AX36"/>
    <mergeCell ref="AY35:AY36"/>
    <mergeCell ref="AM35:AM36"/>
    <mergeCell ref="AN35:AN36"/>
    <mergeCell ref="AO35:AO36"/>
    <mergeCell ref="AP35:AP36"/>
    <mergeCell ref="AQ35:AQ36"/>
    <mergeCell ref="AR35:AR36"/>
    <mergeCell ref="AU37:AU38"/>
    <mergeCell ref="AV37:AV38"/>
    <mergeCell ref="AX37:AX38"/>
    <mergeCell ref="AY37:AY38"/>
    <mergeCell ref="AZ37:AZ38"/>
    <mergeCell ref="A39:A40"/>
    <mergeCell ref="AJ39:AJ40"/>
    <mergeCell ref="AO37:AO38"/>
    <mergeCell ref="AP37:AP38"/>
    <mergeCell ref="AQ37:AQ38"/>
    <mergeCell ref="AR37:AR38"/>
    <mergeCell ref="AS37:AS38"/>
    <mergeCell ref="AT37:AT38"/>
    <mergeCell ref="AX39:AX40"/>
    <mergeCell ref="B39:B40"/>
    <mergeCell ref="C39:C40"/>
    <mergeCell ref="D39:D40"/>
    <mergeCell ref="B37:B38"/>
    <mergeCell ref="C37:C38"/>
    <mergeCell ref="D37:D38"/>
    <mergeCell ref="AY39:AY40"/>
    <mergeCell ref="AZ39:AZ40"/>
    <mergeCell ref="AQ39:AQ40"/>
    <mergeCell ref="AR39:AR40"/>
    <mergeCell ref="AS39:AS40"/>
    <mergeCell ref="AT39:AT40"/>
    <mergeCell ref="AU39:AU40"/>
    <mergeCell ref="AV39:AV40"/>
    <mergeCell ref="AK39:AK40"/>
    <mergeCell ref="AL39:AL40"/>
    <mergeCell ref="AM39:AM40"/>
    <mergeCell ref="AN39:AN40"/>
    <mergeCell ref="AO39:AO40"/>
    <mergeCell ref="AP39:AP40"/>
    <mergeCell ref="A41:A42"/>
    <mergeCell ref="AJ41:AJ42"/>
    <mergeCell ref="AK41:AK42"/>
    <mergeCell ref="AL41:AL42"/>
    <mergeCell ref="AM41:AM42"/>
    <mergeCell ref="B41:B42"/>
    <mergeCell ref="C41:C42"/>
    <mergeCell ref="D41:D42"/>
    <mergeCell ref="AN41:AN42"/>
    <mergeCell ref="AO41:AO42"/>
    <mergeCell ref="AP41:AP42"/>
    <mergeCell ref="AQ41:AQ42"/>
    <mergeCell ref="AR41:AR42"/>
    <mergeCell ref="AS41:AS42"/>
    <mergeCell ref="AT41:AT42"/>
    <mergeCell ref="AU41:AU42"/>
    <mergeCell ref="AV41:AV42"/>
    <mergeCell ref="AX41:AX42"/>
    <mergeCell ref="AY41:AY42"/>
    <mergeCell ref="AY43:AY44"/>
    <mergeCell ref="AZ43:AZ44"/>
    <mergeCell ref="AV43:AV44"/>
    <mergeCell ref="AX43:AX44"/>
    <mergeCell ref="AZ41:AZ42"/>
    <mergeCell ref="A45:A46"/>
    <mergeCell ref="AJ45:AJ46"/>
    <mergeCell ref="AK45:AK46"/>
    <mergeCell ref="AL45:AL46"/>
    <mergeCell ref="AM45:AM46"/>
    <mergeCell ref="AR43:AR44"/>
    <mergeCell ref="AS43:AS44"/>
    <mergeCell ref="AT43:AT44"/>
    <mergeCell ref="AU43:AU44"/>
    <mergeCell ref="AL43:AL44"/>
    <mergeCell ref="AM43:AM44"/>
    <mergeCell ref="AN43:AN44"/>
    <mergeCell ref="AO43:AO44"/>
    <mergeCell ref="AP43:AP44"/>
    <mergeCell ref="AQ43:AQ44"/>
    <mergeCell ref="A43:A44"/>
    <mergeCell ref="AT45:AT46"/>
    <mergeCell ref="AU45:AU46"/>
    <mergeCell ref="AV45:AV46"/>
    <mergeCell ref="AX45:AX46"/>
    <mergeCell ref="AY45:AY46"/>
    <mergeCell ref="AZ45:AZ46"/>
    <mergeCell ref="AN45:AN46"/>
    <mergeCell ref="AO45:AO46"/>
    <mergeCell ref="AP45:AP46"/>
    <mergeCell ref="AQ45:AQ46"/>
    <mergeCell ref="AR45:AR46"/>
    <mergeCell ref="AS45:AS46"/>
    <mergeCell ref="B45:B46"/>
    <mergeCell ref="B47:B48"/>
    <mergeCell ref="C47:C48"/>
    <mergeCell ref="D47:D48"/>
    <mergeCell ref="AL47:AL48"/>
    <mergeCell ref="AM47:AM48"/>
    <mergeCell ref="AJ43:AJ44"/>
    <mergeCell ref="C45:C46"/>
    <mergeCell ref="D45:D46"/>
    <mergeCell ref="AU47:AU48"/>
    <mergeCell ref="AV47:AV48"/>
    <mergeCell ref="AX47:AX48"/>
    <mergeCell ref="AY47:AY48"/>
    <mergeCell ref="AZ47:AZ48"/>
    <mergeCell ref="AS47:AS48"/>
    <mergeCell ref="AN47:AN48"/>
    <mergeCell ref="AO47:AO48"/>
    <mergeCell ref="AS49:AS50"/>
    <mergeCell ref="AT49:AT50"/>
    <mergeCell ref="AU49:AU50"/>
    <mergeCell ref="AN49:AN50"/>
    <mergeCell ref="AO49:AO50"/>
    <mergeCell ref="AP49:AP50"/>
    <mergeCell ref="AQ49:AQ50"/>
    <mergeCell ref="AP47:AP48"/>
    <mergeCell ref="AQ47:AQ48"/>
    <mergeCell ref="AR47:AR48"/>
    <mergeCell ref="AY49:AY50"/>
    <mergeCell ref="AZ49:AZ50"/>
    <mergeCell ref="AV49:AV50"/>
    <mergeCell ref="AX49:AX50"/>
    <mergeCell ref="AR49:AR50"/>
    <mergeCell ref="B49:B50"/>
    <mergeCell ref="C49:C50"/>
    <mergeCell ref="D49:D50"/>
    <mergeCell ref="A49:A50"/>
    <mergeCell ref="AJ49:AJ50"/>
    <mergeCell ref="AL49:AL50"/>
    <mergeCell ref="AM49:AM50"/>
    <mergeCell ref="AK49:AK50"/>
    <mergeCell ref="AU51:AU52"/>
    <mergeCell ref="AV51:AV52"/>
    <mergeCell ref="AX51:AX52"/>
    <mergeCell ref="AY51:AY52"/>
    <mergeCell ref="AY53:AY54"/>
    <mergeCell ref="AZ51:AZ52"/>
    <mergeCell ref="AN51:AN52"/>
    <mergeCell ref="AO51:AO52"/>
    <mergeCell ref="AP51:AP52"/>
    <mergeCell ref="AQ51:AQ52"/>
    <mergeCell ref="AR51:AR52"/>
    <mergeCell ref="AS51:AS52"/>
    <mergeCell ref="AZ53:AZ54"/>
    <mergeCell ref="AR53:AR54"/>
    <mergeCell ref="AS53:AS54"/>
    <mergeCell ref="AT53:AT54"/>
    <mergeCell ref="AU53:AU54"/>
    <mergeCell ref="AV53:AV54"/>
    <mergeCell ref="AX53:AX54"/>
    <mergeCell ref="AN53:AN54"/>
    <mergeCell ref="AO53:AO54"/>
    <mergeCell ref="AP53:AP54"/>
    <mergeCell ref="AQ53:AQ54"/>
    <mergeCell ref="AW51:AW52"/>
    <mergeCell ref="E69:Q69"/>
    <mergeCell ref="D59:I59"/>
    <mergeCell ref="K59:M59"/>
    <mergeCell ref="O59:S59"/>
    <mergeCell ref="C53:C54"/>
    <mergeCell ref="D53:D54"/>
    <mergeCell ref="A56:C56"/>
    <mergeCell ref="D56:I56"/>
    <mergeCell ref="K56:M56"/>
    <mergeCell ref="O56:S56"/>
    <mergeCell ref="D57:I57"/>
    <mergeCell ref="K57:M57"/>
    <mergeCell ref="O57:S57"/>
    <mergeCell ref="D58:I58"/>
    <mergeCell ref="K58:M58"/>
    <mergeCell ref="O58:S58"/>
    <mergeCell ref="E68:Q68"/>
    <mergeCell ref="A53:A54"/>
    <mergeCell ref="B53:B54"/>
    <mergeCell ref="A27:A28"/>
    <mergeCell ref="U56:Z56"/>
    <mergeCell ref="U58:Z58"/>
    <mergeCell ref="AJ53:AJ54"/>
    <mergeCell ref="AK53:AK54"/>
    <mergeCell ref="AT51:AT52"/>
    <mergeCell ref="AL53:AL54"/>
    <mergeCell ref="AM53:AM54"/>
    <mergeCell ref="D51:D52"/>
    <mergeCell ref="A51:A52"/>
    <mergeCell ref="AJ51:AJ52"/>
    <mergeCell ref="AK51:AK52"/>
    <mergeCell ref="AL51:AL52"/>
    <mergeCell ref="AM51:AM52"/>
    <mergeCell ref="B51:B52"/>
    <mergeCell ref="C51:C52"/>
    <mergeCell ref="AT47:AT48"/>
    <mergeCell ref="A47:A48"/>
    <mergeCell ref="AJ47:AJ48"/>
    <mergeCell ref="AK47:AK48"/>
    <mergeCell ref="AK43:AK44"/>
    <mergeCell ref="B43:B44"/>
    <mergeCell ref="C43:C44"/>
    <mergeCell ref="D43:D44"/>
    <mergeCell ref="A21:A22"/>
    <mergeCell ref="B21:B22"/>
    <mergeCell ref="C21:C22"/>
    <mergeCell ref="D21:D22"/>
    <mergeCell ref="AJ21:AJ22"/>
    <mergeCell ref="AK21:AK22"/>
    <mergeCell ref="AL21:AL22"/>
    <mergeCell ref="AM21:AM22"/>
    <mergeCell ref="AN21:AN22"/>
    <mergeCell ref="AY21:AY22"/>
    <mergeCell ref="AZ21:AZ22"/>
    <mergeCell ref="AO21:AO22"/>
    <mergeCell ref="AP21:AP22"/>
    <mergeCell ref="AQ21:AQ22"/>
    <mergeCell ref="AR21:AR22"/>
    <mergeCell ref="AS21:AS22"/>
    <mergeCell ref="AT21:AT22"/>
    <mergeCell ref="AU21:AU22"/>
    <mergeCell ref="AV21:AV22"/>
    <mergeCell ref="AX21:AX22"/>
    <mergeCell ref="AW13:AW15"/>
    <mergeCell ref="AW17:AW18"/>
    <mergeCell ref="AW19:AW20"/>
    <mergeCell ref="AW21:AW22"/>
    <mergeCell ref="AW23:AW24"/>
    <mergeCell ref="AW27:AW28"/>
    <mergeCell ref="AW29:AW30"/>
    <mergeCell ref="AW31:AW32"/>
    <mergeCell ref="AW53:AW54"/>
    <mergeCell ref="AW35:AW36"/>
    <mergeCell ref="AW37:AW38"/>
    <mergeCell ref="AW39:AW40"/>
    <mergeCell ref="AW41:AW42"/>
    <mergeCell ref="AW43:AW44"/>
    <mergeCell ref="AW45:AW46"/>
    <mergeCell ref="AW47:AW48"/>
    <mergeCell ref="AW49:AW50"/>
  </mergeCells>
  <conditionalFormatting sqref="E17">
    <cfRule type="expression" dxfId="332" priority="73" stopIfTrue="1">
      <formula>(E17="Р")</formula>
    </cfRule>
    <cfRule type="expression" dxfId="331" priority="74" stopIfTrue="1">
      <formula>(E17="ВЧ")</formula>
    </cfRule>
    <cfRule type="expression" dxfId="330" priority="75" stopIfTrue="1">
      <formula>(E17="ВЧ1")</formula>
    </cfRule>
    <cfRule type="expression" dxfId="329" priority="76" stopIfTrue="1">
      <formula>(E17="ВЧ2")</formula>
    </cfRule>
    <cfRule type="expression" dxfId="328" priority="77" stopIfTrue="1">
      <formula>(E17="РН")</formula>
    </cfRule>
    <cfRule type="expression" dxfId="327" priority="78" stopIfTrue="1">
      <formula>(E17="НУ")</formula>
    </cfRule>
    <cfRule type="expression" dxfId="326" priority="79" stopIfTrue="1">
      <formula>(E17="Р1")</formula>
    </cfRule>
    <cfRule type="expression" dxfId="325" priority="80" stopIfTrue="1">
      <formula>(E17="Р2")</formula>
    </cfRule>
    <cfRule type="expression" dxfId="324" priority="81" stopIfTrue="1">
      <formula>(E17="Р1/РВ")</formula>
    </cfRule>
    <cfRule type="expression" dxfId="323" priority="82" stopIfTrue="1">
      <formula>(E17="Р2/РВ")</formula>
    </cfRule>
    <cfRule type="expression" dxfId="322" priority="83" stopIfTrue="1">
      <formula>(E17="ВЧ/РВ")</formula>
    </cfRule>
    <cfRule type="expression" priority="84" stopIfTrue="1">
      <formula>(E17="РН/РВ")</formula>
    </cfRule>
  </conditionalFormatting>
  <conditionalFormatting sqref="F17:AI17">
    <cfRule type="expression" dxfId="321" priority="61" stopIfTrue="1">
      <formula>(F17="Р")</formula>
    </cfRule>
    <cfRule type="expression" dxfId="320" priority="62" stopIfTrue="1">
      <formula>(F17="ВЧ")</formula>
    </cfRule>
    <cfRule type="expression" dxfId="319" priority="63" stopIfTrue="1">
      <formula>(F17="ВЧ1")</formula>
    </cfRule>
    <cfRule type="expression" dxfId="318" priority="64" stopIfTrue="1">
      <formula>(F17="ВЧ2")</formula>
    </cfRule>
    <cfRule type="expression" dxfId="317" priority="65" stopIfTrue="1">
      <formula>(F17="РН")</formula>
    </cfRule>
    <cfRule type="expression" dxfId="316" priority="66" stopIfTrue="1">
      <formula>(F17="НУ")</formula>
    </cfRule>
    <cfRule type="expression" dxfId="315" priority="67" stopIfTrue="1">
      <formula>(F17="Р1")</formula>
    </cfRule>
    <cfRule type="expression" dxfId="314" priority="68" stopIfTrue="1">
      <formula>(F17="Р2")</formula>
    </cfRule>
    <cfRule type="expression" dxfId="313" priority="69" stopIfTrue="1">
      <formula>(F17="Р1/РВ")</formula>
    </cfRule>
    <cfRule type="expression" dxfId="312" priority="70" stopIfTrue="1">
      <formula>(F17="Р2/РВ")</formula>
    </cfRule>
    <cfRule type="expression" dxfId="311" priority="71" stopIfTrue="1">
      <formula>(F17="ВЧ/РВ")</formula>
    </cfRule>
    <cfRule type="expression" priority="72" stopIfTrue="1">
      <formula>(F17="РН/РВ")</formula>
    </cfRule>
  </conditionalFormatting>
  <conditionalFormatting sqref="E18">
    <cfRule type="expression" dxfId="310" priority="85" stopIfTrue="1">
      <formula>(E17="ВД")</formula>
    </cfRule>
    <cfRule type="expression" dxfId="309" priority="86" stopIfTrue="1">
      <formula>(E17="В")</formula>
    </cfRule>
    <cfRule type="expression" dxfId="308" priority="87" stopIfTrue="1">
      <formula>(E17="ВП")</formula>
    </cfRule>
    <cfRule type="expression" dxfId="307" priority="88" stopIfTrue="1">
      <formula>(E17="ДД")</formula>
    </cfRule>
    <cfRule type="expression" dxfId="306" priority="89" stopIfTrue="1">
      <formula>(E17="НА")</formula>
    </cfRule>
    <cfRule type="expression" dxfId="305" priority="90" stopIfTrue="1">
      <formula>(E17="Ч")</formula>
    </cfRule>
    <cfRule type="expression" dxfId="304" priority="91" stopIfTrue="1">
      <formula>(E17="Н")</formula>
    </cfRule>
    <cfRule type="expression" dxfId="303" priority="92" stopIfTrue="1">
      <formula>(E17="ТН")</formula>
    </cfRule>
    <cfRule type="expression" dxfId="302" priority="93" stopIfTrue="1">
      <formula>(E17="ДО")</formula>
    </cfRule>
    <cfRule type="expression" dxfId="301" priority="94" stopIfTrue="1">
      <formula>(E17="ІН")</formula>
    </cfRule>
    <cfRule type="expression" dxfId="300" priority="95" stopIfTrue="1">
      <formula>(E17="РВ")</formula>
    </cfRule>
    <cfRule type="expression" dxfId="299" priority="96" stopIfTrue="1">
      <formula>(E17="ВБ")</formula>
    </cfRule>
  </conditionalFormatting>
  <conditionalFormatting sqref="F18:AI18">
    <cfRule type="expression" dxfId="298" priority="49" stopIfTrue="1">
      <formula>(F17="ВД")</formula>
    </cfRule>
    <cfRule type="expression" dxfId="297" priority="50" stopIfTrue="1">
      <formula>(F17="В")</formula>
    </cfRule>
    <cfRule type="expression" dxfId="296" priority="51" stopIfTrue="1">
      <formula>(F17="ВП")</formula>
    </cfRule>
    <cfRule type="expression" dxfId="295" priority="52" stopIfTrue="1">
      <formula>(F17="ДД")</formula>
    </cfRule>
    <cfRule type="expression" dxfId="294" priority="53" stopIfTrue="1">
      <formula>(F17="НА")</formula>
    </cfRule>
    <cfRule type="expression" dxfId="293" priority="54" stopIfTrue="1">
      <formula>(F17="Ч")</formula>
    </cfRule>
    <cfRule type="expression" dxfId="292" priority="55" stopIfTrue="1">
      <formula>(F17="Н")</formula>
    </cfRule>
    <cfRule type="expression" dxfId="291" priority="56" stopIfTrue="1">
      <formula>(F17="ТН")</formula>
    </cfRule>
    <cfRule type="expression" dxfId="290" priority="57" stopIfTrue="1">
      <formula>(F17="ДО")</formula>
    </cfRule>
    <cfRule type="expression" dxfId="289" priority="58" stopIfTrue="1">
      <formula>(F17="ІН")</formula>
    </cfRule>
    <cfRule type="expression" dxfId="288" priority="59" stopIfTrue="1">
      <formula>(F17="РВ")</formula>
    </cfRule>
    <cfRule type="expression" dxfId="287" priority="60" stopIfTrue="1">
      <formula>(F17="ВБ")</formula>
    </cfRule>
  </conditionalFormatting>
  <conditionalFormatting sqref="E19 E21 E23 E25 E27 E29 E31 E33 E35 E37 E39 E41 E43 E45 E47 E49 E51">
    <cfRule type="expression" dxfId="286" priority="25" stopIfTrue="1">
      <formula>(E19="Р")</formula>
    </cfRule>
    <cfRule type="expression" dxfId="285" priority="26" stopIfTrue="1">
      <formula>(E19="ВЧ")</formula>
    </cfRule>
    <cfRule type="expression" dxfId="284" priority="27" stopIfTrue="1">
      <formula>(E19="ВЧ1")</formula>
    </cfRule>
    <cfRule type="expression" dxfId="283" priority="28" stopIfTrue="1">
      <formula>(E19="ВЧ2")</formula>
    </cfRule>
    <cfRule type="expression" dxfId="282" priority="29" stopIfTrue="1">
      <formula>(E19="РН")</formula>
    </cfRule>
    <cfRule type="expression" dxfId="281" priority="30" stopIfTrue="1">
      <formula>(E19="НУ")</formula>
    </cfRule>
    <cfRule type="expression" dxfId="280" priority="31" stopIfTrue="1">
      <formula>(E19="Р1")</formula>
    </cfRule>
    <cfRule type="expression" dxfId="279" priority="32" stopIfTrue="1">
      <formula>(E19="Р2")</formula>
    </cfRule>
    <cfRule type="expression" dxfId="278" priority="33" stopIfTrue="1">
      <formula>(E19="Р1/РВ")</formula>
    </cfRule>
    <cfRule type="expression" dxfId="277" priority="34" stopIfTrue="1">
      <formula>(E19="Р2/РВ")</formula>
    </cfRule>
    <cfRule type="expression" dxfId="276" priority="35" stopIfTrue="1">
      <formula>(E19="ВЧ/РВ")</formula>
    </cfRule>
    <cfRule type="expression" priority="36" stopIfTrue="1">
      <formula>(E19="РН/РВ")</formula>
    </cfRule>
  </conditionalFormatting>
  <conditionalFormatting sqref="F19:AI19 F21:AI21 F23:AI23 F25:AI25 F27:AI27 F29:AI29 F31:AI31 F33:AI33 F35:AI35 F37:AI37 F39:AI39 F41:AI41 F43:AI43 F45:AI45 F47:AI47 F49:AI49 F51:AI51">
    <cfRule type="expression" dxfId="275" priority="13" stopIfTrue="1">
      <formula>(F19="Р")</formula>
    </cfRule>
    <cfRule type="expression" dxfId="274" priority="14" stopIfTrue="1">
      <formula>(F19="ВЧ")</formula>
    </cfRule>
    <cfRule type="expression" dxfId="273" priority="15" stopIfTrue="1">
      <formula>(F19="ВЧ1")</formula>
    </cfRule>
    <cfRule type="expression" dxfId="272" priority="16" stopIfTrue="1">
      <formula>(F19="ВЧ2")</formula>
    </cfRule>
    <cfRule type="expression" dxfId="271" priority="17" stopIfTrue="1">
      <formula>(F19="РН")</formula>
    </cfRule>
    <cfRule type="expression" dxfId="270" priority="18" stopIfTrue="1">
      <formula>(F19="НУ")</formula>
    </cfRule>
    <cfRule type="expression" dxfId="269" priority="19" stopIfTrue="1">
      <formula>(F19="Р1")</formula>
    </cfRule>
    <cfRule type="expression" dxfId="268" priority="20" stopIfTrue="1">
      <formula>(F19="Р2")</formula>
    </cfRule>
    <cfRule type="expression" dxfId="267" priority="21" stopIfTrue="1">
      <formula>(F19="Р1/РВ")</formula>
    </cfRule>
    <cfRule type="expression" dxfId="266" priority="22" stopIfTrue="1">
      <formula>(F19="Р2/РВ")</formula>
    </cfRule>
    <cfRule type="expression" dxfId="265" priority="23" stopIfTrue="1">
      <formula>(F19="ВЧ/РВ")</formula>
    </cfRule>
    <cfRule type="expression" priority="24" stopIfTrue="1">
      <formula>(F19="РН/РВ")</formula>
    </cfRule>
  </conditionalFormatting>
  <conditionalFormatting sqref="E20 E22 E24 E26 E28 E30 E32 E34 E36 E38 E40 E42 E44 E46 E48 E50 E52">
    <cfRule type="expression" dxfId="264" priority="37" stopIfTrue="1">
      <formula>(E19="ВД")</formula>
    </cfRule>
    <cfRule type="expression" dxfId="263" priority="38" stopIfTrue="1">
      <formula>(E19="В")</formula>
    </cfRule>
    <cfRule type="expression" dxfId="262" priority="39" stopIfTrue="1">
      <formula>(E19="ВП")</formula>
    </cfRule>
    <cfRule type="expression" dxfId="261" priority="40" stopIfTrue="1">
      <formula>(E19="ДД")</formula>
    </cfRule>
    <cfRule type="expression" dxfId="260" priority="41" stopIfTrue="1">
      <formula>(E19="НА")</formula>
    </cfRule>
    <cfRule type="expression" dxfId="259" priority="42" stopIfTrue="1">
      <formula>(E19="Ч")</formula>
    </cfRule>
    <cfRule type="expression" dxfId="258" priority="43" stopIfTrue="1">
      <formula>(E19="Н")</formula>
    </cfRule>
    <cfRule type="expression" dxfId="257" priority="44" stopIfTrue="1">
      <formula>(E19="ТН")</formula>
    </cfRule>
    <cfRule type="expression" dxfId="256" priority="45" stopIfTrue="1">
      <formula>(E19="ДО")</formula>
    </cfRule>
    <cfRule type="expression" dxfId="255" priority="46" stopIfTrue="1">
      <formula>(E19="ІН")</formula>
    </cfRule>
    <cfRule type="expression" dxfId="254" priority="47" stopIfTrue="1">
      <formula>(E19="РВ")</formula>
    </cfRule>
    <cfRule type="expression" dxfId="253" priority="48" stopIfTrue="1">
      <formula>(E19="ВБ")</formula>
    </cfRule>
  </conditionalFormatting>
  <conditionalFormatting sqref="F20:AI20 F22:AI22 F24:AI24 F26:AI26 F28:AI28 F30:AI30 F32:AI32 F34:AI34 F36:AI36 F38:AI38 F40:AI40 F42:AI42 F44:AI44 F46:AI46 F48:AI48 F50:AI50 F52:AI52">
    <cfRule type="expression" dxfId="252" priority="1" stopIfTrue="1">
      <formula>(F19="ВД")</formula>
    </cfRule>
    <cfRule type="expression" dxfId="251" priority="2" stopIfTrue="1">
      <formula>(F19="В")</formula>
    </cfRule>
    <cfRule type="expression" dxfId="250" priority="3" stopIfTrue="1">
      <formula>(F19="ВП")</formula>
    </cfRule>
    <cfRule type="expression" dxfId="249" priority="4" stopIfTrue="1">
      <formula>(F19="ДД")</formula>
    </cfRule>
    <cfRule type="expression" dxfId="248" priority="5" stopIfTrue="1">
      <formula>(F19="НА")</formula>
    </cfRule>
    <cfRule type="expression" dxfId="247" priority="6" stopIfTrue="1">
      <formula>(F19="Ч")</formula>
    </cfRule>
    <cfRule type="expression" dxfId="246" priority="7" stopIfTrue="1">
      <formula>(F19="Н")</formula>
    </cfRule>
    <cfRule type="expression" dxfId="245" priority="8" stopIfTrue="1">
      <formula>(F19="ТН")</formula>
    </cfRule>
    <cfRule type="expression" dxfId="244" priority="9" stopIfTrue="1">
      <formula>(F19="ДО")</formula>
    </cfRule>
    <cfRule type="expression" dxfId="243" priority="10" stopIfTrue="1">
      <formula>(F19="ІН")</formula>
    </cfRule>
    <cfRule type="expression" dxfId="242" priority="11" stopIfTrue="1">
      <formula>(F19="РВ")</formula>
    </cfRule>
    <cfRule type="expression" dxfId="241" priority="12" stopIfTrue="1">
      <formula>(F19="ВБ")</formula>
    </cfRule>
  </conditionalFormatting>
  <printOptions horizontalCentered="1"/>
  <pageMargins left="0.39370078740157483" right="0.39370078740157483" top="0.59055118110236227" bottom="0.59055118110236227" header="0" footer="0"/>
  <pageSetup paperSize="8" scale="84" fitToHeight="999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8" r:id="rId4" name="Button 4">
              <controlPr defaultSize="0" print="0" autoFill="0" autoPict="0" macro="[0]!Макрос1">
                <anchor moveWithCells="1" sizeWithCells="1">
                  <from>
                    <xdr:col>16</xdr:col>
                    <xdr:colOff>19050</xdr:colOff>
                    <xdr:row>1</xdr:row>
                    <xdr:rowOff>19050</xdr:rowOff>
                  </from>
                  <to>
                    <xdr:col>20</xdr:col>
                    <xdr:colOff>228600</xdr:colOff>
                    <xdr:row>2</xdr:row>
                    <xdr:rowOff>95250</xdr:rowOff>
                  </to>
                </anchor>
              </controlPr>
            </control>
          </mc:Choice>
        </mc:AlternateContent>
        <mc:AlternateContent xmlns:mc="http://schemas.openxmlformats.org/markup-compatibility/2006">
          <mc:Choice Requires="x14">
            <control shapeId="36869" r:id="rId5" name="Button 5">
              <controlPr defaultSize="0" print="0" autoFill="0" autoPict="0" macro="[0]!Макрос2">
                <anchor moveWithCells="1" sizeWithCells="1">
                  <from>
                    <xdr:col>16</xdr:col>
                    <xdr:colOff>19050</xdr:colOff>
                    <xdr:row>3</xdr:row>
                    <xdr:rowOff>76200</xdr:rowOff>
                  </from>
                  <to>
                    <xdr:col>20</xdr:col>
                    <xdr:colOff>238125</xdr:colOff>
                    <xdr:row>4</xdr:row>
                    <xdr:rowOff>114300</xdr:rowOff>
                  </to>
                </anchor>
              </controlPr>
            </control>
          </mc:Choice>
        </mc:AlternateContent>
        <mc:AlternateContent xmlns:mc="http://schemas.openxmlformats.org/markup-compatibility/2006">
          <mc:Choice Requires="x14">
            <control shapeId="36870" r:id="rId6" name="Button 6">
              <controlPr defaultSize="0" print="0" autoFill="0" autoPict="0" macro="[0]!Макрос3">
                <anchor moveWithCells="1" sizeWithCells="1">
                  <from>
                    <xdr:col>14</xdr:col>
                    <xdr:colOff>114300</xdr:colOff>
                    <xdr:row>5</xdr:row>
                    <xdr:rowOff>104775</xdr:rowOff>
                  </from>
                  <to>
                    <xdr:col>20</xdr:col>
                    <xdr:colOff>238125</xdr:colOff>
                    <xdr:row>6</xdr:row>
                    <xdr:rowOff>142875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6">
    <pageSetUpPr fitToPage="1"/>
  </sheetPr>
  <dimension ref="A1:BA191"/>
  <sheetViews>
    <sheetView showZeros="0" view="pageBreakPreview" topLeftCell="C1" zoomScale="80" zoomScaleNormal="190" zoomScaleSheetLayoutView="80" workbookViewId="0">
      <pane ySplit="15" topLeftCell="A16" activePane="bottomLeft" state="frozen"/>
      <selection pane="bottomLeft" activeCell="AX175" sqref="AX175:AX176"/>
    </sheetView>
  </sheetViews>
  <sheetFormatPr defaultRowHeight="12.75" x14ac:dyDescent="0.2"/>
  <cols>
    <col min="1" max="1" width="5.140625" customWidth="1"/>
    <col min="2" max="2" width="30.28515625" style="59" customWidth="1"/>
    <col min="3" max="3" width="5.7109375" customWidth="1"/>
    <col min="4" max="35" width="4.7109375" customWidth="1"/>
    <col min="36" max="36" width="4.28515625" customWidth="1"/>
    <col min="37" max="37" width="7" customWidth="1"/>
    <col min="38" max="38" width="3.85546875" customWidth="1"/>
    <col min="39" max="39" width="4.85546875" customWidth="1"/>
    <col min="40" max="40" width="4.7109375" customWidth="1"/>
    <col min="41" max="41" width="3.5703125" customWidth="1"/>
    <col min="42" max="42" width="4.7109375" customWidth="1"/>
    <col min="43" max="43" width="5.5703125" customWidth="1"/>
    <col min="44" max="44" width="5.42578125" customWidth="1"/>
    <col min="45" max="45" width="3.28515625" customWidth="1"/>
    <col min="46" max="46" width="4.85546875" customWidth="1"/>
    <col min="47" max="52" width="4.7109375" customWidth="1"/>
  </cols>
  <sheetData>
    <row r="1" spans="1:52" x14ac:dyDescent="0.2">
      <c r="A1" s="51"/>
      <c r="B1" s="51"/>
      <c r="C1" s="13"/>
      <c r="D1" s="51"/>
      <c r="E1" s="51"/>
      <c r="F1" s="51"/>
      <c r="G1" s="5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131"/>
      <c r="AX1" s="51"/>
      <c r="AY1" s="51"/>
      <c r="AZ1" s="51"/>
    </row>
    <row r="2" spans="1:52" ht="12.75" customHeight="1" x14ac:dyDescent="0.2">
      <c r="A2" s="257" t="s">
        <v>69</v>
      </c>
      <c r="B2" s="257"/>
      <c r="C2" s="257"/>
      <c r="D2" s="257"/>
      <c r="E2" s="257"/>
      <c r="F2" s="257"/>
      <c r="G2" s="257"/>
      <c r="H2" s="257"/>
      <c r="I2" s="257"/>
      <c r="J2" s="257"/>
      <c r="K2" s="257"/>
      <c r="L2" s="257"/>
      <c r="M2" s="257"/>
      <c r="N2" s="257"/>
      <c r="O2" s="51"/>
      <c r="P2" s="51"/>
      <c r="Q2" s="51"/>
      <c r="R2" s="51"/>
      <c r="S2" s="51"/>
      <c r="T2" s="51"/>
      <c r="U2" s="51"/>
      <c r="V2" s="51"/>
      <c r="W2" s="258" t="s">
        <v>8</v>
      </c>
      <c r="X2" s="259"/>
      <c r="Y2" s="259"/>
      <c r="Z2" s="259"/>
      <c r="AA2" s="259"/>
      <c r="AB2" s="260"/>
      <c r="AC2" s="51"/>
      <c r="AD2" s="51"/>
      <c r="AE2" s="51"/>
      <c r="AF2" s="51"/>
      <c r="AG2" s="51"/>
      <c r="AH2" s="51"/>
      <c r="AI2" s="51"/>
      <c r="AJ2" s="51"/>
      <c r="AK2" s="51"/>
      <c r="AL2" s="51"/>
      <c r="AM2" s="51"/>
      <c r="AN2" s="51"/>
      <c r="AO2" s="51"/>
      <c r="AP2" s="51"/>
      <c r="AQ2" s="51"/>
      <c r="AR2" s="51"/>
      <c r="AS2" s="51"/>
      <c r="AT2" s="51"/>
      <c r="AU2" s="51"/>
      <c r="AV2" s="51"/>
      <c r="AW2" s="131"/>
      <c r="AX2" s="51"/>
      <c r="AY2" s="51"/>
      <c r="AZ2" s="51"/>
    </row>
    <row r="3" spans="1:52" x14ac:dyDescent="0.2">
      <c r="A3" s="51"/>
      <c r="B3" s="51"/>
      <c r="C3" s="46" t="s">
        <v>6</v>
      </c>
      <c r="D3" s="47"/>
      <c r="E3" s="51"/>
      <c r="F3" s="51"/>
      <c r="G3" s="51"/>
      <c r="H3" s="51"/>
      <c r="I3" s="51"/>
      <c r="J3" s="51"/>
      <c r="K3" s="51"/>
      <c r="L3" s="51"/>
      <c r="M3" s="51"/>
      <c r="N3" s="51"/>
      <c r="O3" s="51"/>
      <c r="P3" s="51"/>
      <c r="Q3" s="51"/>
      <c r="R3" s="51"/>
      <c r="S3" s="51"/>
      <c r="T3" s="51"/>
      <c r="U3" s="51"/>
      <c r="V3" s="51"/>
      <c r="W3" s="258" t="s">
        <v>9</v>
      </c>
      <c r="X3" s="259"/>
      <c r="Y3" s="260"/>
      <c r="Z3" s="254" t="s">
        <v>0</v>
      </c>
      <c r="AA3" s="255"/>
      <c r="AB3" s="256"/>
      <c r="AC3" s="51"/>
      <c r="AD3" s="51"/>
      <c r="AE3" s="51"/>
      <c r="AF3" s="51"/>
      <c r="AG3" s="51"/>
      <c r="AH3" s="51"/>
      <c r="AI3" s="51"/>
      <c r="AJ3" s="51"/>
      <c r="AK3" s="51"/>
      <c r="AL3" s="51"/>
      <c r="AM3" s="51"/>
      <c r="AN3" s="51"/>
      <c r="AO3" s="51"/>
      <c r="AP3" s="51"/>
      <c r="AQ3" s="51"/>
      <c r="AR3" s="51"/>
      <c r="AS3" s="51"/>
      <c r="AT3" s="51"/>
      <c r="AU3" s="51"/>
      <c r="AV3" s="51"/>
      <c r="AW3" s="131"/>
      <c r="AX3" s="51"/>
      <c r="AY3" s="51"/>
      <c r="AZ3" s="51"/>
    </row>
    <row r="4" spans="1:52" x14ac:dyDescent="0.2">
      <c r="A4" s="51"/>
      <c r="B4" s="51"/>
      <c r="C4" s="13"/>
      <c r="D4" s="51"/>
      <c r="E4" s="51"/>
      <c r="F4" s="51"/>
      <c r="G4" s="51"/>
      <c r="H4" s="51"/>
      <c r="I4" s="51"/>
      <c r="J4" s="51"/>
      <c r="K4" s="51"/>
      <c r="L4" s="51"/>
      <c r="M4" s="51"/>
      <c r="N4" s="51"/>
      <c r="O4" s="48"/>
      <c r="P4" s="48"/>
      <c r="Q4" s="48"/>
      <c r="R4" s="51"/>
      <c r="S4" s="51"/>
      <c r="T4" s="51"/>
      <c r="U4" s="51"/>
      <c r="V4" s="51"/>
      <c r="W4" s="261">
        <v>45717</v>
      </c>
      <c r="X4" s="262"/>
      <c r="Y4" s="263"/>
      <c r="Z4" s="261">
        <v>45747</v>
      </c>
      <c r="AA4" s="262"/>
      <c r="AB4" s="263"/>
      <c r="AC4" s="51"/>
      <c r="AD4" s="51"/>
      <c r="AE4" s="51"/>
      <c r="AF4" s="51"/>
      <c r="AG4" s="51"/>
      <c r="AH4" s="51"/>
      <c r="AI4" s="51"/>
      <c r="AJ4" s="51"/>
      <c r="AK4" s="51"/>
      <c r="AL4" s="51"/>
      <c r="AM4" s="51"/>
      <c r="AN4" s="51"/>
      <c r="AO4" s="51"/>
      <c r="AP4" s="51"/>
      <c r="AQ4" s="51"/>
      <c r="AR4" s="51"/>
      <c r="AS4" s="51"/>
      <c r="AT4" s="51"/>
      <c r="AU4" s="51"/>
      <c r="AV4" s="51"/>
      <c r="AW4" s="131"/>
      <c r="AX4" s="51"/>
      <c r="AY4" s="51"/>
      <c r="AZ4" s="51"/>
    </row>
    <row r="5" spans="1:52" x14ac:dyDescent="0.2">
      <c r="A5" s="257" t="s">
        <v>135</v>
      </c>
      <c r="B5" s="257"/>
      <c r="C5" s="257"/>
      <c r="D5" s="257"/>
      <c r="E5" s="257"/>
      <c r="F5" s="257"/>
      <c r="G5" s="257"/>
      <c r="H5" s="257"/>
      <c r="I5" s="257"/>
      <c r="J5" s="257"/>
      <c r="K5" s="257"/>
      <c r="L5" s="257"/>
      <c r="M5" s="257"/>
      <c r="N5" s="257"/>
      <c r="O5" s="49"/>
      <c r="P5" s="49"/>
      <c r="Q5" s="51"/>
      <c r="R5" s="51"/>
      <c r="S5" s="51"/>
      <c r="T5" s="51"/>
      <c r="U5" s="51"/>
      <c r="V5" s="51"/>
      <c r="W5" s="51"/>
      <c r="X5" s="51"/>
      <c r="Y5" s="51"/>
      <c r="Z5" s="51"/>
      <c r="AA5" s="51"/>
      <c r="AB5" s="51"/>
      <c r="AC5" s="51"/>
      <c r="AD5" s="51"/>
      <c r="AE5" s="51"/>
      <c r="AF5" s="51"/>
      <c r="AG5" s="51"/>
      <c r="AH5" s="51"/>
      <c r="AI5" s="51"/>
      <c r="AJ5" s="51"/>
      <c r="AK5" s="51"/>
      <c r="AL5" s="51"/>
      <c r="AM5" s="51"/>
      <c r="AN5" s="51"/>
      <c r="AO5" s="51"/>
      <c r="AP5" s="51"/>
      <c r="AQ5" s="51"/>
      <c r="AR5" s="51"/>
      <c r="AS5" s="51"/>
      <c r="AT5" s="51"/>
      <c r="AU5" s="51"/>
      <c r="AV5" s="51"/>
      <c r="AW5" s="131"/>
      <c r="AX5" s="51"/>
      <c r="AY5" s="51"/>
      <c r="AZ5" s="51"/>
    </row>
    <row r="6" spans="1:52" x14ac:dyDescent="0.2">
      <c r="A6" s="270" t="s">
        <v>7</v>
      </c>
      <c r="B6" s="270"/>
      <c r="C6" s="270"/>
      <c r="D6" s="270"/>
      <c r="E6" s="270"/>
      <c r="F6" s="270"/>
      <c r="G6" s="270"/>
      <c r="H6" s="270"/>
      <c r="I6" s="270"/>
      <c r="J6" s="270"/>
      <c r="K6" s="270"/>
      <c r="L6" s="270"/>
      <c r="M6" s="270"/>
      <c r="N6" s="270"/>
      <c r="O6" s="48"/>
      <c r="P6" s="48"/>
      <c r="Q6" s="51"/>
      <c r="R6" s="51"/>
      <c r="S6" s="51"/>
      <c r="T6" s="51"/>
      <c r="U6" s="51"/>
      <c r="V6" s="51"/>
      <c r="W6" s="251" t="s">
        <v>11</v>
      </c>
      <c r="X6" s="252"/>
      <c r="Y6" s="253"/>
      <c r="Z6" s="251" t="s">
        <v>10</v>
      </c>
      <c r="AA6" s="252"/>
      <c r="AB6" s="253"/>
      <c r="AC6" s="51"/>
      <c r="AD6" s="51"/>
      <c r="AE6" s="51"/>
      <c r="AF6" s="51"/>
      <c r="AG6" s="51"/>
      <c r="AH6" s="51"/>
      <c r="AI6" s="51"/>
      <c r="AJ6" s="51"/>
      <c r="AK6" s="51"/>
      <c r="AL6" s="51"/>
      <c r="AM6" s="51"/>
      <c r="AN6" s="51"/>
      <c r="AO6" s="51"/>
      <c r="AP6" s="51"/>
      <c r="AQ6" s="51"/>
      <c r="AR6" s="51"/>
      <c r="AS6" s="51"/>
      <c r="AT6" s="51"/>
      <c r="AU6" s="51"/>
      <c r="AV6" s="51"/>
      <c r="AW6" s="131"/>
      <c r="AX6" s="51"/>
      <c r="AY6" s="51"/>
      <c r="AZ6" s="51"/>
    </row>
    <row r="7" spans="1:52" x14ac:dyDescent="0.2">
      <c r="A7" s="51"/>
      <c r="B7" s="51"/>
      <c r="C7" s="13"/>
      <c r="D7" s="51"/>
      <c r="E7" s="51"/>
      <c r="F7" s="51"/>
      <c r="G7" s="51"/>
      <c r="H7" s="51"/>
      <c r="I7" s="51"/>
      <c r="J7" s="51"/>
      <c r="K7" s="51"/>
      <c r="L7" s="51"/>
      <c r="M7" s="51"/>
      <c r="N7" s="51"/>
      <c r="O7" s="50"/>
      <c r="P7" s="50"/>
      <c r="Q7" s="51"/>
      <c r="R7" s="51"/>
      <c r="S7" s="51"/>
      <c r="T7" s="51"/>
      <c r="U7" s="51"/>
      <c r="V7" s="51"/>
      <c r="W7" s="254"/>
      <c r="X7" s="255"/>
      <c r="Y7" s="256"/>
      <c r="Z7" s="254"/>
      <c r="AA7" s="255"/>
      <c r="AB7" s="256"/>
      <c r="AC7" s="51"/>
      <c r="AD7" s="51"/>
      <c r="AE7" s="51"/>
      <c r="AF7" s="51"/>
      <c r="AG7" s="51"/>
      <c r="AH7" s="51"/>
      <c r="AI7" s="51"/>
      <c r="AJ7" s="51"/>
      <c r="AK7" s="51"/>
      <c r="AL7" s="51"/>
      <c r="AM7" s="51"/>
      <c r="AN7" s="51"/>
      <c r="AO7" s="51"/>
      <c r="AP7" s="51"/>
      <c r="AQ7" s="51"/>
      <c r="AR7" s="51"/>
      <c r="AS7" s="51"/>
      <c r="AT7" s="51"/>
      <c r="AU7" s="51"/>
      <c r="AV7" s="51"/>
      <c r="AW7" s="131"/>
      <c r="AX7" s="51"/>
      <c r="AY7" s="51"/>
      <c r="AZ7" s="51"/>
    </row>
    <row r="8" spans="1:52" x14ac:dyDescent="0.2">
      <c r="A8" s="271" t="s">
        <v>58</v>
      </c>
      <c r="B8" s="271"/>
      <c r="C8" s="227">
        <v>38076191</v>
      </c>
      <c r="D8" s="227"/>
      <c r="E8" s="227"/>
      <c r="F8" s="227"/>
      <c r="G8" s="51"/>
      <c r="H8" s="51"/>
      <c r="I8" s="51"/>
      <c r="J8" s="51"/>
      <c r="K8" s="51"/>
      <c r="L8" s="51"/>
      <c r="M8" s="51"/>
      <c r="N8" s="51"/>
      <c r="O8" s="51"/>
      <c r="P8" s="51"/>
      <c r="Q8" s="51"/>
      <c r="R8" s="51"/>
      <c r="S8" s="51"/>
      <c r="T8" s="51"/>
      <c r="U8" s="51"/>
      <c r="V8" s="51"/>
      <c r="W8" s="272" t="s">
        <v>136</v>
      </c>
      <c r="X8" s="273"/>
      <c r="Y8" s="274"/>
      <c r="Z8" s="261">
        <v>45747</v>
      </c>
      <c r="AA8" s="262"/>
      <c r="AB8" s="263"/>
      <c r="AC8" s="51"/>
      <c r="AD8" s="51"/>
      <c r="AE8" s="51"/>
      <c r="AF8" s="51"/>
      <c r="AG8" s="51"/>
      <c r="AH8" s="51"/>
      <c r="AI8" s="51"/>
      <c r="AJ8" s="51"/>
      <c r="AK8" s="51"/>
      <c r="AL8" s="51"/>
      <c r="AM8" s="51"/>
      <c r="AN8" s="51"/>
      <c r="AO8" s="51"/>
      <c r="AP8" s="51"/>
      <c r="AQ8" s="51"/>
      <c r="AR8" s="51"/>
      <c r="AS8" s="51"/>
      <c r="AT8" s="51"/>
      <c r="AU8" s="51"/>
      <c r="AV8" s="51"/>
      <c r="AW8" s="131"/>
      <c r="AX8" s="51"/>
      <c r="AY8" s="51"/>
      <c r="AZ8" s="51"/>
    </row>
    <row r="9" spans="1:52" ht="18.75" x14ac:dyDescent="0.2">
      <c r="A9" s="51"/>
      <c r="B9" s="101">
        <v>168</v>
      </c>
      <c r="C9" s="13"/>
      <c r="D9" s="51"/>
      <c r="E9" s="51"/>
      <c r="F9" s="51"/>
      <c r="G9" s="51"/>
      <c r="H9" s="278" t="s">
        <v>1</v>
      </c>
      <c r="I9" s="278"/>
      <c r="J9" s="278"/>
      <c r="K9" s="278"/>
      <c r="L9" s="278"/>
      <c r="M9" s="278"/>
      <c r="N9" s="278"/>
      <c r="O9" s="278"/>
      <c r="P9" s="278"/>
      <c r="Q9" s="278"/>
      <c r="R9" s="278"/>
      <c r="S9" s="278"/>
      <c r="T9" s="44"/>
      <c r="U9" s="44"/>
      <c r="V9" s="44"/>
      <c r="W9" s="44"/>
      <c r="X9" s="44"/>
      <c r="Y9" s="44"/>
      <c r="Z9" s="44"/>
      <c r="AA9" s="44"/>
      <c r="AB9" s="44"/>
      <c r="AC9" s="44"/>
      <c r="AD9" s="44"/>
      <c r="AE9" s="44"/>
      <c r="AF9" s="44"/>
      <c r="AG9" s="44"/>
      <c r="AH9" s="44"/>
      <c r="AI9" s="44"/>
      <c r="AJ9" s="7"/>
      <c r="AK9" s="7"/>
      <c r="AL9" s="7"/>
      <c r="AM9" s="7"/>
      <c r="AN9" s="7"/>
      <c r="AO9" s="7"/>
      <c r="AP9" s="7"/>
      <c r="AQ9" s="7"/>
      <c r="AR9" s="7"/>
      <c r="AS9" s="7"/>
      <c r="AT9" s="7"/>
      <c r="AU9" s="7"/>
      <c r="AV9" s="7"/>
      <c r="AW9" s="7"/>
      <c r="AX9" s="7"/>
      <c r="AY9" s="7"/>
      <c r="AZ9" s="7"/>
    </row>
    <row r="10" spans="1:52" ht="18.75" x14ac:dyDescent="0.2">
      <c r="A10" s="51"/>
      <c r="B10" s="51"/>
      <c r="C10" s="13"/>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c r="AZ10" s="7"/>
    </row>
    <row r="11" spans="1:52" ht="13.5" thickBot="1" x14ac:dyDescent="0.25">
      <c r="A11" s="51"/>
      <c r="B11" s="51"/>
      <c r="C11" s="13"/>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131"/>
      <c r="AX11" s="51"/>
      <c r="AY11" s="51"/>
      <c r="AZ11" s="51"/>
    </row>
    <row r="12" spans="1:52" ht="13.5"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4"/>
    </row>
    <row r="13" spans="1:52" ht="13.5"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35" t="s">
        <v>31</v>
      </c>
    </row>
    <row r="14" spans="1:52" ht="13.5"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36"/>
    </row>
    <row r="15" spans="1:52" ht="85.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37"/>
    </row>
    <row r="16" spans="1:52" ht="13.5" thickBot="1" x14ac:dyDescent="0.25">
      <c r="A16" s="125">
        <v>1</v>
      </c>
      <c r="B16" s="125">
        <v>2</v>
      </c>
      <c r="C16" s="71">
        <v>3</v>
      </c>
      <c r="D16" s="71" t="s">
        <v>27</v>
      </c>
      <c r="E16" s="232">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66">
        <v>6</v>
      </c>
      <c r="AK16" s="233">
        <v>7</v>
      </c>
      <c r="AL16" s="232"/>
      <c r="AM16" s="232"/>
      <c r="AN16" s="232"/>
      <c r="AO16" s="234"/>
      <c r="AP16" s="45">
        <v>8</v>
      </c>
      <c r="AQ16" s="27">
        <v>9</v>
      </c>
      <c r="AR16" s="28"/>
      <c r="AS16" s="28"/>
      <c r="AT16" s="28"/>
      <c r="AU16" s="28"/>
      <c r="AV16" s="28"/>
      <c r="AW16" s="28"/>
      <c r="AX16" s="28"/>
      <c r="AY16" s="29"/>
      <c r="AZ16" s="29"/>
    </row>
    <row r="17" spans="1:52" s="161" customFormat="1" ht="24" customHeight="1" x14ac:dyDescent="0.2">
      <c r="A17" s="353">
        <v>1</v>
      </c>
      <c r="B17" s="330" t="s">
        <v>372</v>
      </c>
      <c r="C17" s="340">
        <v>2007</v>
      </c>
      <c r="D17" s="228" t="s">
        <v>72</v>
      </c>
      <c r="E17" s="189" t="s">
        <v>43</v>
      </c>
      <c r="F17" s="191" t="s">
        <v>142</v>
      </c>
      <c r="G17" s="191" t="s">
        <v>142</v>
      </c>
      <c r="H17" s="191" t="s">
        <v>4</v>
      </c>
      <c r="I17" s="191" t="s">
        <v>43</v>
      </c>
      <c r="J17" s="191" t="s">
        <v>142</v>
      </c>
      <c r="K17" s="191" t="s">
        <v>142</v>
      </c>
      <c r="L17" s="191" t="s">
        <v>4</v>
      </c>
      <c r="M17" s="191" t="s">
        <v>43</v>
      </c>
      <c r="N17" s="191" t="s">
        <v>142</v>
      </c>
      <c r="O17" s="191" t="s">
        <v>142</v>
      </c>
      <c r="P17" s="191" t="s">
        <v>4</v>
      </c>
      <c r="Q17" s="191" t="s">
        <v>43</v>
      </c>
      <c r="R17" s="191" t="s">
        <v>142</v>
      </c>
      <c r="S17" s="191" t="s">
        <v>142</v>
      </c>
      <c r="T17" s="191" t="s">
        <v>4</v>
      </c>
      <c r="U17" s="191" t="s">
        <v>43</v>
      </c>
      <c r="V17" s="191" t="s">
        <v>142</v>
      </c>
      <c r="W17" s="191" t="s">
        <v>142</v>
      </c>
      <c r="X17" s="191" t="s">
        <v>4</v>
      </c>
      <c r="Y17" s="191" t="s">
        <v>43</v>
      </c>
      <c r="Z17" s="191" t="s">
        <v>142</v>
      </c>
      <c r="AA17" s="191" t="s">
        <v>142</v>
      </c>
      <c r="AB17" s="191" t="s">
        <v>4</v>
      </c>
      <c r="AC17" s="191" t="s">
        <v>43</v>
      </c>
      <c r="AD17" s="191" t="s">
        <v>142</v>
      </c>
      <c r="AE17" s="191" t="s">
        <v>142</v>
      </c>
      <c r="AF17" s="191" t="s">
        <v>4</v>
      </c>
      <c r="AG17" s="191"/>
      <c r="AH17" s="191"/>
      <c r="AI17" s="191"/>
      <c r="AJ17" s="332">
        <f>IFERROR(COUNTIF(E17:AI17,"=Р")+COUNTIF(E17:AI17,"=Р1")+COUNTIF(E17:AI17,"=ВЧ")+COUNTIF(E17:AI17,"=РН")+COUNTIF(E17:AI17,"=Р2")+COUNTIF(E17:AI17,"=Р1/РВ")+COUNTIF(E17:AI17,"=Р2/РВ")+COUNTIF(E17:AI17,"=ВЧ/РВ")+COUNTIF(E17:AI17,"=РН/РВ"),0)</f>
        <v>14</v>
      </c>
      <c r="AK17" s="333">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164</v>
      </c>
      <c r="AL17" s="211">
        <f>IFERROR(SUMIF(E17:AI17,"=НУ",E18:AI18),0)</f>
        <v>0</v>
      </c>
      <c r="AM17" s="211">
        <f>IFERROR(SUMIF(E17:AI17,"=РН",E18:AI18)+SUMIF(E17:AI17,"=РН/РВ",E18:AI18)+SUMIFS(E18:AI18,E17:AI17,"=Р2",E18:AI18,"=8"),0)</f>
        <v>56</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CEILING(SUMIFS(E18:AI18,E17:AI17,"=Р",E18:AI18,"=13")/4,4)+CEILING(SUMIFS(E18:AI18,E17:AI17,"=Р",E18:AI18,"=14")/4,4)+CEILING(SUMIFS(E18:AI18,E17:AI17,"=Р",E18:AI18,"=15")/4,4)+SUMIFS(E18:AI18,E17:AI17,"=Р",E18:AI18,"=16")/4+CEILING(SUMIFS(E18:AI18,E17:AI17,"=Р1",E18:AI18,"=13")/4,4)+CEILING(SUMIFS(E18:AI18,E17:AI17,"=Р1",E18:AI18,"=14")/4,4)+CEILING(SUMIFS(E18:AI18,E17:AI17,"=Р1",E18:AI18,"=15")/4,4)+SUMIFS(E18:AI18,E17:AI17,"=Р1",E18:AI18,"=16")/4</f>
        <v>28</v>
      </c>
      <c r="AO17" s="211">
        <f>IFERROR(SUMIF(E17:AI17,"=РВ",E18:AI18)+SUMIF(E17:AI17,"=ВЧ/РВ",E18:AI18)+SUMIF(E17:AI17,"=РН/РВ",E18:AI18)+SUMIF(E17:AI17,"=Р1/РВ",E18:AI18)+SUMIF(E17:AI17,"=ВЧ2/РВ",E18:AI18)+SUMIF(E17:AI17,"=Р2/РВ",E18:AI18),0)</f>
        <v>0</v>
      </c>
      <c r="AP17" s="211">
        <f>IFERROR(COUNTIF(E17:AI17,"=ВВ")+COUNTIF(E17:AI17,"=Р1/ВВ")+COUNTIF(E17:AI17,"=РН/ВВ")+COUNTIF(E17:AI17,"=ВЧ/ВВ"),0)</f>
        <v>14</v>
      </c>
      <c r="AQ17" s="211">
        <f>SUM(AR17:AZ17)</f>
        <v>0</v>
      </c>
      <c r="AR17" s="211">
        <f>IFERROR(SUMIF(E17:AI17,"=В",E18:AI18)+SUMIF(E17:AI17,"=Ч",E18:AI18)+SUMIF(E17:AI17,"=ВБ",E18:AI18),0)</f>
        <v>0</v>
      </c>
      <c r="AS17" s="211">
        <f>IFERROR(SUMIF(E17:AI17,"=Н",E18:AI18),0)</f>
        <v>0</v>
      </c>
      <c r="AT17" s="211">
        <f>IFERROR(SUMIF(E17:AI17,"=НА",E18:AI18),0)</f>
        <v>0</v>
      </c>
      <c r="AU17" s="211">
        <f>IFERROR(SUMIF(E17:AI17,"=ВП",E18:AI18),0)</f>
        <v>0</v>
      </c>
      <c r="AV17" s="211">
        <f>IFERROR(SUMIF(E17:AI17,"=ДД",E18:AI18),0)</f>
        <v>0</v>
      </c>
      <c r="AW17" s="202">
        <f>IFERROR(SUMIF(E17:AI17,"=ДО",E18:AI18),0)</f>
        <v>0</v>
      </c>
      <c r="AX17" s="211">
        <f>IFERROR(SUMIF(E17:AI17,"=ТН",E18:AI18),0)</f>
        <v>0</v>
      </c>
      <c r="AY17" s="211">
        <f>IFERROR(SUMIF(E17:AI17,"=ВД",E18:AI18),0)</f>
        <v>0</v>
      </c>
      <c r="AZ17" s="312">
        <f>IFERROR(SUMIF(E17:AI17,"=ІН",E18:AI18),0)+SUMIF(E17:AI17,"=НЗ",E18:AI18)</f>
        <v>0</v>
      </c>
    </row>
    <row r="18" spans="1:52" s="161" customFormat="1" ht="19.5" customHeight="1" thickBot="1" x14ac:dyDescent="0.25">
      <c r="A18" s="354"/>
      <c r="B18" s="331"/>
      <c r="C18" s="341"/>
      <c r="D18" s="337"/>
      <c r="E18" s="190">
        <v>8</v>
      </c>
      <c r="F18" s="192"/>
      <c r="G18" s="192"/>
      <c r="H18" s="192">
        <v>16</v>
      </c>
      <c r="I18" s="192">
        <v>8</v>
      </c>
      <c r="J18" s="192"/>
      <c r="K18" s="192"/>
      <c r="L18" s="192">
        <v>16</v>
      </c>
      <c r="M18" s="192">
        <v>8</v>
      </c>
      <c r="N18" s="192"/>
      <c r="O18" s="192"/>
      <c r="P18" s="192">
        <v>16</v>
      </c>
      <c r="Q18" s="192">
        <v>8</v>
      </c>
      <c r="R18" s="192"/>
      <c r="S18" s="192"/>
      <c r="T18" s="192">
        <v>16</v>
      </c>
      <c r="U18" s="192">
        <v>8</v>
      </c>
      <c r="V18" s="192"/>
      <c r="W18" s="192"/>
      <c r="X18" s="192">
        <v>15</v>
      </c>
      <c r="Y18" s="192">
        <v>8</v>
      </c>
      <c r="Z18" s="192"/>
      <c r="AA18" s="192"/>
      <c r="AB18" s="192">
        <v>16</v>
      </c>
      <c r="AC18" s="192">
        <v>8</v>
      </c>
      <c r="AD18" s="192"/>
      <c r="AE18" s="192"/>
      <c r="AF18" s="192">
        <v>13</v>
      </c>
      <c r="AG18" s="192" t="s">
        <v>491</v>
      </c>
      <c r="AH18" s="192" t="s">
        <v>492</v>
      </c>
      <c r="AI18" s="192" t="s">
        <v>493</v>
      </c>
      <c r="AJ18" s="335"/>
      <c r="AK18" s="334"/>
      <c r="AL18" s="286"/>
      <c r="AM18" s="286"/>
      <c r="AN18" s="212"/>
      <c r="AO18" s="286"/>
      <c r="AP18" s="212"/>
      <c r="AQ18" s="286"/>
      <c r="AR18" s="286"/>
      <c r="AS18" s="286"/>
      <c r="AT18" s="286"/>
      <c r="AU18" s="286"/>
      <c r="AV18" s="286"/>
      <c r="AW18" s="203"/>
      <c r="AX18" s="286"/>
      <c r="AY18" s="286"/>
      <c r="AZ18" s="329"/>
    </row>
    <row r="19" spans="1:52" s="163" customFormat="1" ht="24" customHeight="1" x14ac:dyDescent="0.2">
      <c r="A19" s="330">
        <f>A17+1</f>
        <v>2</v>
      </c>
      <c r="B19" s="336" t="s">
        <v>242</v>
      </c>
      <c r="C19" s="228">
        <v>1874</v>
      </c>
      <c r="D19" s="228" t="s">
        <v>65</v>
      </c>
      <c r="E19" s="191" t="s">
        <v>4</v>
      </c>
      <c r="F19" s="191" t="s">
        <v>43</v>
      </c>
      <c r="G19" s="191" t="s">
        <v>142</v>
      </c>
      <c r="H19" s="191" t="s">
        <v>142</v>
      </c>
      <c r="I19" s="191" t="s">
        <v>4</v>
      </c>
      <c r="J19" s="191" t="s">
        <v>43</v>
      </c>
      <c r="K19" s="191" t="s">
        <v>142</v>
      </c>
      <c r="L19" s="191" t="s">
        <v>142</v>
      </c>
      <c r="M19" s="191" t="s">
        <v>4</v>
      </c>
      <c r="N19" s="191" t="s">
        <v>43</v>
      </c>
      <c r="O19" s="191" t="s">
        <v>142</v>
      </c>
      <c r="P19" s="191" t="s">
        <v>142</v>
      </c>
      <c r="Q19" s="191" t="s">
        <v>4</v>
      </c>
      <c r="R19" s="191" t="s">
        <v>43</v>
      </c>
      <c r="S19" s="191" t="s">
        <v>142</v>
      </c>
      <c r="T19" s="191" t="s">
        <v>142</v>
      </c>
      <c r="U19" s="191" t="s">
        <v>4</v>
      </c>
      <c r="V19" s="191" t="s">
        <v>43</v>
      </c>
      <c r="W19" s="191" t="s">
        <v>142</v>
      </c>
      <c r="X19" s="191" t="s">
        <v>142</v>
      </c>
      <c r="Y19" s="191" t="s">
        <v>4</v>
      </c>
      <c r="Z19" s="191" t="s">
        <v>43</v>
      </c>
      <c r="AA19" s="191" t="s">
        <v>142</v>
      </c>
      <c r="AB19" s="191" t="s">
        <v>142</v>
      </c>
      <c r="AC19" s="191" t="s">
        <v>4</v>
      </c>
      <c r="AD19" s="191" t="s">
        <v>43</v>
      </c>
      <c r="AE19" s="191" t="s">
        <v>142</v>
      </c>
      <c r="AF19" s="191" t="s">
        <v>142</v>
      </c>
      <c r="AG19" s="191" t="s">
        <v>4</v>
      </c>
      <c r="AH19" s="191" t="s">
        <v>43</v>
      </c>
      <c r="AI19" s="191" t="s">
        <v>142</v>
      </c>
      <c r="AJ19" s="332">
        <f>IFERROR(COUNTIF(E19:AI19,"=Р")+COUNTIF(E19:AI19,"=Р1")+COUNTIF(E19:AI19,"=ВЧ")+COUNTIF(E19:AI19,"=РН")+COUNTIF(E19:AI19,"=Р2")+COUNTIF(E19:AI19,"=Р1/РВ")+COUNTIF(E19:AI19,"=Р2/РВ")+COUNTIF(E19:AI19,"=ВЧ/РВ")+COUNTIF(E19:AI19,"=РН/РВ"),0)</f>
        <v>16</v>
      </c>
      <c r="AK19" s="333">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168</v>
      </c>
      <c r="AL19" s="211">
        <f>IFERROR(SUMIF(E19:AI19,"=НУ",E20:AI20),0)</f>
        <v>0</v>
      </c>
      <c r="AM19" s="211">
        <f>IFERROR(SUMIF(E19:AI19,"=РН",E20:AI20)+SUMIF(E19:AI19,"=РН/РВ",E20:AI20)+SUMIFS(E20:AI20,E19:AI19,"=Р2",E20:AI20,"=8"),0)</f>
        <v>64</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CEILING(SUMIFS(E20:AI20,E19:AI19,"=Р",E20:AI20,"=13")/4,8)+CEILING(SUMIFS(E20:AI20,E19:AI19,"=Р",E20:AI20,"=14")/4,4)+CEILING(SUMIFS(E20:AI20,E19:AI19,"=Р",E20:AI20,"=15")/4,4)+SUMIFS(E20:AI20,E19:AI19,"=Р",E20:AI20,"=16")/4+CEILING(SUMIFS(E20:AI20,E19:AI19,"=Р1",E20:AI20,"=13")/4,4)+CEILING(SUMIFS(E20:AI20,E19:AI19,"=Р1",E20:AI20,"=14")/4,4)+CEILING(SUMIFS(E20:AI20,E19:AI19,"=Р1",E20:AI20,"=15")/4,4)+SUMIFS(E20:AI20,E19:AI19,"=Р1",E20:AI20,"=16")/4</f>
        <v>32</v>
      </c>
      <c r="AO19" s="211">
        <f>IFERROR(SUMIF(E19:AI19,"=РВ",E20:AI20)+SUMIF(E19:AI19,"=ВЧ/РВ",E20:AI20)+SUMIF(E19:AI19,"=РН/РВ",E20:AI20)+SUMIF(E19:AI19,"=Р1/РВ",E20:AI20)+SUMIF(E19:AI19,"=ВЧ2/РВ",E20:AI20)+SUMIF(E19:AI19,"=Р2/РВ",E20:AI20),0)</f>
        <v>0</v>
      </c>
      <c r="AP19" s="211">
        <f>IFERROR(COUNTIF(E19:AI19,"=ВВ")+COUNTIF(E19:AI19,"=Р1/ВВ")+COUNTIF(E19:AI19,"=РН/ВВ")+COUNTIF(E19:AI19,"=ВЧ/ВВ"),0)</f>
        <v>15</v>
      </c>
      <c r="AQ19" s="211">
        <f>SUM(AR19:AZ19)</f>
        <v>0</v>
      </c>
      <c r="AR19" s="211">
        <f>IFERROR(SUMIF(E19:AI19,"=В",E20:AI20)+SUMIF(E19:AI19,"=Ч",E20:AI20)+SUMIF(E19:AI19,"=ВБ",E20:AI20),0)</f>
        <v>0</v>
      </c>
      <c r="AS19" s="211">
        <f>IFERROR(SUMIF(E19:AI19,"=Н",E20:AI20),0)</f>
        <v>0</v>
      </c>
      <c r="AT19" s="211">
        <f>IFERROR(SUMIF(E19:AI19,"=НА",E20:AI20),0)</f>
        <v>0</v>
      </c>
      <c r="AU19" s="211">
        <f>IFERROR(SUMIF(E19:AI19,"=ВП",E20:AI20),0)</f>
        <v>0</v>
      </c>
      <c r="AV19" s="211">
        <f>IFERROR(SUMIF(E19:AI19,"=ДД",E20:AI20),0)</f>
        <v>0</v>
      </c>
      <c r="AW19" s="202">
        <f>IFERROR(SUMIF(E19:AI19,"=ДО",E20:AI20),0)</f>
        <v>0</v>
      </c>
      <c r="AX19" s="211">
        <f>IFERROR(SUMIF(E19:AI19,"=ТН",E20:AI20),0)</f>
        <v>0</v>
      </c>
      <c r="AY19" s="211">
        <f>IFERROR(SUMIF(E19:AI19,"=ВД",E20:AI20),0)</f>
        <v>0</v>
      </c>
      <c r="AZ19" s="312">
        <f>IFERROR(SUMIF(E19:AI19,"=ІН",E20:AI20),0)+SUMIF(E19:AI19,"=НЗ",E20:AI20)</f>
        <v>0</v>
      </c>
    </row>
    <row r="20" spans="1:52" s="163" customFormat="1" ht="19.5" customHeight="1" thickBot="1" x14ac:dyDescent="0.25">
      <c r="A20" s="331"/>
      <c r="B20" s="339"/>
      <c r="C20" s="337"/>
      <c r="D20" s="337"/>
      <c r="E20" s="192">
        <v>13</v>
      </c>
      <c r="F20" s="192">
        <v>8</v>
      </c>
      <c r="G20" s="192"/>
      <c r="H20" s="192"/>
      <c r="I20" s="192">
        <v>13</v>
      </c>
      <c r="J20" s="192">
        <v>8</v>
      </c>
      <c r="K20" s="192"/>
      <c r="L20" s="192"/>
      <c r="M20" s="192">
        <v>13</v>
      </c>
      <c r="N20" s="192">
        <v>8</v>
      </c>
      <c r="O20" s="192"/>
      <c r="P20" s="192"/>
      <c r="Q20" s="192">
        <v>13</v>
      </c>
      <c r="R20" s="192">
        <v>8</v>
      </c>
      <c r="S20" s="192"/>
      <c r="T20" s="192"/>
      <c r="U20" s="192">
        <v>13</v>
      </c>
      <c r="V20" s="192">
        <v>8</v>
      </c>
      <c r="W20" s="192"/>
      <c r="X20" s="192"/>
      <c r="Y20" s="192">
        <v>13</v>
      </c>
      <c r="Z20" s="192">
        <v>8</v>
      </c>
      <c r="AA20" s="192"/>
      <c r="AB20" s="192"/>
      <c r="AC20" s="192">
        <v>13</v>
      </c>
      <c r="AD20" s="192">
        <v>8</v>
      </c>
      <c r="AE20" s="192"/>
      <c r="AF20" s="192"/>
      <c r="AG20" s="192">
        <v>13</v>
      </c>
      <c r="AH20" s="192">
        <v>8</v>
      </c>
      <c r="AI20" s="192"/>
      <c r="AJ20" s="335"/>
      <c r="AK20" s="334"/>
      <c r="AL20" s="286"/>
      <c r="AM20" s="286"/>
      <c r="AN20" s="212"/>
      <c r="AO20" s="286"/>
      <c r="AP20" s="212"/>
      <c r="AQ20" s="286"/>
      <c r="AR20" s="286"/>
      <c r="AS20" s="286"/>
      <c r="AT20" s="286"/>
      <c r="AU20" s="286"/>
      <c r="AV20" s="286"/>
      <c r="AW20" s="203"/>
      <c r="AX20" s="286"/>
      <c r="AY20" s="286"/>
      <c r="AZ20" s="329"/>
    </row>
    <row r="21" spans="1:52" ht="20.100000000000001" customHeight="1" x14ac:dyDescent="0.2">
      <c r="A21" s="330">
        <f t="shared" ref="A21" si="0">A19+1</f>
        <v>3</v>
      </c>
      <c r="B21" s="336" t="s">
        <v>285</v>
      </c>
      <c r="C21" s="293">
        <v>1794</v>
      </c>
      <c r="D21" s="293" t="s">
        <v>65</v>
      </c>
      <c r="E21" s="191" t="s">
        <v>142</v>
      </c>
      <c r="F21" s="191" t="s">
        <v>142</v>
      </c>
      <c r="G21" s="191" t="s">
        <v>4</v>
      </c>
      <c r="H21" s="191" t="s">
        <v>4</v>
      </c>
      <c r="I21" s="191" t="s">
        <v>4</v>
      </c>
      <c r="J21" s="191" t="s">
        <v>4</v>
      </c>
      <c r="K21" s="191" t="s">
        <v>4</v>
      </c>
      <c r="L21" s="191" t="s">
        <v>142</v>
      </c>
      <c r="M21" s="191" t="s">
        <v>142</v>
      </c>
      <c r="N21" s="191" t="s">
        <v>4</v>
      </c>
      <c r="O21" s="191" t="s">
        <v>4</v>
      </c>
      <c r="P21" s="191" t="s">
        <v>4</v>
      </c>
      <c r="Q21" s="191" t="s">
        <v>4</v>
      </c>
      <c r="R21" s="191" t="s">
        <v>4</v>
      </c>
      <c r="S21" s="191" t="s">
        <v>142</v>
      </c>
      <c r="T21" s="191" t="s">
        <v>142</v>
      </c>
      <c r="U21" s="191" t="s">
        <v>4</v>
      </c>
      <c r="V21" s="191" t="s">
        <v>4</v>
      </c>
      <c r="W21" s="191" t="s">
        <v>4</v>
      </c>
      <c r="X21" s="191" t="s">
        <v>4</v>
      </c>
      <c r="Y21" s="191" t="s">
        <v>4</v>
      </c>
      <c r="Z21" s="191" t="s">
        <v>142</v>
      </c>
      <c r="AA21" s="191" t="s">
        <v>142</v>
      </c>
      <c r="AB21" s="191" t="s">
        <v>4</v>
      </c>
      <c r="AC21" s="191" t="s">
        <v>4</v>
      </c>
      <c r="AD21" s="191" t="s">
        <v>4</v>
      </c>
      <c r="AE21" s="191" t="s">
        <v>4</v>
      </c>
      <c r="AF21" s="191" t="s">
        <v>4</v>
      </c>
      <c r="AG21" s="191" t="s">
        <v>142</v>
      </c>
      <c r="AH21" s="191" t="s">
        <v>142</v>
      </c>
      <c r="AI21" s="191" t="s">
        <v>4</v>
      </c>
      <c r="AJ21" s="332">
        <f>IFERROR(COUNTIF(E21:AI21,"=Р")+COUNTIF(E21:AI21,"=Р1")+COUNTIF(E21:AI21,"=ВЧ")+COUNTIF(E21:AI21,"=РН")+COUNTIF(E21:AI21,"=Р2")+COUNTIF(E21:AI21,"=Р1/РВ")+COUNTIF(E21:AI21,"=Р2/РВ")+COUNTIF(E21:AI21,"=ВЧ/РВ")+COUNTIF(E21:AI21,"=РН/РВ"),0)</f>
        <v>21</v>
      </c>
      <c r="AK21" s="333">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167.99999999999997</v>
      </c>
      <c r="AL21" s="211">
        <f>IFERROR(SUMIF(E21:AI21,"=НУ",E22:AI22),0)</f>
        <v>0</v>
      </c>
      <c r="AM21" s="211">
        <f>IFERROR(SUMIF(E21:AI21,"=РН",E22:AI22)+SUMIF(E21:AI21,"=РН/РВ",E22:AI22)+SUMIFS(E22:AI22,E21:AI21,"=Р2",E22:AI22,"=8"),0)</f>
        <v>0</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CEILING(SUMIFS(E22:AI22,E21:AI21,"=Р",E22:AI22,"=13")/4,4)+CEILING(SUMIFS(E22:AI22,E21:AI21,"=Р",E22:AI22,"=14")/4,4)+CEILING(SUMIFS(E22:AI22,E21:AI21,"=Р",E22:AI22,"=15")/4,4)+SUMIFS(E22:AI22,E21:AI21,"=Р",E22:AI22,"=16")/4+CEILING(SUMIFS(E22:AI22,E21:AI21,"=Р1",E22:AI22,"=13")/4,4)+CEILING(SUMIFS(E22:AI22,E21:AI21,"=Р1",E22:AI22,"=14")/4,4)+CEILING(SUMIFS(E22:AI22,E21:AI21,"=Р1",E22:AI22,"=15")/4,4)+SUMIFS(E22:AI22,E21:AI21,"=Р1",E22:AI22,"=16")/4</f>
        <v>0</v>
      </c>
      <c r="AO21" s="211">
        <f>IFERROR(SUMIF(E21:AI21,"=РВ",E22:AI22)+SUMIF(E21:AI21,"=ВЧ/РВ",E22:AI22)+SUMIF(E21:AI21,"=РН/РВ",E22:AI22)+SUMIF(E21:AI21,"=Р1/РВ",E22:AI22)+SUMIF(E21:AI21,"=ВЧ2/РВ",E22:AI22)+SUMIF(E21:AI21,"=Р2/РВ",E22:AI22),0)</f>
        <v>0</v>
      </c>
      <c r="AP21" s="211">
        <f>IFERROR(COUNTIF(E21:AI21,"=ВВ")+COUNTIF(E21:AI21,"=Р1/ВВ")+COUNTIF(E21:AI21,"=РН/ВВ")+COUNTIF(E21:AI21,"=ВЧ/ВВ"),0)</f>
        <v>10</v>
      </c>
      <c r="AQ21" s="211">
        <f>SUM(AR21:AZ21)</f>
        <v>0</v>
      </c>
      <c r="AR21" s="211">
        <f>IFERROR(SUMIF(E21:AI21,"=В",E22:AI22)+SUMIF(E21:AI21,"=Ч",E22:AI22)+SUMIF(E21:AI21,"=ВБ",E22:AI22),0)</f>
        <v>0</v>
      </c>
      <c r="AS21" s="211">
        <f>IFERROR(SUMIF(E21:AI21,"=Н",E22:AI22),0)</f>
        <v>0</v>
      </c>
      <c r="AT21" s="211">
        <f>IFERROR(SUMIF(E21:AI21,"=НА",E22:AI22),0)</f>
        <v>0</v>
      </c>
      <c r="AU21" s="211">
        <f>IFERROR(SUMIF(E21:AI21,"=ВП",E22:AI22),0)</f>
        <v>0</v>
      </c>
      <c r="AV21" s="211">
        <f>IFERROR(SUMIF(E21:AI21,"=ДД",E22:AI22),0)</f>
        <v>0</v>
      </c>
      <c r="AW21" s="202">
        <f>IFERROR(SUMIF(E21:AI21,"=ДО",E22:AI22),0)</f>
        <v>0</v>
      </c>
      <c r="AX21" s="211">
        <f>IFERROR(SUMIF(E21:AI21,"=ТН",E22:AI22),0)</f>
        <v>0</v>
      </c>
      <c r="AY21" s="211">
        <f>IFERROR(SUMIF(E21:AI21,"=ВД",E22:AI22),0)</f>
        <v>0</v>
      </c>
      <c r="AZ21" s="312">
        <f>IFERROR(SUMIF(E21:AI21,"=ІН",E22:AI22),0)+SUMIF(E21:AI21,"=НЗ",E22:AI22)</f>
        <v>0</v>
      </c>
    </row>
    <row r="22" spans="1:52" ht="24" customHeight="1" thickBot="1" x14ac:dyDescent="0.25">
      <c r="A22" s="331"/>
      <c r="B22" s="331"/>
      <c r="C22" s="229"/>
      <c r="D22" s="229"/>
      <c r="E22" s="192"/>
      <c r="F22" s="192"/>
      <c r="G22" s="192">
        <v>8.1999999999999993</v>
      </c>
      <c r="H22" s="192">
        <v>8.1999999999999993</v>
      </c>
      <c r="I22" s="192">
        <v>8.1999999999999993</v>
      </c>
      <c r="J22" s="192">
        <v>8.1999999999999993</v>
      </c>
      <c r="K22" s="192">
        <v>7</v>
      </c>
      <c r="L22" s="192"/>
      <c r="M22" s="192"/>
      <c r="N22" s="192">
        <v>8.1999999999999993</v>
      </c>
      <c r="O22" s="192">
        <v>8.1999999999999993</v>
      </c>
      <c r="P22" s="192">
        <v>8.1999999999999993</v>
      </c>
      <c r="Q22" s="192">
        <v>8.1999999999999993</v>
      </c>
      <c r="R22" s="192">
        <v>7.2</v>
      </c>
      <c r="S22" s="192"/>
      <c r="T22" s="192"/>
      <c r="U22" s="192">
        <v>8.1999999999999993</v>
      </c>
      <c r="V22" s="192">
        <v>8.1999999999999993</v>
      </c>
      <c r="W22" s="192">
        <v>8.1999999999999993</v>
      </c>
      <c r="X22" s="192">
        <v>8.1999999999999993</v>
      </c>
      <c r="Y22" s="192">
        <v>7.2</v>
      </c>
      <c r="Z22" s="192"/>
      <c r="AA22" s="192"/>
      <c r="AB22" s="192">
        <v>8.1999999999999993</v>
      </c>
      <c r="AC22" s="192">
        <v>8.1999999999999993</v>
      </c>
      <c r="AD22" s="192">
        <v>8.1999999999999993</v>
      </c>
      <c r="AE22" s="192">
        <v>8.1999999999999993</v>
      </c>
      <c r="AF22" s="192">
        <v>7.2</v>
      </c>
      <c r="AG22" s="192"/>
      <c r="AH22" s="192"/>
      <c r="AI22" s="192">
        <v>8.1999999999999993</v>
      </c>
      <c r="AJ22" s="325"/>
      <c r="AK22" s="334"/>
      <c r="AL22" s="286"/>
      <c r="AM22" s="286"/>
      <c r="AN22" s="212"/>
      <c r="AO22" s="286"/>
      <c r="AP22" s="212"/>
      <c r="AQ22" s="286"/>
      <c r="AR22" s="286"/>
      <c r="AS22" s="286"/>
      <c r="AT22" s="286"/>
      <c r="AU22" s="286"/>
      <c r="AV22" s="286"/>
      <c r="AW22" s="203"/>
      <c r="AX22" s="286"/>
      <c r="AY22" s="286"/>
      <c r="AZ22" s="329"/>
    </row>
    <row r="23" spans="1:52" s="163" customFormat="1" ht="24" customHeight="1" x14ac:dyDescent="0.2">
      <c r="A23" s="330">
        <f t="shared" ref="A23" si="1">A21+1</f>
        <v>4</v>
      </c>
      <c r="B23" s="336" t="s">
        <v>375</v>
      </c>
      <c r="C23" s="228">
        <v>2190</v>
      </c>
      <c r="D23" s="228" t="s">
        <v>72</v>
      </c>
      <c r="E23" s="191" t="s">
        <v>4</v>
      </c>
      <c r="F23" s="191" t="s">
        <v>43</v>
      </c>
      <c r="G23" s="191" t="s">
        <v>142</v>
      </c>
      <c r="H23" s="191" t="s">
        <v>142</v>
      </c>
      <c r="I23" s="191" t="s">
        <v>4</v>
      </c>
      <c r="J23" s="191" t="s">
        <v>43</v>
      </c>
      <c r="K23" s="191" t="s">
        <v>142</v>
      </c>
      <c r="L23" s="191" t="s">
        <v>142</v>
      </c>
      <c r="M23" s="191" t="s">
        <v>4</v>
      </c>
      <c r="N23" s="191" t="s">
        <v>43</v>
      </c>
      <c r="O23" s="191" t="s">
        <v>142</v>
      </c>
      <c r="P23" s="191" t="s">
        <v>142</v>
      </c>
      <c r="Q23" s="191" t="s">
        <v>4</v>
      </c>
      <c r="R23" s="191" t="s">
        <v>43</v>
      </c>
      <c r="S23" s="191" t="s">
        <v>142</v>
      </c>
      <c r="T23" s="191" t="s">
        <v>142</v>
      </c>
      <c r="U23" s="191" t="s">
        <v>4</v>
      </c>
      <c r="V23" s="191" t="s">
        <v>43</v>
      </c>
      <c r="W23" s="191" t="s">
        <v>142</v>
      </c>
      <c r="X23" s="191" t="s">
        <v>142</v>
      </c>
      <c r="Y23" s="191" t="s">
        <v>4</v>
      </c>
      <c r="Z23" s="191" t="s">
        <v>43</v>
      </c>
      <c r="AA23" s="191" t="s">
        <v>142</v>
      </c>
      <c r="AB23" s="191" t="s">
        <v>142</v>
      </c>
      <c r="AC23" s="191" t="s">
        <v>4</v>
      </c>
      <c r="AD23" s="191" t="s">
        <v>43</v>
      </c>
      <c r="AE23" s="191" t="s">
        <v>142</v>
      </c>
      <c r="AF23" s="191" t="s">
        <v>142</v>
      </c>
      <c r="AG23" s="191"/>
      <c r="AH23" s="191"/>
      <c r="AI23" s="191"/>
      <c r="AJ23" s="332">
        <f>IFERROR(COUNTIF(E23:AI23,"=Р")+COUNTIF(E23:AI23,"=Р1")+COUNTIF(E23:AI23,"=ВЧ")+COUNTIF(E23:AI23,"=РН")+COUNTIF(E23:AI23,"=Р2")+COUNTIF(E23:AI23,"=Р1/РВ")+COUNTIF(E23:AI23,"=Р2/РВ")+COUNTIF(E23:AI23,"=ВЧ/РВ")+COUNTIF(E23:AI23,"=РН/РВ"),0)</f>
        <v>14</v>
      </c>
      <c r="AK23" s="333">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164</v>
      </c>
      <c r="AL23" s="211">
        <f>IFERROR(SUMIF(E23:AI23,"=НУ",E24:AI24),0)</f>
        <v>0</v>
      </c>
      <c r="AM23" s="211">
        <f>IFERROR(SUMIF(E23:AI23,"=РН",E24:AI24)+SUMIF(E23:AI23,"=РН/РВ",E24:AI24)+SUMIFS(E24:AI24,E23:AI23,"=Р2",E24:AI24,"=8"),0)</f>
        <v>56</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CEILING(SUMIFS(E24:AI24,E23:AI23,"=Р",E24:AI24,"=13")/4,4)+CEILING(SUMIFS(E24:AI24,E23:AI23,"=Р",E24:AI24,"=14")/4,4)+CEILING(SUMIFS(E24:AI24,E23:AI23,"=Р",E24:AI24,"=15")/4,4)+SUMIFS(E24:AI24,E23:AI23,"=Р",E24:AI24,"=16")/4+CEILING(SUMIFS(E24:AI24,E23:AI23,"=Р1",E24:AI24,"=13")/4,4)+CEILING(SUMIFS(E24:AI24,E23:AI23,"=Р1",E24:AI24,"=14")/4,4)+CEILING(SUMIFS(E24:AI24,E23:AI23,"=Р1",E24:AI24,"=15")/4,4)+SUMIFS(E24:AI24,E23:AI23,"=Р1",E24:AI24,"=16")/4</f>
        <v>28</v>
      </c>
      <c r="AO23" s="211">
        <f>IFERROR(SUMIF(E23:AI23,"=РВ",E24:AI24)+SUMIF(E23:AI23,"=ВЧ/РВ",E24:AI24)+SUMIF(E23:AI23,"=РН/РВ",E24:AI24)+SUMIF(E23:AI23,"=Р1/РВ",E24:AI24)+SUMIF(E23:AI23,"=ВЧ2/РВ",E24:AI24)+SUMIF(E23:AI23,"=Р2/РВ",E24:AI24),0)</f>
        <v>0</v>
      </c>
      <c r="AP23" s="211">
        <f>IFERROR(COUNTIF(E23:AI23,"=ВВ")+COUNTIF(E23:AI23,"=Р1/ВВ")+COUNTIF(E23:AI23,"=РН/ВВ")+COUNTIF(E23:AI23,"=ВЧ/ВВ"),0)</f>
        <v>14</v>
      </c>
      <c r="AQ23" s="211">
        <f>SUM(AR23:AZ23)</f>
        <v>0</v>
      </c>
      <c r="AR23" s="211">
        <f>IFERROR(SUMIF(E23:AI23,"=В",E24:AI24)+SUMIF(E23:AI23,"=Ч",E24:AI24)+SUMIF(E23:AI23,"=ВБ",E24:AI24),0)</f>
        <v>0</v>
      </c>
      <c r="AS23" s="211">
        <f>IFERROR(SUMIF(E23:AI23,"=Н",E24:AI24),0)</f>
        <v>0</v>
      </c>
      <c r="AT23" s="211">
        <f>IFERROR(SUMIF(E23:AI23,"=НА",E24:AI24),0)</f>
        <v>0</v>
      </c>
      <c r="AU23" s="211">
        <f>IFERROR(SUMIF(E23:AI23,"=ВП",E24:AI24),0)</f>
        <v>0</v>
      </c>
      <c r="AV23" s="211">
        <f>IFERROR(SUMIF(E23:AI23,"=ДД",E24:AI24),0)</f>
        <v>0</v>
      </c>
      <c r="AW23" s="202">
        <f>IFERROR(SUMIF(E23:AI23,"=ДО",E24:AI24),0)</f>
        <v>0</v>
      </c>
      <c r="AX23" s="211">
        <f>IFERROR(SUMIF(E23:AI23,"=ТН",E24:AI24),0)</f>
        <v>0</v>
      </c>
      <c r="AY23" s="211">
        <f>IFERROR(SUMIF(E23:AI23,"=ВД",E24:AI24),0)</f>
        <v>0</v>
      </c>
      <c r="AZ23" s="312">
        <f>IFERROR(SUMIF(E23:AI23,"=ІН",E24:AI24),0)+SUMIF(E23:AI23,"=НЗ",E24:AI24)</f>
        <v>0</v>
      </c>
    </row>
    <row r="24" spans="1:52" s="163" customFormat="1" ht="19.5" customHeight="1" thickBot="1" x14ac:dyDescent="0.25">
      <c r="A24" s="331"/>
      <c r="B24" s="331"/>
      <c r="C24" s="337"/>
      <c r="D24" s="337"/>
      <c r="E24" s="192">
        <v>13</v>
      </c>
      <c r="F24" s="192">
        <v>8</v>
      </c>
      <c r="G24" s="192"/>
      <c r="H24" s="192"/>
      <c r="I24" s="192">
        <v>15</v>
      </c>
      <c r="J24" s="192">
        <v>8</v>
      </c>
      <c r="K24" s="192"/>
      <c r="L24" s="192"/>
      <c r="M24" s="192">
        <v>16</v>
      </c>
      <c r="N24" s="192">
        <v>8</v>
      </c>
      <c r="O24" s="192"/>
      <c r="P24" s="192"/>
      <c r="Q24" s="192">
        <v>16</v>
      </c>
      <c r="R24" s="192">
        <v>8</v>
      </c>
      <c r="S24" s="192"/>
      <c r="T24" s="192"/>
      <c r="U24" s="192">
        <v>16</v>
      </c>
      <c r="V24" s="192">
        <v>8</v>
      </c>
      <c r="W24" s="192"/>
      <c r="X24" s="192"/>
      <c r="Y24" s="192">
        <v>16</v>
      </c>
      <c r="Z24" s="192">
        <v>8</v>
      </c>
      <c r="AA24" s="192"/>
      <c r="AB24" s="192"/>
      <c r="AC24" s="192">
        <v>16</v>
      </c>
      <c r="AD24" s="192">
        <v>8</v>
      </c>
      <c r="AE24" s="192"/>
      <c r="AF24" s="192"/>
      <c r="AG24" s="192" t="s">
        <v>491</v>
      </c>
      <c r="AH24" s="192" t="s">
        <v>492</v>
      </c>
      <c r="AI24" s="192" t="s">
        <v>493</v>
      </c>
      <c r="AJ24" s="335"/>
      <c r="AK24" s="334"/>
      <c r="AL24" s="286"/>
      <c r="AM24" s="286"/>
      <c r="AN24" s="212"/>
      <c r="AO24" s="286"/>
      <c r="AP24" s="212"/>
      <c r="AQ24" s="286"/>
      <c r="AR24" s="286"/>
      <c r="AS24" s="286"/>
      <c r="AT24" s="286"/>
      <c r="AU24" s="286"/>
      <c r="AV24" s="286"/>
      <c r="AW24" s="203"/>
      <c r="AX24" s="286"/>
      <c r="AY24" s="286"/>
      <c r="AZ24" s="329"/>
    </row>
    <row r="25" spans="1:52" s="163" customFormat="1" ht="24" customHeight="1" x14ac:dyDescent="0.2">
      <c r="A25" s="330">
        <f t="shared" ref="A25" si="2">A23+1</f>
        <v>5</v>
      </c>
      <c r="B25" s="336" t="s">
        <v>377</v>
      </c>
      <c r="C25" s="228">
        <v>1951</v>
      </c>
      <c r="D25" s="228" t="s">
        <v>72</v>
      </c>
      <c r="E25" s="191" t="s">
        <v>142</v>
      </c>
      <c r="F25" s="191" t="s">
        <v>4</v>
      </c>
      <c r="G25" s="191" t="s">
        <v>43</v>
      </c>
      <c r="H25" s="191" t="s">
        <v>142</v>
      </c>
      <c r="I25" s="191" t="s">
        <v>142</v>
      </c>
      <c r="J25" s="191" t="s">
        <v>4</v>
      </c>
      <c r="K25" s="191" t="s">
        <v>43</v>
      </c>
      <c r="L25" s="191" t="s">
        <v>142</v>
      </c>
      <c r="M25" s="191" t="s">
        <v>142</v>
      </c>
      <c r="N25" s="191" t="s">
        <v>4</v>
      </c>
      <c r="O25" s="191" t="s">
        <v>43</v>
      </c>
      <c r="P25" s="191" t="s">
        <v>142</v>
      </c>
      <c r="Q25" s="191" t="s">
        <v>142</v>
      </c>
      <c r="R25" s="191" t="s">
        <v>4</v>
      </c>
      <c r="S25" s="191" t="s">
        <v>43</v>
      </c>
      <c r="T25" s="191" t="s">
        <v>142</v>
      </c>
      <c r="U25" s="191" t="s">
        <v>142</v>
      </c>
      <c r="V25" s="191" t="s">
        <v>4</v>
      </c>
      <c r="W25" s="191" t="s">
        <v>43</v>
      </c>
      <c r="X25" s="191" t="s">
        <v>142</v>
      </c>
      <c r="Y25" s="191" t="s">
        <v>142</v>
      </c>
      <c r="Z25" s="191" t="s">
        <v>4</v>
      </c>
      <c r="AA25" s="191" t="s">
        <v>43</v>
      </c>
      <c r="AB25" s="191" t="s">
        <v>142</v>
      </c>
      <c r="AC25" s="191" t="s">
        <v>142</v>
      </c>
      <c r="AD25" s="191" t="s">
        <v>4</v>
      </c>
      <c r="AE25" s="191" t="s">
        <v>43</v>
      </c>
      <c r="AF25" s="191" t="s">
        <v>142</v>
      </c>
      <c r="AG25" s="191"/>
      <c r="AH25" s="191"/>
      <c r="AI25" s="191"/>
      <c r="AJ25" s="332">
        <f>IFERROR(COUNTIF(E25:AI25,"=Р")+COUNTIF(E25:AI25,"=Р1")+COUNTIF(E25:AI25,"=ВЧ")+COUNTIF(E25:AI25,"=РН")+COUNTIF(E25:AI25,"=Р2")+COUNTIF(E25:AI25,"=Р1/РВ")+COUNTIF(E25:AI25,"=Р2/РВ")+COUNTIF(E25:AI25,"=ВЧ/РВ")+COUNTIF(E25:AI25,"=РН/РВ"),0)</f>
        <v>14</v>
      </c>
      <c r="AK25" s="333">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164</v>
      </c>
      <c r="AL25" s="211">
        <f>IFERROR(SUMIF(E25:AI25,"=НУ",E26:AI26),0)</f>
        <v>0</v>
      </c>
      <c r="AM25" s="211">
        <f>IFERROR(SUMIF(E25:AI25,"=РН",E26:AI26)+SUMIF(E25:AI25,"=РН/РВ",E26:AI26)+SUMIFS(E26:AI26,E25:AI25,"=Р2",E26:AI26,"=8"),0)</f>
        <v>56</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CEILING(SUMIFS(E26:AI26,E25:AI25,"=Р",E26:AI26,"=13")/4,4)+CEILING(SUMIFS(E26:AI26,E25:AI25,"=Р",E26:AI26,"=14")/4,4)+CEILING(SUMIFS(E26:AI26,E25:AI25,"=Р",E26:AI26,"=15")/4,4)+SUMIFS(E26:AI26,E25:AI25,"=Р",E26:AI26,"=16")/4+CEILING(SUMIFS(E26:AI26,E25:AI25,"=Р1",E26:AI26,"=13")/4,4)+CEILING(SUMIFS(E26:AI26,E25:AI25,"=Р1",E26:AI26,"=14")/4,4)+CEILING(SUMIFS(E26:AI26,E25:AI25,"=Р1",E26:AI26,"=15")/4,4)+SUMIFS(E26:AI26,E25:AI25,"=Р1",E26:AI26,"=16")/4</f>
        <v>28</v>
      </c>
      <c r="AO25" s="211">
        <f>IFERROR(SUMIF(E25:AI25,"=РВ",E26:AI26)+SUMIF(E25:AI25,"=ВЧ/РВ",E26:AI26)+SUMIF(E25:AI25,"=РН/РВ",E26:AI26)+SUMIF(E25:AI25,"=Р1/РВ",E26:AI26)+SUMIF(E25:AI25,"=ВЧ2/РВ",E26:AI26)+SUMIF(E25:AI25,"=Р2/РВ",E26:AI26),0)</f>
        <v>0</v>
      </c>
      <c r="AP25" s="211">
        <f>IFERROR(COUNTIF(E25:AI25,"=ВВ")+COUNTIF(E25:AI25,"=Р1/ВВ")+COUNTIF(E25:AI25,"=РН/ВВ")+COUNTIF(E25:AI25,"=ВЧ/ВВ"),0)</f>
        <v>14</v>
      </c>
      <c r="AQ25" s="211">
        <f>SUM(AR25:AZ25)</f>
        <v>0</v>
      </c>
      <c r="AR25" s="211">
        <f>IFERROR(SUMIF(E25:AI25,"=В",E26:AI26)+SUMIF(E25:AI25,"=Ч",E26:AI26)+SUMIF(E25:AI25,"=ВБ",E26:AI26),0)</f>
        <v>0</v>
      </c>
      <c r="AS25" s="211">
        <f>IFERROR(SUMIF(E25:AI25,"=Н",E26:AI26),0)</f>
        <v>0</v>
      </c>
      <c r="AT25" s="211">
        <f>IFERROR(SUMIF(E25:AI25,"=НА",E26:AI26),0)</f>
        <v>0</v>
      </c>
      <c r="AU25" s="211">
        <f>IFERROR(SUMIF(E25:AI25,"=ВП",E26:AI26),0)</f>
        <v>0</v>
      </c>
      <c r="AV25" s="211">
        <f>IFERROR(SUMIF(E25:AI25,"=ДД",E26:AI26),0)</f>
        <v>0</v>
      </c>
      <c r="AW25" s="202">
        <f>IFERROR(SUMIF(E25:AI25,"=ДО",E26:AI26),0)</f>
        <v>0</v>
      </c>
      <c r="AX25" s="211">
        <f>IFERROR(SUMIF(E25:AI25,"=ТН",E26:AI26),0)</f>
        <v>0</v>
      </c>
      <c r="AY25" s="211">
        <f>IFERROR(SUMIF(E25:AI25,"=ВД",E26:AI26),0)</f>
        <v>0</v>
      </c>
      <c r="AZ25" s="312">
        <f>IFERROR(SUMIF(E25:AI25,"=ІН",E26:AI26),0)+SUMIF(E25:AI25,"=НЗ",E26:AI26)</f>
        <v>0</v>
      </c>
    </row>
    <row r="26" spans="1:52" s="163" customFormat="1" ht="19.5" customHeight="1" thickBot="1" x14ac:dyDescent="0.25">
      <c r="A26" s="331"/>
      <c r="B26" s="331"/>
      <c r="C26" s="337"/>
      <c r="D26" s="337"/>
      <c r="E26" s="192"/>
      <c r="F26" s="192">
        <v>13</v>
      </c>
      <c r="G26" s="192">
        <v>8</v>
      </c>
      <c r="H26" s="192"/>
      <c r="I26" s="192"/>
      <c r="J26" s="192">
        <v>15</v>
      </c>
      <c r="K26" s="192">
        <v>8</v>
      </c>
      <c r="L26" s="192"/>
      <c r="M26" s="192"/>
      <c r="N26" s="192">
        <v>16</v>
      </c>
      <c r="O26" s="192">
        <v>8</v>
      </c>
      <c r="P26" s="192"/>
      <c r="Q26" s="192"/>
      <c r="R26" s="192">
        <v>16</v>
      </c>
      <c r="S26" s="192">
        <v>8</v>
      </c>
      <c r="T26" s="192"/>
      <c r="U26" s="192"/>
      <c r="V26" s="192">
        <v>16</v>
      </c>
      <c r="W26" s="192">
        <v>8</v>
      </c>
      <c r="X26" s="192"/>
      <c r="Y26" s="192"/>
      <c r="Z26" s="192">
        <v>16</v>
      </c>
      <c r="AA26" s="192">
        <v>8</v>
      </c>
      <c r="AB26" s="192"/>
      <c r="AC26" s="192"/>
      <c r="AD26" s="192">
        <v>16</v>
      </c>
      <c r="AE26" s="192">
        <v>8</v>
      </c>
      <c r="AF26" s="192"/>
      <c r="AG26" s="192" t="s">
        <v>491</v>
      </c>
      <c r="AH26" s="192" t="s">
        <v>492</v>
      </c>
      <c r="AI26" s="192" t="s">
        <v>493</v>
      </c>
      <c r="AJ26" s="335"/>
      <c r="AK26" s="334"/>
      <c r="AL26" s="286"/>
      <c r="AM26" s="286"/>
      <c r="AN26" s="212"/>
      <c r="AO26" s="286"/>
      <c r="AP26" s="212"/>
      <c r="AQ26" s="286"/>
      <c r="AR26" s="286"/>
      <c r="AS26" s="286"/>
      <c r="AT26" s="286"/>
      <c r="AU26" s="286"/>
      <c r="AV26" s="286"/>
      <c r="AW26" s="203"/>
      <c r="AX26" s="286"/>
      <c r="AY26" s="286"/>
      <c r="AZ26" s="329"/>
    </row>
    <row r="27" spans="1:52" s="163" customFormat="1" ht="24" customHeight="1" x14ac:dyDescent="0.2">
      <c r="A27" s="330">
        <f t="shared" ref="A27" si="3">A25+1</f>
        <v>6</v>
      </c>
      <c r="B27" s="336" t="s">
        <v>373</v>
      </c>
      <c r="C27" s="228">
        <v>1217</v>
      </c>
      <c r="D27" s="228" t="s">
        <v>65</v>
      </c>
      <c r="E27" s="191" t="s">
        <v>142</v>
      </c>
      <c r="F27" s="191" t="s">
        <v>4</v>
      </c>
      <c r="G27" s="191" t="s">
        <v>43</v>
      </c>
      <c r="H27" s="191" t="s">
        <v>142</v>
      </c>
      <c r="I27" s="191" t="s">
        <v>142</v>
      </c>
      <c r="J27" s="191" t="s">
        <v>4</v>
      </c>
      <c r="K27" s="191" t="s">
        <v>43</v>
      </c>
      <c r="L27" s="191" t="s">
        <v>142</v>
      </c>
      <c r="M27" s="191" t="s">
        <v>142</v>
      </c>
      <c r="N27" s="191" t="s">
        <v>4</v>
      </c>
      <c r="O27" s="191" t="s">
        <v>43</v>
      </c>
      <c r="P27" s="191" t="s">
        <v>142</v>
      </c>
      <c r="Q27" s="191" t="s">
        <v>142</v>
      </c>
      <c r="R27" s="191" t="s">
        <v>4</v>
      </c>
      <c r="S27" s="191" t="s">
        <v>43</v>
      </c>
      <c r="T27" s="191" t="s">
        <v>142</v>
      </c>
      <c r="U27" s="191" t="s">
        <v>142</v>
      </c>
      <c r="V27" s="191" t="s">
        <v>4</v>
      </c>
      <c r="W27" s="191" t="s">
        <v>43</v>
      </c>
      <c r="X27" s="191" t="s">
        <v>142</v>
      </c>
      <c r="Y27" s="191" t="s">
        <v>142</v>
      </c>
      <c r="Z27" s="191" t="s">
        <v>4</v>
      </c>
      <c r="AA27" s="191" t="s">
        <v>43</v>
      </c>
      <c r="AB27" s="191" t="s">
        <v>142</v>
      </c>
      <c r="AC27" s="191" t="s">
        <v>142</v>
      </c>
      <c r="AD27" s="191" t="s">
        <v>4</v>
      </c>
      <c r="AE27" s="191" t="s">
        <v>43</v>
      </c>
      <c r="AF27" s="191" t="s">
        <v>142</v>
      </c>
      <c r="AG27" s="191"/>
      <c r="AH27" s="191"/>
      <c r="AI27" s="191"/>
      <c r="AJ27" s="332">
        <f>IFERROR(COUNTIF(E27:AI27,"=Р")+COUNTIF(E27:AI27,"=Р1")+COUNTIF(E27:AI27,"=ВЧ")+COUNTIF(E27:AI27,"=РН")+COUNTIF(E27:AI27,"=Р2")+COUNTIF(E27:AI27,"=Р1/РВ")+COUNTIF(E27:AI27,"=Р2/РВ")+COUNTIF(E27:AI27,"=ВЧ/РВ")+COUNTIF(E27:AI27,"=РН/РВ"),0)</f>
        <v>14</v>
      </c>
      <c r="AK27" s="333">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164</v>
      </c>
      <c r="AL27" s="211">
        <f>IFERROR(SUMIF(E27:AI27,"=НУ",E28:AI28),0)</f>
        <v>0</v>
      </c>
      <c r="AM27" s="211">
        <f>IFERROR(SUMIF(E27:AI27,"=РН",E28:AI28)+SUMIF(E27:AI27,"=РН/РВ",E28:AI28)+SUMIFS(E28:AI28,E27:AI27,"=Р2",E28:AI28,"=8"),0)</f>
        <v>56</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CEILING(SUMIFS(E28:AI28,E27:AI27,"=Р",E28:AI28,"=13")/4,4)+CEILING(SUMIFS(E28:AI28,E27:AI27,"=Р",E28:AI28,"=14")/4,4)+CEILING(SUMIFS(E28:AI28,E27:AI27,"=Р",E28:AI28,"=15")/4,4)+SUMIFS(E28:AI28,E27:AI27,"=Р",E28:AI28,"=16")/4+CEILING(SUMIFS(E28:AI28,E27:AI27,"=Р1",E28:AI28,"=13")/4,4)+CEILING(SUMIFS(E28:AI28,E27:AI27,"=Р1",E28:AI28,"=14")/4,4)+CEILING(SUMIFS(E28:AI28,E27:AI27,"=Р1",E28:AI28,"=15")/4,4)+SUMIFS(E28:AI28,E27:AI27,"=Р1",E28:AI28,"=16")/4</f>
        <v>28</v>
      </c>
      <c r="AO27" s="211">
        <f>IFERROR(SUMIF(E27:AI27,"=РВ",E28:AI28)+SUMIF(E27:AI27,"=ВЧ/РВ",E28:AI28)+SUMIF(E27:AI27,"=РН/РВ",E28:AI28)+SUMIF(E27:AI27,"=Р1/РВ",E28:AI28)+SUMIF(E27:AI27,"=ВЧ2/РВ",E28:AI28)+SUMIF(E27:AI27,"=Р2/РВ",E28:AI28),0)</f>
        <v>0</v>
      </c>
      <c r="AP27" s="211">
        <f>IFERROR(COUNTIF(E27:AI27,"=ВВ")+COUNTIF(E27:AI27,"=Р1/ВВ")+COUNTIF(E27:AI27,"=РН/ВВ")+COUNTIF(E27:AI27,"=ВЧ/ВВ"),0)</f>
        <v>14</v>
      </c>
      <c r="AQ27" s="211">
        <f>SUM(AR27:AZ27)</f>
        <v>0</v>
      </c>
      <c r="AR27" s="211">
        <f>IFERROR(SUMIF(E27:AI27,"=В",E28:AI28)+SUMIF(E27:AI27,"=Ч",E28:AI28)+SUMIF(E27:AI27,"=ВБ",E28:AI28),0)</f>
        <v>0</v>
      </c>
      <c r="AS27" s="211">
        <f>IFERROR(SUMIF(E27:AI27,"=Н",E28:AI28),0)</f>
        <v>0</v>
      </c>
      <c r="AT27" s="211">
        <f>IFERROR(SUMIF(E27:AI27,"=НА",E28:AI28),0)</f>
        <v>0</v>
      </c>
      <c r="AU27" s="211">
        <f>IFERROR(SUMIF(E27:AI27,"=ВП",E28:AI28),0)</f>
        <v>0</v>
      </c>
      <c r="AV27" s="211">
        <f>IFERROR(SUMIF(E27:AI27,"=ДД",E28:AI28),0)</f>
        <v>0</v>
      </c>
      <c r="AW27" s="202">
        <f>IFERROR(SUMIF(E27:AI27,"=ДО",E28:AI28),0)</f>
        <v>0</v>
      </c>
      <c r="AX27" s="211">
        <f>IFERROR(SUMIF(E27:AI27,"=ТН",E28:AI28),0)</f>
        <v>0</v>
      </c>
      <c r="AY27" s="211">
        <f>IFERROR(SUMIF(E27:AI27,"=ВД",E28:AI28),0)</f>
        <v>0</v>
      </c>
      <c r="AZ27" s="312">
        <f>IFERROR(SUMIF(E27:AI27,"=ІН",E28:AI28),0)+SUMIF(E27:AI27,"=НЗ",E28:AI28)</f>
        <v>0</v>
      </c>
    </row>
    <row r="28" spans="1:52" s="163" customFormat="1" ht="19.5" customHeight="1" thickBot="1" x14ac:dyDescent="0.25">
      <c r="A28" s="331"/>
      <c r="B28" s="331"/>
      <c r="C28" s="337"/>
      <c r="D28" s="337"/>
      <c r="E28" s="192"/>
      <c r="F28" s="192">
        <v>13</v>
      </c>
      <c r="G28" s="192">
        <v>8</v>
      </c>
      <c r="H28" s="192"/>
      <c r="I28" s="192"/>
      <c r="J28" s="192">
        <v>15</v>
      </c>
      <c r="K28" s="192">
        <v>8</v>
      </c>
      <c r="L28" s="192"/>
      <c r="M28" s="192"/>
      <c r="N28" s="192">
        <v>16</v>
      </c>
      <c r="O28" s="192">
        <v>8</v>
      </c>
      <c r="P28" s="192"/>
      <c r="Q28" s="192"/>
      <c r="R28" s="192">
        <v>16</v>
      </c>
      <c r="S28" s="192">
        <v>8</v>
      </c>
      <c r="T28" s="192"/>
      <c r="U28" s="192"/>
      <c r="V28" s="192">
        <v>16</v>
      </c>
      <c r="W28" s="192">
        <v>8</v>
      </c>
      <c r="X28" s="192"/>
      <c r="Y28" s="192"/>
      <c r="Z28" s="192">
        <v>16</v>
      </c>
      <c r="AA28" s="192">
        <v>8</v>
      </c>
      <c r="AB28" s="192"/>
      <c r="AC28" s="192"/>
      <c r="AD28" s="192">
        <v>16</v>
      </c>
      <c r="AE28" s="192">
        <v>8</v>
      </c>
      <c r="AF28" s="192"/>
      <c r="AG28" s="192" t="s">
        <v>491</v>
      </c>
      <c r="AH28" s="192" t="s">
        <v>492</v>
      </c>
      <c r="AI28" s="192" t="s">
        <v>493</v>
      </c>
      <c r="AJ28" s="335"/>
      <c r="AK28" s="334"/>
      <c r="AL28" s="286"/>
      <c r="AM28" s="286"/>
      <c r="AN28" s="212"/>
      <c r="AO28" s="286"/>
      <c r="AP28" s="212"/>
      <c r="AQ28" s="286"/>
      <c r="AR28" s="286"/>
      <c r="AS28" s="286"/>
      <c r="AT28" s="286"/>
      <c r="AU28" s="286"/>
      <c r="AV28" s="286"/>
      <c r="AW28" s="203"/>
      <c r="AX28" s="286"/>
      <c r="AY28" s="286"/>
      <c r="AZ28" s="329"/>
    </row>
    <row r="29" spans="1:52" s="163" customFormat="1" ht="24" customHeight="1" x14ac:dyDescent="0.2">
      <c r="A29" s="330">
        <f t="shared" ref="A29" si="4">A27+1</f>
        <v>7</v>
      </c>
      <c r="B29" s="336" t="s">
        <v>374</v>
      </c>
      <c r="C29" s="228">
        <v>2205</v>
      </c>
      <c r="D29" s="228" t="s">
        <v>72</v>
      </c>
      <c r="E29" s="191" t="s">
        <v>142</v>
      </c>
      <c r="F29" s="191" t="s">
        <v>4</v>
      </c>
      <c r="G29" s="191" t="s">
        <v>43</v>
      </c>
      <c r="H29" s="191" t="s">
        <v>142</v>
      </c>
      <c r="I29" s="191" t="s">
        <v>142</v>
      </c>
      <c r="J29" s="191" t="s">
        <v>4</v>
      </c>
      <c r="K29" s="191" t="s">
        <v>43</v>
      </c>
      <c r="L29" s="191" t="s">
        <v>142</v>
      </c>
      <c r="M29" s="191" t="s">
        <v>142</v>
      </c>
      <c r="N29" s="191" t="s">
        <v>4</v>
      </c>
      <c r="O29" s="191" t="s">
        <v>43</v>
      </c>
      <c r="P29" s="191" t="s">
        <v>142</v>
      </c>
      <c r="Q29" s="191" t="s">
        <v>142</v>
      </c>
      <c r="R29" s="191" t="s">
        <v>4</v>
      </c>
      <c r="S29" s="191" t="s">
        <v>43</v>
      </c>
      <c r="T29" s="191" t="s">
        <v>142</v>
      </c>
      <c r="U29" s="191" t="s">
        <v>142</v>
      </c>
      <c r="V29" s="191" t="s">
        <v>4</v>
      </c>
      <c r="W29" s="191" t="s">
        <v>43</v>
      </c>
      <c r="X29" s="191" t="s">
        <v>142</v>
      </c>
      <c r="Y29" s="191" t="s">
        <v>142</v>
      </c>
      <c r="Z29" s="191" t="s">
        <v>4</v>
      </c>
      <c r="AA29" s="191" t="s">
        <v>43</v>
      </c>
      <c r="AB29" s="191" t="s">
        <v>142</v>
      </c>
      <c r="AC29" s="191" t="s">
        <v>142</v>
      </c>
      <c r="AD29" s="191" t="s">
        <v>4</v>
      </c>
      <c r="AE29" s="191" t="s">
        <v>43</v>
      </c>
      <c r="AF29" s="191" t="s">
        <v>142</v>
      </c>
      <c r="AG29" s="191"/>
      <c r="AH29" s="191"/>
      <c r="AI29" s="191"/>
      <c r="AJ29" s="332">
        <f>IFERROR(COUNTIF(E29:AI29,"=Р")+COUNTIF(E29:AI29,"=Р1")+COUNTIF(E29:AI29,"=ВЧ")+COUNTIF(E29:AI29,"=РН")+COUNTIF(E29:AI29,"=Р2")+COUNTIF(E29:AI29,"=Р1/РВ")+COUNTIF(E29:AI29,"=Р2/РВ")+COUNTIF(E29:AI29,"=ВЧ/РВ")+COUNTIF(E29:AI29,"=РН/РВ"),0)</f>
        <v>14</v>
      </c>
      <c r="AK29" s="333">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164</v>
      </c>
      <c r="AL29" s="211">
        <f>IFERROR(SUMIF(E29:AI29,"=НУ",E30:AI30),0)</f>
        <v>0</v>
      </c>
      <c r="AM29" s="211">
        <f>IFERROR(SUMIF(E29:AI29,"=РН",E30:AI30)+SUMIF(E29:AI29,"=РН/РВ",E30:AI30)+SUMIFS(E30:AI30,E29:AI29,"=Р2",E30:AI30,"=8"),0)</f>
        <v>56</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CEILING(SUMIFS(E30:AI30,E29:AI29,"=Р",E30:AI30,"=13")/4,4)+CEILING(SUMIFS(E30:AI30,E29:AI29,"=Р",E30:AI30,"=14")/4,4)+CEILING(SUMIFS(E30:AI30,E29:AI29,"=Р",E30:AI30,"=15")/4,4)+SUMIFS(E30:AI30,E29:AI29,"=Р",E30:AI30,"=16")/4+CEILING(SUMIFS(E30:AI30,E29:AI29,"=Р1",E30:AI30,"=13")/4,4)+CEILING(SUMIFS(E30:AI30,E29:AI29,"=Р1",E30:AI30,"=14")/4,4)+CEILING(SUMIFS(E30:AI30,E29:AI29,"=Р1",E30:AI30,"=15")/4,4)+SUMIFS(E30:AI30,E29:AI29,"=Р1",E30:AI30,"=16")/4</f>
        <v>28</v>
      </c>
      <c r="AO29" s="211">
        <f>IFERROR(SUMIF(E29:AI29,"=РВ",E30:AI30)+SUMIF(E29:AI29,"=ВЧ/РВ",E30:AI30)+SUMIF(E29:AI29,"=РН/РВ",E30:AI30)+SUMIF(E29:AI29,"=Р1/РВ",E30:AI30)+SUMIF(E29:AI29,"=ВЧ2/РВ",E30:AI30)+SUMIF(E29:AI29,"=Р2/РВ",E30:AI30),0)</f>
        <v>0</v>
      </c>
      <c r="AP29" s="211">
        <f>IFERROR(COUNTIF(E29:AI29,"=ВВ")+COUNTIF(E29:AI29,"=Р1/ВВ")+COUNTIF(E29:AI29,"=РН/ВВ")+COUNTIF(E29:AI29,"=ВЧ/ВВ"),0)</f>
        <v>14</v>
      </c>
      <c r="AQ29" s="211">
        <f>SUM(AR29:AZ29)</f>
        <v>0</v>
      </c>
      <c r="AR29" s="211">
        <f>IFERROR(SUMIF(E29:AI29,"=В",E30:AI30)+SUMIF(E29:AI29,"=Ч",E30:AI30)+SUMIF(E29:AI29,"=ВБ",E30:AI30),0)</f>
        <v>0</v>
      </c>
      <c r="AS29" s="211">
        <f>IFERROR(SUMIF(E29:AI29,"=Н",E30:AI30),0)</f>
        <v>0</v>
      </c>
      <c r="AT29" s="211">
        <f>IFERROR(SUMIF(E29:AI29,"=НА",E30:AI30),0)</f>
        <v>0</v>
      </c>
      <c r="AU29" s="211">
        <f>IFERROR(SUMIF(E29:AI29,"=ВП",E30:AI30),0)</f>
        <v>0</v>
      </c>
      <c r="AV29" s="211">
        <f>IFERROR(SUMIF(E29:AI29,"=ДД",E30:AI30),0)</f>
        <v>0</v>
      </c>
      <c r="AW29" s="202">
        <f>IFERROR(SUMIF(E29:AI29,"=ДО",E30:AI30),0)</f>
        <v>0</v>
      </c>
      <c r="AX29" s="211">
        <f>IFERROR(SUMIF(E29:AI29,"=ТН",E30:AI30),0)</f>
        <v>0</v>
      </c>
      <c r="AY29" s="211">
        <f>IFERROR(SUMIF(E29:AI29,"=ВД",E30:AI30),0)</f>
        <v>0</v>
      </c>
      <c r="AZ29" s="312">
        <f>IFERROR(SUMIF(E29:AI29,"=ІН",E30:AI30),0)+SUMIF(E29:AI29,"=НЗ",E30:AI30)</f>
        <v>0</v>
      </c>
    </row>
    <row r="30" spans="1:52" s="163" customFormat="1" ht="19.5" customHeight="1" thickBot="1" x14ac:dyDescent="0.25">
      <c r="A30" s="331"/>
      <c r="B30" s="331"/>
      <c r="C30" s="337"/>
      <c r="D30" s="337"/>
      <c r="E30" s="192"/>
      <c r="F30" s="192">
        <v>13</v>
      </c>
      <c r="G30" s="192">
        <v>8</v>
      </c>
      <c r="H30" s="192"/>
      <c r="I30" s="192"/>
      <c r="J30" s="192">
        <v>15</v>
      </c>
      <c r="K30" s="192">
        <v>8</v>
      </c>
      <c r="L30" s="192"/>
      <c r="M30" s="192"/>
      <c r="N30" s="192">
        <v>16</v>
      </c>
      <c r="O30" s="192">
        <v>8</v>
      </c>
      <c r="P30" s="192"/>
      <c r="Q30" s="192"/>
      <c r="R30" s="192">
        <v>16</v>
      </c>
      <c r="S30" s="192">
        <v>8</v>
      </c>
      <c r="T30" s="192"/>
      <c r="U30" s="192"/>
      <c r="V30" s="192">
        <v>16</v>
      </c>
      <c r="W30" s="192">
        <v>8</v>
      </c>
      <c r="X30" s="192"/>
      <c r="Y30" s="192"/>
      <c r="Z30" s="192">
        <v>16</v>
      </c>
      <c r="AA30" s="192">
        <v>8</v>
      </c>
      <c r="AB30" s="192"/>
      <c r="AC30" s="192"/>
      <c r="AD30" s="192">
        <v>16</v>
      </c>
      <c r="AE30" s="192">
        <v>8</v>
      </c>
      <c r="AF30" s="192"/>
      <c r="AG30" s="192" t="s">
        <v>491</v>
      </c>
      <c r="AH30" s="192" t="s">
        <v>492</v>
      </c>
      <c r="AI30" s="192" t="s">
        <v>493</v>
      </c>
      <c r="AJ30" s="335"/>
      <c r="AK30" s="334"/>
      <c r="AL30" s="286"/>
      <c r="AM30" s="286"/>
      <c r="AN30" s="212"/>
      <c r="AO30" s="286"/>
      <c r="AP30" s="212"/>
      <c r="AQ30" s="286"/>
      <c r="AR30" s="286"/>
      <c r="AS30" s="286"/>
      <c r="AT30" s="286"/>
      <c r="AU30" s="286"/>
      <c r="AV30" s="286"/>
      <c r="AW30" s="203"/>
      <c r="AX30" s="286"/>
      <c r="AY30" s="286"/>
      <c r="AZ30" s="329"/>
    </row>
    <row r="31" spans="1:52" s="163" customFormat="1" ht="20.100000000000001" customHeight="1" x14ac:dyDescent="0.2">
      <c r="A31" s="330">
        <f t="shared" ref="A31" si="5">A29+1</f>
        <v>8</v>
      </c>
      <c r="B31" s="336" t="s">
        <v>357</v>
      </c>
      <c r="C31" s="293">
        <v>1216</v>
      </c>
      <c r="D31" s="293" t="s">
        <v>72</v>
      </c>
      <c r="E31" s="191" t="s">
        <v>4</v>
      </c>
      <c r="F31" s="191" t="s">
        <v>41</v>
      </c>
      <c r="G31" s="191" t="s">
        <v>43</v>
      </c>
      <c r="H31" s="191" t="s">
        <v>142</v>
      </c>
      <c r="I31" s="191" t="s">
        <v>4</v>
      </c>
      <c r="J31" s="191" t="s">
        <v>41</v>
      </c>
      <c r="K31" s="191" t="s">
        <v>43</v>
      </c>
      <c r="L31" s="191" t="s">
        <v>142</v>
      </c>
      <c r="M31" s="191" t="s">
        <v>47</v>
      </c>
      <c r="N31" s="191" t="s">
        <v>309</v>
      </c>
      <c r="O31" s="191" t="s">
        <v>43</v>
      </c>
      <c r="P31" s="191" t="s">
        <v>142</v>
      </c>
      <c r="Q31" s="191" t="s">
        <v>4</v>
      </c>
      <c r="R31" s="191" t="s">
        <v>41</v>
      </c>
      <c r="S31" s="191" t="s">
        <v>43</v>
      </c>
      <c r="T31" s="191" t="s">
        <v>142</v>
      </c>
      <c r="U31" s="191" t="s">
        <v>4</v>
      </c>
      <c r="V31" s="191" t="s">
        <v>41</v>
      </c>
      <c r="W31" s="191" t="s">
        <v>43</v>
      </c>
      <c r="X31" s="191" t="s">
        <v>142</v>
      </c>
      <c r="Y31" s="191" t="s">
        <v>47</v>
      </c>
      <c r="Z31" s="191" t="s">
        <v>309</v>
      </c>
      <c r="AA31" s="191" t="s">
        <v>43</v>
      </c>
      <c r="AB31" s="191" t="s">
        <v>142</v>
      </c>
      <c r="AC31" s="191" t="s">
        <v>4</v>
      </c>
      <c r="AD31" s="191" t="s">
        <v>41</v>
      </c>
      <c r="AE31" s="191" t="s">
        <v>43</v>
      </c>
      <c r="AF31" s="191" t="s">
        <v>142</v>
      </c>
      <c r="AG31" s="191" t="s">
        <v>4</v>
      </c>
      <c r="AH31" s="191" t="s">
        <v>41</v>
      </c>
      <c r="AI31" s="191" t="s">
        <v>43</v>
      </c>
      <c r="AJ31" s="332">
        <f>IFERROR(COUNTIF(E31:AI31,"=Р")+COUNTIF(E31:AI31,"=Р1")+COUNTIF(E31:AI31,"=ВЧ")+COUNTIF(E31:AI31,"=РН")+COUNTIF(E31:AI31,"=Р2")+COUNTIF(E31:AI31,"=Р1/РВ")+COUNTIF(E31:AI31,"=Р2/РВ")+COUNTIF(E31:AI31,"=ВЧ/РВ")+COUNTIF(E31:AI31,"=РН/РВ"),0)</f>
        <v>20</v>
      </c>
      <c r="AK31" s="333">
        <f>IFERROR(SUMIF(E31:AI31,"=Р2",E32:AI32)+SUMIF(E31:AI31,"=ВЧ/РВ",E32:AI32)+SUMIF(E31:AI31,"=РН/РВ",E32:AI32)+SUMIF(E31:AI31,"=Р1/РВ",E32:AI32)+SUMIF(E31:AI31,"=ВЧ2/РВ",E32:AI32)+SUMIF(E31:AI31,"=Р2/РВ",E32:AI32)+SUMIF(E31:AI31,"=Р",E32:AI32)+SUMIF(E31:AI31,"=Р1",E32:AI32)+SUMIF(E31:AI31,"=ВЧ1",E32:AI32)+SUMIF(E31:AI31,"=РН",E32:AI32)+SUMIF(E31:AI31,"=ВЧ",E32:AI32),0)+AL31</f>
        <v>168</v>
      </c>
      <c r="AL31" s="211">
        <f>IFERROR(SUMIF(E31:AI31,"=НУ",E32:AI32),0)</f>
        <v>0</v>
      </c>
      <c r="AM31" s="211">
        <f>IFERROR(SUMIF(E31:AI31,"=РН",E32:AI32)+SUMIF(E31:AI31,"=РН/РВ",E32:AI32)+SUMIFS(E32:AI32,E31:AI31,"=Р2",E32:AI32,"=8"),0)</f>
        <v>64</v>
      </c>
      <c r="AN31" s="211">
        <f>IFERROR(SUMIF(E31:AI31,"=ВЧ",E32:AI32)+SUMIF(E31:AI31,"=ВЧ/РВ",E32:AI32)+CEILING(COUNTIFS(E31:AI31,"=Р2",E32:AI32,"=7")*4,1)+CEILING(COUNTIFS(E31:AI31,"=Р2/РВ",E32:AI32,"=7")*4,1)+SUMIFS(E32:AI32,E31:AI31,"=Р1/РВ",E32:AI32,"=12")/6+SUMIFS(E32:AI32,E31:AI31,"=ВЧ2/РВ",E32:AI32,"=4")/2+SUMIFS(E32:AI32,E31:AI31,"=Р1",E32:AI32,"=12")/6+SUMIFS(E32:AI32,E31:AI31,"=Р1",E32:AI32,"=8")/4+SUMIF(E31:AI31,"=ВЧ1",E32:AI32)/2,0)+CEILING(SUMIFS(E32:AI32,E31:AI31,"=Р",E32:AI32,"=13")/4,4)+CEILING(SUMIFS(E32:AI32,E31:AI31,"=Р",E32:AI32,"=14")/4,4)+CEILING(SUMIFS(E32:AI32,E31:AI31,"=Р",E32:AI32,"=15")/4,4)+SUMIFS(E32:AI32,E31:AI31,"=Р",E32:AI32,"=16")/4+CEILING(SUMIFS(E32:AI32,E31:AI31,"=Р1",E32:AI32,"=13")/4,4)+CEILING(SUMIFS(E32:AI32,E31:AI31,"=Р1",E32:AI32,"=14")/4,4)+CEILING(SUMIFS(E32:AI32,E31:AI31,"=Р1",E32:AI32,"=15")/4,4)+SUMIFS(E32:AI32,E31:AI31,"=Р1",E32:AI32,"=16")/4</f>
        <v>28</v>
      </c>
      <c r="AO31" s="211">
        <f>IFERROR(SUMIF(E31:AI31,"=РВ",E32:AI32)+SUMIF(E31:AI31,"=ВЧ/РВ",E32:AI32)+SUMIF(E31:AI31,"=РН/РВ",E32:AI32)+SUMIF(E31:AI31,"=Р1/РВ",E32:AI32)+SUMIF(E31:AI31,"=ВЧ2/РВ",E32:AI32)+SUMIF(E31:AI31,"=Р2/РВ",E32:AI32),0)</f>
        <v>0</v>
      </c>
      <c r="AP31" s="211">
        <f>IFERROR(COUNTIF(E31:AI31,"=ВВ")+COUNTIF(E31:AI31,"=Р1/ВВ")+COUNTIF(E31:AI31,"=РН/ВВ")+COUNTIF(E31:AI31,"=ВЧ/ВВ"),0)</f>
        <v>7</v>
      </c>
      <c r="AQ31" s="211">
        <f>SUM(AR31:AZ31)</f>
        <v>0</v>
      </c>
      <c r="AR31" s="211">
        <f>IFERROR(SUMIF(E31:AI31,"=В",E32:AI32)+SUMIF(E31:AI31,"=Ч",E32:AI32)+SUMIF(E31:AI31,"=ВБ",E32:AI32),0)</f>
        <v>0</v>
      </c>
      <c r="AS31" s="211">
        <f>IFERROR(SUMIF(E31:AI31,"=Н",E32:AI32),0)</f>
        <v>0</v>
      </c>
      <c r="AT31" s="211">
        <f>IFERROR(SUMIF(E31:AI31,"=НА",E32:AI32),0)</f>
        <v>0</v>
      </c>
      <c r="AU31" s="211">
        <f>IFERROR(SUMIF(E31:AI31,"=ВП",E32:AI32),0)</f>
        <v>0</v>
      </c>
      <c r="AV31" s="211">
        <f>IFERROR(SUMIF(E31:AI31,"=ДД",E32:AI32),0)</f>
        <v>0</v>
      </c>
      <c r="AW31" s="202">
        <f>IFERROR(SUMIF(E31:AI31,"=ДО",E32:AI32),0)</f>
        <v>0</v>
      </c>
      <c r="AX31" s="211">
        <f>IFERROR(SUMIF(E31:AI31,"=ТН",E32:AI32),0)</f>
        <v>0</v>
      </c>
      <c r="AY31" s="211">
        <f>IFERROR(SUMIF(E31:AI31,"=ВД",E32:AI32),0)</f>
        <v>0</v>
      </c>
      <c r="AZ31" s="312">
        <f>IFERROR(SUMIF(E31:AI31,"=ІН",E32:AI32),0)+SUMIF(E31:AI31,"=НЗ",E32:AI32)</f>
        <v>0</v>
      </c>
    </row>
    <row r="32" spans="1:52" s="163" customFormat="1" ht="24" customHeight="1" thickBot="1" x14ac:dyDescent="0.25">
      <c r="A32" s="331"/>
      <c r="B32" s="331"/>
      <c r="C32" s="229"/>
      <c r="D32" s="229"/>
      <c r="E32" s="192">
        <v>12</v>
      </c>
      <c r="F32" s="192">
        <v>4</v>
      </c>
      <c r="G32" s="192">
        <v>8</v>
      </c>
      <c r="H32" s="192"/>
      <c r="I32" s="192">
        <v>12</v>
      </c>
      <c r="J32" s="192">
        <v>4</v>
      </c>
      <c r="K32" s="192">
        <v>8</v>
      </c>
      <c r="L32" s="192"/>
      <c r="M32" s="192"/>
      <c r="N32" s="192">
        <v>4</v>
      </c>
      <c r="O32" s="192">
        <v>8</v>
      </c>
      <c r="P32" s="192"/>
      <c r="Q32" s="192">
        <v>12</v>
      </c>
      <c r="R32" s="192">
        <v>4</v>
      </c>
      <c r="S32" s="192">
        <v>8</v>
      </c>
      <c r="T32" s="192"/>
      <c r="U32" s="192">
        <v>12</v>
      </c>
      <c r="V32" s="192">
        <v>4</v>
      </c>
      <c r="W32" s="192">
        <v>8</v>
      </c>
      <c r="X32" s="192"/>
      <c r="Y32" s="192"/>
      <c r="Z32" s="192">
        <v>4</v>
      </c>
      <c r="AA32" s="192">
        <v>8</v>
      </c>
      <c r="AB32" s="192"/>
      <c r="AC32" s="192">
        <v>12</v>
      </c>
      <c r="AD32" s="192">
        <v>4</v>
      </c>
      <c r="AE32" s="192">
        <v>8</v>
      </c>
      <c r="AF32" s="192"/>
      <c r="AG32" s="192">
        <v>12</v>
      </c>
      <c r="AH32" s="192">
        <v>4</v>
      </c>
      <c r="AI32" s="192">
        <v>8</v>
      </c>
      <c r="AJ32" s="325"/>
      <c r="AK32" s="334"/>
      <c r="AL32" s="286"/>
      <c r="AM32" s="286"/>
      <c r="AN32" s="212"/>
      <c r="AO32" s="286"/>
      <c r="AP32" s="212"/>
      <c r="AQ32" s="286"/>
      <c r="AR32" s="286"/>
      <c r="AS32" s="286"/>
      <c r="AT32" s="286"/>
      <c r="AU32" s="286"/>
      <c r="AV32" s="286"/>
      <c r="AW32" s="203"/>
      <c r="AX32" s="286"/>
      <c r="AY32" s="286"/>
      <c r="AZ32" s="329"/>
    </row>
    <row r="33" spans="1:52" ht="20.100000000000001" customHeight="1" x14ac:dyDescent="0.2">
      <c r="A33" s="330">
        <f t="shared" ref="A33" si="6">A31+1</f>
        <v>9</v>
      </c>
      <c r="B33" s="330" t="s">
        <v>262</v>
      </c>
      <c r="C33" s="228">
        <v>2133</v>
      </c>
      <c r="D33" s="228" t="s">
        <v>72</v>
      </c>
      <c r="E33" s="191" t="s">
        <v>142</v>
      </c>
      <c r="F33" s="191" t="s">
        <v>142</v>
      </c>
      <c r="G33" s="191" t="s">
        <v>4</v>
      </c>
      <c r="H33" s="191" t="s">
        <v>4</v>
      </c>
      <c r="I33" s="191" t="s">
        <v>4</v>
      </c>
      <c r="J33" s="191" t="s">
        <v>4</v>
      </c>
      <c r="K33" s="191" t="s">
        <v>4</v>
      </c>
      <c r="L33" s="191" t="s">
        <v>142</v>
      </c>
      <c r="M33" s="191" t="s">
        <v>142</v>
      </c>
      <c r="N33" s="191" t="s">
        <v>4</v>
      </c>
      <c r="O33" s="191" t="s">
        <v>4</v>
      </c>
      <c r="P33" s="191" t="s">
        <v>4</v>
      </c>
      <c r="Q33" s="191" t="s">
        <v>4</v>
      </c>
      <c r="R33" s="191" t="s">
        <v>4</v>
      </c>
      <c r="S33" s="191" t="s">
        <v>142</v>
      </c>
      <c r="T33" s="191" t="s">
        <v>142</v>
      </c>
      <c r="U33" s="191" t="s">
        <v>4</v>
      </c>
      <c r="V33" s="191" t="s">
        <v>4</v>
      </c>
      <c r="W33" s="191" t="s">
        <v>4</v>
      </c>
      <c r="X33" s="191" t="s">
        <v>4</v>
      </c>
      <c r="Y33" s="191" t="s">
        <v>4</v>
      </c>
      <c r="Z33" s="191" t="s">
        <v>142</v>
      </c>
      <c r="AA33" s="191" t="s">
        <v>142</v>
      </c>
      <c r="AB33" s="191" t="s">
        <v>4</v>
      </c>
      <c r="AC33" s="191" t="s">
        <v>4</v>
      </c>
      <c r="AD33" s="191" t="s">
        <v>4</v>
      </c>
      <c r="AE33" s="191" t="s">
        <v>4</v>
      </c>
      <c r="AF33" s="191" t="s">
        <v>4</v>
      </c>
      <c r="AG33" s="191" t="s">
        <v>142</v>
      </c>
      <c r="AH33" s="191" t="s">
        <v>142</v>
      </c>
      <c r="AI33" s="191" t="s">
        <v>4</v>
      </c>
      <c r="AJ33" s="332">
        <f>IFERROR(COUNTIF(E33:AI33,"=Р")+COUNTIF(E33:AI33,"=Р1")+COUNTIF(E33:AI33,"=ВЧ")+COUNTIF(E33:AI33,"=РН")+COUNTIF(E33:AI33,"=Р2")+COUNTIF(E33:AI33,"=Р1/РВ")+COUNTIF(E33:AI33,"=Р2/РВ")+COUNTIF(E33:AI33,"=ВЧ/РВ")+COUNTIF(E33:AI33,"=РН/РВ"),0)</f>
        <v>21</v>
      </c>
      <c r="AK33" s="333">
        <f>IFERROR(SUMIF(E33:AI33,"=Р2",E34:AI34)+SUMIF(E33:AI33,"=ВЧ/РВ",E34:AI34)+SUMIF(E33:AI33,"=РН/РВ",E34:AI34)+SUMIF(E33:AI33,"=Р1/РВ",E34:AI34)+SUMIF(E33:AI33,"=ВЧ2/РВ",E34:AI34)+SUMIF(E33:AI33,"=Р2/РВ",E34:AI34)+SUMIF(E33:AI33,"=Р",E34:AI34)+SUMIF(E33:AI33,"=Р1",E34:AI34)+SUMIF(E33:AI33,"=ВЧ1",E34:AI34)+SUMIF(E33:AI33,"=РН",E34:AI34)+SUMIF(E33:AI33,"=ВЧ",E34:AI34),0)+AL33</f>
        <v>167.99999999999997</v>
      </c>
      <c r="AL33" s="211">
        <f>IFERROR(SUMIF(E33:AI33,"=НУ",E34:AI34),0)</f>
        <v>0</v>
      </c>
      <c r="AM33" s="211">
        <f>IFERROR(SUMIF(E33:AI33,"=РН",E34:AI34)+SUMIF(E33:AI33,"=РН/РВ",E34:AI34)+SUMIFS(E34:AI34,E33:AI33,"=Р2",E34:AI34,"=8"),0)</f>
        <v>0</v>
      </c>
      <c r="AN33" s="211">
        <f>IFERROR(SUMIF(E33:AI33,"=ВЧ",E34:AI34)+SUMIF(E33:AI33,"=ВЧ/РВ",E34:AI34)+CEILING(COUNTIFS(E33:AI33,"=Р2",E34:AI34,"=7")*4,1)+CEILING(COUNTIFS(E33:AI33,"=Р2/РВ",E34:AI34,"=7")*4,1)+SUMIFS(E34:AI34,E33:AI33,"=Р1/РВ",E34:AI34,"=12")/6+SUMIFS(E34:AI34,E33:AI33,"=ВЧ2/РВ",E34:AI34,"=4")/2+SUMIFS(E34:AI34,E33:AI33,"=Р1",E34:AI34,"=12")/6+SUMIFS(E34:AI34,E33:AI33,"=Р1",E34:AI34,"=8")/4+SUMIF(E33:AI33,"=ВЧ1",E34:AI34)/2,0)+CEILING(SUMIFS(E34:AI34,E33:AI33,"=Р",E34:AI34,"=13")/4,4)+CEILING(SUMIFS(E34:AI34,E33:AI33,"=Р",E34:AI34,"=14")/4,4)+CEILING(SUMIFS(E34:AI34,E33:AI33,"=Р",E34:AI34,"=15")/4,4)+SUMIFS(E34:AI34,E33:AI33,"=Р",E34:AI34,"=16")/4+CEILING(SUMIFS(E34:AI34,E33:AI33,"=Р1",E34:AI34,"=13")/4,4)+CEILING(SUMIFS(E34:AI34,E33:AI33,"=Р1",E34:AI34,"=14")/4,4)+CEILING(SUMIFS(E34:AI34,E33:AI33,"=Р1",E34:AI34,"=15")/4,4)+SUMIFS(E34:AI34,E33:AI33,"=Р1",E34:AI34,"=16")/4</f>
        <v>0</v>
      </c>
      <c r="AO33" s="211">
        <f>IFERROR(SUMIF(E33:AI33,"=РВ",E34:AI34)+SUMIF(E33:AI33,"=ВЧ/РВ",E34:AI34)+SUMIF(E33:AI33,"=РН/РВ",E34:AI34)+SUMIF(E33:AI33,"=Р1/РВ",E34:AI34)+SUMIF(E33:AI33,"=ВЧ2/РВ",E34:AI34)+SUMIF(E33:AI33,"=Р2/РВ",E34:AI34),0)</f>
        <v>0</v>
      </c>
      <c r="AP33" s="211">
        <f>IFERROR(COUNTIF(E33:AI33,"=ВВ")+COUNTIF(E33:AI33,"=Р1/ВВ")+COUNTIF(E33:AI33,"=РН/ВВ")+COUNTIF(E33:AI33,"=ВЧ/ВВ"),0)</f>
        <v>10</v>
      </c>
      <c r="AQ33" s="211">
        <f>SUM(AR33:AZ33)</f>
        <v>0</v>
      </c>
      <c r="AR33" s="211">
        <f>IFERROR(SUMIF(E33:AI33,"=В",E34:AI34)+SUMIF(E33:AI33,"=Ч",E34:AI34)+SUMIF(E33:AI33,"=ВБ",E34:AI34),0)</f>
        <v>0</v>
      </c>
      <c r="AS33" s="211">
        <f>IFERROR(SUMIF(E33:AI33,"=Н",E34:AI34),0)</f>
        <v>0</v>
      </c>
      <c r="AT33" s="211">
        <f>IFERROR(SUMIF(E33:AI33,"=НА",E34:AI34),0)</f>
        <v>0</v>
      </c>
      <c r="AU33" s="211">
        <f>IFERROR(SUMIF(E33:AI33,"=ВП",E34:AI34),0)</f>
        <v>0</v>
      </c>
      <c r="AV33" s="211">
        <f>IFERROR(SUMIF(E33:AI33,"=ДД",E34:AI34),0)</f>
        <v>0</v>
      </c>
      <c r="AW33" s="202">
        <f>IFERROR(SUMIF(E33:AI33,"=ДО",E34:AI34),0)</f>
        <v>0</v>
      </c>
      <c r="AX33" s="211">
        <f>IFERROR(SUMIF(E33:AI33,"=ТН",E34:AI34),0)</f>
        <v>0</v>
      </c>
      <c r="AY33" s="211">
        <f>IFERROR(SUMIF(E33:AI33,"=ВД",E34:AI34),0)</f>
        <v>0</v>
      </c>
      <c r="AZ33" s="312">
        <f>IFERROR(SUMIF(E33:AI33,"=ІН",E34:AI34),0)+SUMIF(E33:AI33,"=НЗ",E34:AI34)</f>
        <v>0</v>
      </c>
    </row>
    <row r="34" spans="1:52" ht="20.100000000000001" customHeight="1" thickBot="1" x14ac:dyDescent="0.25">
      <c r="A34" s="331"/>
      <c r="B34" s="331"/>
      <c r="C34" s="338"/>
      <c r="D34" s="229"/>
      <c r="E34" s="192"/>
      <c r="F34" s="192"/>
      <c r="G34" s="192">
        <v>8.1999999999999993</v>
      </c>
      <c r="H34" s="192">
        <v>8.1999999999999993</v>
      </c>
      <c r="I34" s="192">
        <v>8.1999999999999993</v>
      </c>
      <c r="J34" s="192">
        <v>8.1999999999999993</v>
      </c>
      <c r="K34" s="192">
        <v>7</v>
      </c>
      <c r="L34" s="192"/>
      <c r="M34" s="192"/>
      <c r="N34" s="192">
        <v>8.1999999999999993</v>
      </c>
      <c r="O34" s="192">
        <v>8.1999999999999993</v>
      </c>
      <c r="P34" s="192">
        <v>8.1999999999999993</v>
      </c>
      <c r="Q34" s="192">
        <v>8.1999999999999993</v>
      </c>
      <c r="R34" s="192">
        <v>7.2</v>
      </c>
      <c r="S34" s="192"/>
      <c r="T34" s="192"/>
      <c r="U34" s="192">
        <v>8.1999999999999993</v>
      </c>
      <c r="V34" s="192">
        <v>8.1999999999999993</v>
      </c>
      <c r="W34" s="192">
        <v>8.1999999999999993</v>
      </c>
      <c r="X34" s="192">
        <v>8.1999999999999993</v>
      </c>
      <c r="Y34" s="192">
        <v>7.2</v>
      </c>
      <c r="Z34" s="192"/>
      <c r="AA34" s="192"/>
      <c r="AB34" s="192">
        <v>8.1999999999999993</v>
      </c>
      <c r="AC34" s="192">
        <v>8.1999999999999993</v>
      </c>
      <c r="AD34" s="192">
        <v>8.1999999999999993</v>
      </c>
      <c r="AE34" s="192">
        <v>8.1999999999999993</v>
      </c>
      <c r="AF34" s="192">
        <v>7.2</v>
      </c>
      <c r="AG34" s="192"/>
      <c r="AH34" s="192"/>
      <c r="AI34" s="192">
        <v>8.1999999999999993</v>
      </c>
      <c r="AJ34" s="335"/>
      <c r="AK34" s="334"/>
      <c r="AL34" s="286"/>
      <c r="AM34" s="286"/>
      <c r="AN34" s="212"/>
      <c r="AO34" s="286"/>
      <c r="AP34" s="212"/>
      <c r="AQ34" s="286"/>
      <c r="AR34" s="286"/>
      <c r="AS34" s="286"/>
      <c r="AT34" s="286"/>
      <c r="AU34" s="286"/>
      <c r="AV34" s="286"/>
      <c r="AW34" s="203"/>
      <c r="AX34" s="286"/>
      <c r="AY34" s="286"/>
      <c r="AZ34" s="329"/>
    </row>
    <row r="35" spans="1:52" ht="20.100000000000001" customHeight="1" x14ac:dyDescent="0.2">
      <c r="A35" s="330">
        <f t="shared" ref="A35" si="7">A33+1</f>
        <v>10</v>
      </c>
      <c r="B35" s="330" t="s">
        <v>307</v>
      </c>
      <c r="C35" s="228">
        <v>2178</v>
      </c>
      <c r="D35" s="228" t="s">
        <v>65</v>
      </c>
      <c r="E35" s="191" t="s">
        <v>142</v>
      </c>
      <c r="F35" s="191" t="s">
        <v>142</v>
      </c>
      <c r="G35" s="191" t="s">
        <v>4</v>
      </c>
      <c r="H35" s="191" t="s">
        <v>43</v>
      </c>
      <c r="I35" s="191" t="s">
        <v>142</v>
      </c>
      <c r="J35" s="191" t="s">
        <v>142</v>
      </c>
      <c r="K35" s="191" t="s">
        <v>4</v>
      </c>
      <c r="L35" s="191" t="s">
        <v>43</v>
      </c>
      <c r="M35" s="191" t="s">
        <v>142</v>
      </c>
      <c r="N35" s="191" t="s">
        <v>142</v>
      </c>
      <c r="O35" s="191" t="s">
        <v>4</v>
      </c>
      <c r="P35" s="191" t="s">
        <v>43</v>
      </c>
      <c r="Q35" s="191" t="s">
        <v>142</v>
      </c>
      <c r="R35" s="191" t="s">
        <v>142</v>
      </c>
      <c r="S35" s="191" t="s">
        <v>4</v>
      </c>
      <c r="T35" s="191" t="s">
        <v>43</v>
      </c>
      <c r="U35" s="191" t="s">
        <v>142</v>
      </c>
      <c r="V35" s="191" t="s">
        <v>142</v>
      </c>
      <c r="W35" s="191" t="s">
        <v>4</v>
      </c>
      <c r="X35" s="191" t="s">
        <v>43</v>
      </c>
      <c r="Y35" s="191" t="s">
        <v>142</v>
      </c>
      <c r="Z35" s="191" t="s">
        <v>142</v>
      </c>
      <c r="AA35" s="191" t="s">
        <v>4</v>
      </c>
      <c r="AB35" s="191" t="s">
        <v>43</v>
      </c>
      <c r="AC35" s="191" t="s">
        <v>142</v>
      </c>
      <c r="AD35" s="191" t="s">
        <v>142</v>
      </c>
      <c r="AE35" s="191" t="s">
        <v>4</v>
      </c>
      <c r="AF35" s="191" t="s">
        <v>43</v>
      </c>
      <c r="AG35" s="191" t="s">
        <v>142</v>
      </c>
      <c r="AH35" s="191" t="s">
        <v>142</v>
      </c>
      <c r="AI35" s="191" t="s">
        <v>263</v>
      </c>
      <c r="AJ35" s="332">
        <f>IFERROR(COUNTIF(E35:AI35,"=Р")+COUNTIF(E35:AI35,"=Р1")+COUNTIF(E35:AI35,"=ВЧ")+COUNTIF(E35:AI35,"=РН")+COUNTIF(E35:AI35,"=Р2")+COUNTIF(E35:AI35,"=Р1/РВ")+COUNTIF(E35:AI35,"=Р2/РВ")+COUNTIF(E35:AI35,"=ВЧ/РВ")+COUNTIF(E35:AI35,"=РН/РВ"),0)</f>
        <v>15</v>
      </c>
      <c r="AK35" s="333">
        <f>IFERROR(SUMIF(E35:AI35,"=Р2",E36:AI36)+SUMIF(E35:AI35,"=ВЧ/РВ",E36:AI36)+SUMIF(E35:AI35,"=РН/РВ",E36:AI36)+SUMIF(E35:AI35,"=Р1/РВ",E36:AI36)+SUMIF(E35:AI35,"=ВЧ2/РВ",E36:AI36)+SUMIF(E35:AI35,"=Р2/РВ",E36:AI36)+SUMIF(E35:AI35,"=Р",E36:AI36)+SUMIF(E35:AI35,"=Р1",E36:AI36)+SUMIF(E35:AI35,"=ВЧ1",E36:AI36)+SUMIF(E35:AI35,"=РН",E36:AI36)+SUMIF(E35:AI35,"=ВЧ",E36:AI36),0)+AL35</f>
        <v>168</v>
      </c>
      <c r="AL35" s="211">
        <f>IFERROR(SUMIF(E35:AI35,"=НУ",E36:AI36),0)</f>
        <v>0</v>
      </c>
      <c r="AM35" s="211">
        <f>IFERROR(SUMIF(E35:AI35,"=РН",E36:AI36)+SUMIF(E35:AI35,"=РН/РВ",E36:AI36)+SUMIFS(E36:AI36,E35:AI35,"=Р2",E36:AI36,"=8"),0)</f>
        <v>56</v>
      </c>
      <c r="AN35" s="211">
        <f>IFERROR(SUMIF(E35:AI35,"=ВЧ",E36:AI36)+SUMIF(E35:AI35,"=ВЧ/РВ",E36:AI36)+CEILING(COUNTIFS(E35:AI35,"=Р2",E36:AI36,"=7")*4,1)+CEILING(COUNTIFS(E35:AI35,"=Р2/РВ",E36:AI36,"=7")*4,1)+SUMIFS(E36:AI36,E35:AI35,"=Р1/РВ",E36:AI36,"=12")/6+SUMIFS(E36:AI36,E35:AI35,"=ВЧ2/РВ",E36:AI36,"=4")/2+SUMIFS(E36:AI36,E35:AI35,"=Р1",E36:AI36,"=12")/6+SUMIFS(E36:AI36,E35:AI35,"=Р1",E36:AI36,"=8")/4+SUMIF(E35:AI35,"=ВЧ1",E36:AI36)/2,0)+CEILING(SUMIFS(E36:AI36,E35:AI35,"=Р",E36:AI36,"=13")/4,4)+CEILING(SUMIFS(E36:AI36,E35:AI35,"=Р",E36:AI36,"=14")/4,4)+CEILING(SUMIFS(E36:AI36,E35:AI35,"=Р",E36:AI36,"=15")/4,4)+SUMIFS(E36:AI36,E35:AI35,"=Р",E36:AI36,"=16")/4+CEILING(SUMIFS(E36:AI36,E35:AI35,"=Р1",E36:AI36,"=13")/4,4)+CEILING(SUMIFS(E36:AI36,E35:AI35,"=Р1",E36:AI36,"=14")/4,4)+CEILING(SUMIFS(E36:AI36,E35:AI35,"=Р1",E36:AI36,"=15")/4,4)+SUMIFS(E36:AI36,E35:AI35,"=Р1",E36:AI36,"=16")/4</f>
        <v>32</v>
      </c>
      <c r="AO35" s="211">
        <f>IFERROR(SUMIF(E35:AI35,"=РВ",E36:AI36)+SUMIF(E35:AI35,"=ВЧ/РВ",E36:AI36)+SUMIF(E35:AI35,"=РН/РВ",E36:AI36)+SUMIF(E35:AI35,"=Р1/РВ",E36:AI36)+SUMIF(E35:AI35,"=ВЧ2/РВ",E36:AI36)+SUMIF(E35:AI35,"=Р2/РВ",E36:AI36),0)</f>
        <v>0</v>
      </c>
      <c r="AP35" s="211">
        <f>IFERROR(COUNTIF(E35:AI35,"=ВВ")+COUNTIF(E35:AI35,"=Р1/ВВ")+COUNTIF(E35:AI35,"=РН/ВВ")+COUNTIF(E35:AI35,"=ВЧ/ВВ"),0)</f>
        <v>16</v>
      </c>
      <c r="AQ35" s="211">
        <f>SUM(AR35:AZ35)</f>
        <v>0</v>
      </c>
      <c r="AR35" s="211">
        <f>IFERROR(SUMIF(E35:AI35,"=В",E36:AI36)+SUMIF(E35:AI35,"=Ч",E36:AI36)+SUMIF(E35:AI35,"=ВБ",E36:AI36),0)</f>
        <v>0</v>
      </c>
      <c r="AS35" s="211">
        <f>IFERROR(SUMIF(E35:AI35,"=Н",E36:AI36),0)</f>
        <v>0</v>
      </c>
      <c r="AT35" s="211">
        <f>IFERROR(SUMIF(E35:AI35,"=НА",E36:AI36),0)</f>
        <v>0</v>
      </c>
      <c r="AU35" s="211">
        <f>IFERROR(SUMIF(E35:AI35,"=ВП",E36:AI36),0)</f>
        <v>0</v>
      </c>
      <c r="AV35" s="211">
        <f>IFERROR(SUMIF(E35:AI35,"=ДД",E36:AI36),0)</f>
        <v>0</v>
      </c>
      <c r="AW35" s="202">
        <f>IFERROR(SUMIF(E35:AI35,"=ДО",E36:AI36),0)</f>
        <v>0</v>
      </c>
      <c r="AX35" s="211">
        <f>IFERROR(SUMIF(E35:AI35,"=ТН",E36:AI36),0)</f>
        <v>0</v>
      </c>
      <c r="AY35" s="211">
        <f>IFERROR(SUMIF(E35:AI35,"=ВД",E36:AI36),0)</f>
        <v>0</v>
      </c>
      <c r="AZ35" s="312">
        <f>IFERROR(SUMIF(E35:AI35,"=ІН",E36:AI36),0)+SUMIF(E35:AI35,"=НЗ",E36:AI36)</f>
        <v>0</v>
      </c>
    </row>
    <row r="36" spans="1:52" ht="20.100000000000001" customHeight="1" thickBot="1" x14ac:dyDescent="0.25">
      <c r="A36" s="331"/>
      <c r="B36" s="331"/>
      <c r="C36" s="338"/>
      <c r="D36" s="229"/>
      <c r="E36" s="192"/>
      <c r="F36" s="192"/>
      <c r="G36" s="192">
        <v>16</v>
      </c>
      <c r="H36" s="192">
        <v>8</v>
      </c>
      <c r="I36" s="192"/>
      <c r="J36" s="192"/>
      <c r="K36" s="192">
        <v>13</v>
      </c>
      <c r="L36" s="192">
        <v>8</v>
      </c>
      <c r="M36" s="192"/>
      <c r="N36" s="192"/>
      <c r="O36" s="192">
        <v>15</v>
      </c>
      <c r="P36" s="192">
        <v>8</v>
      </c>
      <c r="Q36" s="192"/>
      <c r="R36" s="192"/>
      <c r="S36" s="192">
        <v>13</v>
      </c>
      <c r="T36" s="192">
        <v>8</v>
      </c>
      <c r="U36" s="192"/>
      <c r="V36" s="192"/>
      <c r="W36" s="192">
        <v>13</v>
      </c>
      <c r="X36" s="192">
        <v>8</v>
      </c>
      <c r="Y36" s="192"/>
      <c r="Z36" s="192"/>
      <c r="AA36" s="192">
        <v>13</v>
      </c>
      <c r="AB36" s="192">
        <v>8</v>
      </c>
      <c r="AC36" s="192"/>
      <c r="AD36" s="192"/>
      <c r="AE36" s="192">
        <v>13</v>
      </c>
      <c r="AF36" s="192">
        <v>8</v>
      </c>
      <c r="AG36" s="192"/>
      <c r="AH36" s="192"/>
      <c r="AI36" s="192">
        <v>16</v>
      </c>
      <c r="AJ36" s="325"/>
      <c r="AK36" s="334"/>
      <c r="AL36" s="286"/>
      <c r="AM36" s="286"/>
      <c r="AN36" s="212"/>
      <c r="AO36" s="286"/>
      <c r="AP36" s="212"/>
      <c r="AQ36" s="286"/>
      <c r="AR36" s="286"/>
      <c r="AS36" s="286"/>
      <c r="AT36" s="286"/>
      <c r="AU36" s="286"/>
      <c r="AV36" s="286"/>
      <c r="AW36" s="203"/>
      <c r="AX36" s="286"/>
      <c r="AY36" s="286"/>
      <c r="AZ36" s="329"/>
    </row>
    <row r="37" spans="1:52" s="163" customFormat="1" ht="20.100000000000001" customHeight="1" x14ac:dyDescent="0.2">
      <c r="A37" s="330">
        <f t="shared" ref="A37" si="8">A35+1</f>
        <v>11</v>
      </c>
      <c r="B37" s="336" t="s">
        <v>382</v>
      </c>
      <c r="C37" s="228">
        <v>1228</v>
      </c>
      <c r="D37" s="293" t="s">
        <v>72</v>
      </c>
      <c r="E37" s="191" t="s">
        <v>43</v>
      </c>
      <c r="F37" s="191" t="s">
        <v>142</v>
      </c>
      <c r="G37" s="191" t="s">
        <v>142</v>
      </c>
      <c r="H37" s="191" t="s">
        <v>4</v>
      </c>
      <c r="I37" s="191" t="s">
        <v>43</v>
      </c>
      <c r="J37" s="191" t="s">
        <v>142</v>
      </c>
      <c r="K37" s="191" t="s">
        <v>142</v>
      </c>
      <c r="L37" s="191" t="s">
        <v>4</v>
      </c>
      <c r="M37" s="191" t="s">
        <v>43</v>
      </c>
      <c r="N37" s="191" t="s">
        <v>142</v>
      </c>
      <c r="O37" s="191" t="s">
        <v>142</v>
      </c>
      <c r="P37" s="191" t="s">
        <v>4</v>
      </c>
      <c r="Q37" s="191" t="s">
        <v>43</v>
      </c>
      <c r="R37" s="191" t="s">
        <v>142</v>
      </c>
      <c r="S37" s="191" t="s">
        <v>142</v>
      </c>
      <c r="T37" s="191" t="s">
        <v>4</v>
      </c>
      <c r="U37" s="191" t="s">
        <v>43</v>
      </c>
      <c r="V37" s="191" t="s">
        <v>142</v>
      </c>
      <c r="W37" s="191" t="s">
        <v>142</v>
      </c>
      <c r="X37" s="191" t="s">
        <v>4</v>
      </c>
      <c r="Y37" s="191" t="s">
        <v>43</v>
      </c>
      <c r="Z37" s="191" t="s">
        <v>142</v>
      </c>
      <c r="AA37" s="191" t="s">
        <v>142</v>
      </c>
      <c r="AB37" s="191" t="s">
        <v>4</v>
      </c>
      <c r="AC37" s="191" t="s">
        <v>43</v>
      </c>
      <c r="AD37" s="191" t="s">
        <v>142</v>
      </c>
      <c r="AE37" s="191" t="s">
        <v>142</v>
      </c>
      <c r="AF37" s="191" t="s">
        <v>4</v>
      </c>
      <c r="AG37" s="191"/>
      <c r="AH37" s="191"/>
      <c r="AI37" s="191"/>
      <c r="AJ37" s="332">
        <f>IFERROR(COUNTIF(E37:AI37,"=Р")+COUNTIF(E37:AI37,"=Р1")+COUNTIF(E37:AI37,"=ВЧ")+COUNTIF(E37:AI37,"=РН")+COUNTIF(E37:AI37,"=Р2")+COUNTIF(E37:AI37,"=Р1/РВ")+COUNTIF(E37:AI37,"=Р2/РВ")+COUNTIF(E37:AI37,"=ВЧ/РВ")+COUNTIF(E37:AI37,"=РН/РВ"),0)</f>
        <v>14</v>
      </c>
      <c r="AK37" s="333">
        <f>IFERROR(SUMIF(E37:AI37,"=Р2",E38:AI38)+SUMIF(E37:AI37,"=ВЧ/РВ",E38:AI38)+SUMIF(E37:AI37,"=РН/РВ",E38:AI38)+SUMIF(E37:AI37,"=Р1/РВ",E38:AI38)+SUMIF(E37:AI37,"=ВЧ2/РВ",E38:AI38)+SUMIF(E37:AI37,"=Р2/РВ",E38:AI38)+SUMIF(E37:AI37,"=Р",E38:AI38)+SUMIF(E37:AI37,"=Р1",E38:AI38)+SUMIF(E37:AI37,"=ВЧ1",E38:AI38)+SUMIF(E37:AI37,"=РН",E38:AI38)+SUMIF(E37:AI37,"=ВЧ",E38:AI38),0)+AL37</f>
        <v>164</v>
      </c>
      <c r="AL37" s="211">
        <f>IFERROR(SUMIF(E37:AI37,"=НУ",E38:AI38),0)</f>
        <v>0</v>
      </c>
      <c r="AM37" s="211">
        <f>IFERROR(SUMIF(E37:AI37,"=РН",E38:AI38)+SUMIF(E37:AI37,"=РН/РВ",E38:AI38)+SUMIFS(E38:AI38,E37:AI37,"=Р2",E38:AI38,"=8"),0)</f>
        <v>56</v>
      </c>
      <c r="AN37" s="211">
        <f>IFERROR(SUMIF(E37:AI37,"=ВЧ",E38:AI38)+SUMIF(E37:AI37,"=ВЧ/РВ",E38:AI38)+CEILING(COUNTIFS(E37:AI37,"=Р2",E38:AI38,"=7")*4,1)+CEILING(COUNTIFS(E37:AI37,"=Р2/РВ",E38:AI38,"=7")*4,1)+SUMIFS(E38:AI38,E37:AI37,"=Р1/РВ",E38:AI38,"=12")/6+SUMIFS(E38:AI38,E37:AI37,"=ВЧ2/РВ",E38:AI38,"=4")/2+SUMIFS(E38:AI38,E37:AI37,"=Р1",E38:AI38,"=12")/6+SUMIFS(E38:AI38,E37:AI37,"=Р1",E38:AI38,"=8")/4+SUMIF(E37:AI37,"=ВЧ1",E38:AI38)/2,0)+CEILING(SUMIFS(E38:AI38,E37:AI37,"=Р",E38:AI38,"=13")/4,4)+CEILING(SUMIFS(E38:AI38,E37:AI37,"=Р",E38:AI38,"=14")/4,4)+CEILING(SUMIFS(E38:AI38,E37:AI37,"=Р",E38:AI38,"=15")/4,4)+SUMIFS(E38:AI38,E37:AI37,"=Р",E38:AI38,"=16")/4+CEILING(SUMIFS(E38:AI38,E37:AI37,"=Р1",E38:AI38,"=13")/4,4)+CEILING(SUMIFS(E38:AI38,E37:AI37,"=Р1",E38:AI38,"=14")/4,4)+CEILING(SUMIFS(E38:AI38,E37:AI37,"=Р1",E38:AI38,"=15")/4,4)+SUMIFS(E38:AI38,E37:AI37,"=Р1",E38:AI38,"=16")/4</f>
        <v>28</v>
      </c>
      <c r="AO37" s="211">
        <f>IFERROR(SUMIF(E37:AI37,"=РВ",E38:AI38)+SUMIF(E37:AI37,"=ВЧ/РВ",E38:AI38)+SUMIF(E37:AI37,"=РН/РВ",E38:AI38)+SUMIF(E37:AI37,"=Р1/РВ",E38:AI38)+SUMIF(E37:AI37,"=ВЧ2/РВ",E38:AI38)+SUMIF(E37:AI37,"=Р2/РВ",E38:AI38),0)</f>
        <v>0</v>
      </c>
      <c r="AP37" s="211">
        <f>IFERROR(COUNTIF(E37:AI37,"=ВВ")+COUNTIF(E37:AI37,"=Р1/ВВ")+COUNTIF(E37:AI37,"=РН/ВВ")+COUNTIF(E37:AI37,"=ВЧ/ВВ"),0)</f>
        <v>14</v>
      </c>
      <c r="AQ37" s="211">
        <f>SUM(AR37:AZ37)</f>
        <v>0</v>
      </c>
      <c r="AR37" s="211">
        <f>IFERROR(SUMIF(E37:AI37,"=В",E38:AI38)+SUMIF(E37:AI37,"=Ч",E38:AI38)+SUMIF(E37:AI37,"=ВБ",E38:AI38),0)</f>
        <v>0</v>
      </c>
      <c r="AS37" s="211">
        <f>IFERROR(SUMIF(E37:AI37,"=Н",E38:AI38),0)</f>
        <v>0</v>
      </c>
      <c r="AT37" s="211">
        <f>IFERROR(SUMIF(E37:AI37,"=НА",E38:AI38),0)</f>
        <v>0</v>
      </c>
      <c r="AU37" s="211">
        <f>IFERROR(SUMIF(E37:AI37,"=ВП",E38:AI38),0)</f>
        <v>0</v>
      </c>
      <c r="AV37" s="211">
        <f>IFERROR(SUMIF(E37:AI37,"=ДД",E38:AI38),0)</f>
        <v>0</v>
      </c>
      <c r="AW37" s="202">
        <f>IFERROR(SUMIF(E37:AI37,"=ДО",E38:AI38),0)</f>
        <v>0</v>
      </c>
      <c r="AX37" s="211">
        <f>IFERROR(SUMIF(E37:AI37,"=ТН",E38:AI38),0)</f>
        <v>0</v>
      </c>
      <c r="AY37" s="211">
        <f>IFERROR(SUMIF(E37:AI37,"=ВД",E38:AI38),0)</f>
        <v>0</v>
      </c>
      <c r="AZ37" s="312">
        <f>IFERROR(SUMIF(E37:AI37,"=ІН",E38:AI38),0)+SUMIF(E37:AI37,"=НЗ",E38:AI38)</f>
        <v>0</v>
      </c>
    </row>
    <row r="38" spans="1:52" s="163" customFormat="1" ht="24" customHeight="1" thickBot="1" x14ac:dyDescent="0.25">
      <c r="A38" s="331"/>
      <c r="B38" s="331"/>
      <c r="C38" s="229"/>
      <c r="D38" s="229"/>
      <c r="E38" s="192">
        <v>8</v>
      </c>
      <c r="F38" s="192"/>
      <c r="G38" s="192"/>
      <c r="H38" s="192">
        <v>16</v>
      </c>
      <c r="I38" s="192">
        <v>8</v>
      </c>
      <c r="J38" s="192"/>
      <c r="K38" s="192"/>
      <c r="L38" s="192">
        <v>16</v>
      </c>
      <c r="M38" s="192">
        <v>8</v>
      </c>
      <c r="N38" s="192"/>
      <c r="O38" s="192"/>
      <c r="P38" s="192">
        <v>14</v>
      </c>
      <c r="Q38" s="192">
        <v>8</v>
      </c>
      <c r="R38" s="192"/>
      <c r="S38" s="192"/>
      <c r="T38" s="192">
        <v>16</v>
      </c>
      <c r="U38" s="192">
        <v>8</v>
      </c>
      <c r="V38" s="192"/>
      <c r="W38" s="192"/>
      <c r="X38" s="192">
        <v>14</v>
      </c>
      <c r="Y38" s="192">
        <v>8</v>
      </c>
      <c r="Z38" s="192"/>
      <c r="AA38" s="192"/>
      <c r="AB38" s="192">
        <v>16</v>
      </c>
      <c r="AC38" s="192">
        <v>8</v>
      </c>
      <c r="AD38" s="192"/>
      <c r="AE38" s="192"/>
      <c r="AF38" s="192">
        <v>16</v>
      </c>
      <c r="AG38" s="192" t="s">
        <v>491</v>
      </c>
      <c r="AH38" s="192" t="s">
        <v>492</v>
      </c>
      <c r="AI38" s="192" t="s">
        <v>493</v>
      </c>
      <c r="AJ38" s="325"/>
      <c r="AK38" s="334"/>
      <c r="AL38" s="286"/>
      <c r="AM38" s="286"/>
      <c r="AN38" s="212"/>
      <c r="AO38" s="286"/>
      <c r="AP38" s="212"/>
      <c r="AQ38" s="286"/>
      <c r="AR38" s="286"/>
      <c r="AS38" s="286"/>
      <c r="AT38" s="286"/>
      <c r="AU38" s="286"/>
      <c r="AV38" s="286"/>
      <c r="AW38" s="203"/>
      <c r="AX38" s="286"/>
      <c r="AY38" s="286"/>
      <c r="AZ38" s="329"/>
    </row>
    <row r="39" spans="1:52" s="163" customFormat="1" ht="20.100000000000001" customHeight="1" x14ac:dyDescent="0.2">
      <c r="A39" s="330">
        <f t="shared" ref="A39" si="9">A37+1</f>
        <v>12</v>
      </c>
      <c r="B39" s="336" t="s">
        <v>383</v>
      </c>
      <c r="C39" s="293">
        <v>1130</v>
      </c>
      <c r="D39" s="293" t="s">
        <v>72</v>
      </c>
      <c r="E39" s="191" t="s">
        <v>142</v>
      </c>
      <c r="F39" s="191" t="s">
        <v>142</v>
      </c>
      <c r="G39" s="191" t="s">
        <v>4</v>
      </c>
      <c r="H39" s="191" t="s">
        <v>43</v>
      </c>
      <c r="I39" s="191" t="s">
        <v>142</v>
      </c>
      <c r="J39" s="191" t="s">
        <v>142</v>
      </c>
      <c r="K39" s="191" t="s">
        <v>4</v>
      </c>
      <c r="L39" s="191" t="s">
        <v>43</v>
      </c>
      <c r="M39" s="191" t="s">
        <v>142</v>
      </c>
      <c r="N39" s="191" t="s">
        <v>142</v>
      </c>
      <c r="O39" s="191" t="s">
        <v>4</v>
      </c>
      <c r="P39" s="191" t="s">
        <v>43</v>
      </c>
      <c r="Q39" s="191" t="s">
        <v>142</v>
      </c>
      <c r="R39" s="191" t="s">
        <v>142</v>
      </c>
      <c r="S39" s="191" t="s">
        <v>4</v>
      </c>
      <c r="T39" s="191" t="s">
        <v>43</v>
      </c>
      <c r="U39" s="191" t="s">
        <v>142</v>
      </c>
      <c r="V39" s="191" t="s">
        <v>142</v>
      </c>
      <c r="W39" s="191" t="s">
        <v>4</v>
      </c>
      <c r="X39" s="191" t="s">
        <v>43</v>
      </c>
      <c r="Y39" s="191" t="s">
        <v>142</v>
      </c>
      <c r="Z39" s="191" t="s">
        <v>142</v>
      </c>
      <c r="AA39" s="191" t="s">
        <v>4</v>
      </c>
      <c r="AB39" s="191" t="s">
        <v>43</v>
      </c>
      <c r="AC39" s="191" t="s">
        <v>142</v>
      </c>
      <c r="AD39" s="191" t="s">
        <v>142</v>
      </c>
      <c r="AE39" s="191" t="s">
        <v>4</v>
      </c>
      <c r="AF39" s="191" t="s">
        <v>43</v>
      </c>
      <c r="AG39" s="191"/>
      <c r="AH39" s="191"/>
      <c r="AI39" s="191"/>
      <c r="AJ39" s="332">
        <f>IFERROR(COUNTIF(E39:AI39,"=Р")+COUNTIF(E39:AI39,"=Р1")+COUNTIF(E39:AI39,"=ВЧ")+COUNTIF(E39:AI39,"=РН")+COUNTIF(E39:AI39,"=Р2")+COUNTIF(E39:AI39,"=Р1/РВ")+COUNTIF(E39:AI39,"=Р2/РВ")+COUNTIF(E39:AI39,"=ВЧ/РВ")+COUNTIF(E39:AI39,"=РН/РВ"),0)</f>
        <v>14</v>
      </c>
      <c r="AK39" s="333">
        <f>IFERROR(SUMIF(E39:AI39,"=Р2",E40:AI40)+SUMIF(E39:AI39,"=ВЧ/РВ",E40:AI40)+SUMIF(E39:AI39,"=РН/РВ",E40:AI40)+SUMIF(E39:AI39,"=Р1/РВ",E40:AI40)+SUMIF(E39:AI39,"=ВЧ2/РВ",E40:AI40)+SUMIF(E39:AI39,"=Р2/РВ",E40:AI40)+SUMIF(E39:AI39,"=Р",E40:AI40)+SUMIF(E39:AI39,"=Р1",E40:AI40)+SUMIF(E39:AI39,"=ВЧ1",E40:AI40)+SUMIF(E39:AI39,"=РН",E40:AI40)+SUMIF(E39:AI39,"=ВЧ",E40:AI40),0)+AL39</f>
        <v>164</v>
      </c>
      <c r="AL39" s="211">
        <f>IFERROR(SUMIF(E39:AI39,"=НУ",E40:AI40),0)</f>
        <v>0</v>
      </c>
      <c r="AM39" s="211">
        <f>IFERROR(SUMIF(E39:AI39,"=РН",E40:AI40)+SUMIF(E39:AI39,"=РН/РВ",E40:AI40)+SUMIFS(E40:AI40,E39:AI39,"=Р2",E40:AI40,"=8"),0)</f>
        <v>56</v>
      </c>
      <c r="AN39" s="211">
        <f>IFERROR(SUMIF(E39:AI39,"=ВЧ",E40:AI40)+SUMIF(E39:AI39,"=ВЧ/РВ",E40:AI40)+CEILING(COUNTIFS(E39:AI39,"=Р2",E40:AI40,"=7")*4,1)+CEILING(COUNTIFS(E39:AI39,"=Р2/РВ",E40:AI40,"=7")*4,1)+SUMIFS(E40:AI40,E39:AI39,"=Р1/РВ",E40:AI40,"=12")/6+SUMIFS(E40:AI40,E39:AI39,"=ВЧ2/РВ",E40:AI40,"=4")/2+SUMIFS(E40:AI40,E39:AI39,"=Р1",E40:AI40,"=12")/6+SUMIFS(E40:AI40,E39:AI39,"=Р1",E40:AI40,"=8")/4+SUMIF(E39:AI39,"=ВЧ1",E40:AI40)/2,0)+CEILING(SUMIFS(E40:AI40,E39:AI39,"=Р",E40:AI40,"=13")/4,4)+CEILING(SUMIFS(E40:AI40,E39:AI39,"=Р",E40:AI40,"=14")/4,4)+CEILING(SUMIFS(E40:AI40,E39:AI39,"=Р",E40:AI40,"=15")/4,4)+SUMIFS(E40:AI40,E39:AI39,"=Р",E40:AI40,"=16")/4+CEILING(SUMIFS(E40:AI40,E39:AI39,"=Р1",E40:AI40,"=13")/4,4)+CEILING(SUMIFS(E40:AI40,E39:AI39,"=Р1",E40:AI40,"=14")/4,4)+CEILING(SUMIFS(E40:AI40,E39:AI39,"=Р1",E40:AI40,"=15")/4,4)+SUMIFS(E40:AI40,E39:AI39,"=Р1",E40:AI40,"=16")/4</f>
        <v>28</v>
      </c>
      <c r="AO39" s="211">
        <f>IFERROR(SUMIF(E39:AI39,"=РВ",E40:AI40)+SUMIF(E39:AI39,"=ВЧ/РВ",E40:AI40)+SUMIF(E39:AI39,"=РН/РВ",E40:AI40)+SUMIF(E39:AI39,"=Р1/РВ",E40:AI40)+SUMIF(E39:AI39,"=ВЧ2/РВ",E40:AI40)+SUMIF(E39:AI39,"=Р2/РВ",E40:AI40),0)</f>
        <v>0</v>
      </c>
      <c r="AP39" s="211">
        <f>IFERROR(COUNTIF(E39:AI39,"=ВВ")+COUNTIF(E39:AI39,"=Р1/ВВ")+COUNTIF(E39:AI39,"=РН/ВВ")+COUNTIF(E39:AI39,"=ВЧ/ВВ"),0)</f>
        <v>14</v>
      </c>
      <c r="AQ39" s="211">
        <f>SUM(AR39:AZ39)</f>
        <v>0</v>
      </c>
      <c r="AR39" s="211">
        <f>IFERROR(SUMIF(E39:AI39,"=В",E40:AI40)+SUMIF(E39:AI39,"=Ч",E40:AI40)+SUMIF(E39:AI39,"=ВБ",E40:AI40),0)</f>
        <v>0</v>
      </c>
      <c r="AS39" s="211">
        <f>IFERROR(SUMIF(E39:AI39,"=Н",E40:AI40),0)</f>
        <v>0</v>
      </c>
      <c r="AT39" s="211">
        <f>IFERROR(SUMIF(E39:AI39,"=НА",E40:AI40),0)</f>
        <v>0</v>
      </c>
      <c r="AU39" s="211">
        <f>IFERROR(SUMIF(E39:AI39,"=ВП",E40:AI40),0)</f>
        <v>0</v>
      </c>
      <c r="AV39" s="211">
        <f>IFERROR(SUMIF(E39:AI39,"=ДД",E40:AI40),0)</f>
        <v>0</v>
      </c>
      <c r="AW39" s="202">
        <f>IFERROR(SUMIF(E39:AI39,"=ДО",E40:AI40),0)</f>
        <v>0</v>
      </c>
      <c r="AX39" s="211">
        <f>IFERROR(SUMIF(E39:AI39,"=ТН",E40:AI40),0)</f>
        <v>0</v>
      </c>
      <c r="AY39" s="211">
        <f>IFERROR(SUMIF(E39:AI39,"=ВД",E40:AI40),0)</f>
        <v>0</v>
      </c>
      <c r="AZ39" s="312">
        <f>IFERROR(SUMIF(E39:AI39,"=ІН",E40:AI40),0)+SUMIF(E39:AI39,"=НЗ",E40:AI40)</f>
        <v>0</v>
      </c>
    </row>
    <row r="40" spans="1:52" s="163" customFormat="1" ht="24" customHeight="1" thickBot="1" x14ac:dyDescent="0.25">
      <c r="A40" s="331"/>
      <c r="B40" s="331"/>
      <c r="C40" s="229"/>
      <c r="D40" s="229"/>
      <c r="E40" s="192"/>
      <c r="F40" s="192"/>
      <c r="G40" s="192">
        <v>13</v>
      </c>
      <c r="H40" s="192">
        <v>8</v>
      </c>
      <c r="I40" s="192"/>
      <c r="J40" s="192"/>
      <c r="K40" s="192">
        <v>16</v>
      </c>
      <c r="L40" s="192">
        <v>8</v>
      </c>
      <c r="M40" s="192"/>
      <c r="N40" s="192"/>
      <c r="O40" s="192">
        <v>16</v>
      </c>
      <c r="P40" s="192">
        <v>8</v>
      </c>
      <c r="Q40" s="192"/>
      <c r="R40" s="192"/>
      <c r="S40" s="192">
        <v>15</v>
      </c>
      <c r="T40" s="192">
        <v>8</v>
      </c>
      <c r="U40" s="192"/>
      <c r="V40" s="192"/>
      <c r="W40" s="192">
        <v>16</v>
      </c>
      <c r="X40" s="192">
        <v>8</v>
      </c>
      <c r="Y40" s="192"/>
      <c r="Z40" s="192"/>
      <c r="AA40" s="192">
        <v>16</v>
      </c>
      <c r="AB40" s="192">
        <v>8</v>
      </c>
      <c r="AC40" s="192"/>
      <c r="AD40" s="192"/>
      <c r="AE40" s="192">
        <v>16</v>
      </c>
      <c r="AF40" s="192">
        <v>8</v>
      </c>
      <c r="AG40" s="192" t="s">
        <v>491</v>
      </c>
      <c r="AH40" s="192" t="s">
        <v>492</v>
      </c>
      <c r="AI40" s="192" t="s">
        <v>493</v>
      </c>
      <c r="AJ40" s="325"/>
      <c r="AK40" s="334"/>
      <c r="AL40" s="286"/>
      <c r="AM40" s="286"/>
      <c r="AN40" s="212"/>
      <c r="AO40" s="286"/>
      <c r="AP40" s="212"/>
      <c r="AQ40" s="286"/>
      <c r="AR40" s="286"/>
      <c r="AS40" s="286"/>
      <c r="AT40" s="286"/>
      <c r="AU40" s="286"/>
      <c r="AV40" s="286"/>
      <c r="AW40" s="203"/>
      <c r="AX40" s="286"/>
      <c r="AY40" s="286"/>
      <c r="AZ40" s="329"/>
    </row>
    <row r="41" spans="1:52" s="163" customFormat="1" ht="24" customHeight="1" x14ac:dyDescent="0.2">
      <c r="A41" s="330">
        <f t="shared" ref="A41" si="10">A39+1</f>
        <v>13</v>
      </c>
      <c r="B41" s="336" t="s">
        <v>384</v>
      </c>
      <c r="C41" s="228">
        <v>2153</v>
      </c>
      <c r="D41" s="228" t="s">
        <v>72</v>
      </c>
      <c r="E41" s="191" t="s">
        <v>142</v>
      </c>
      <c r="F41" s="191" t="s">
        <v>4</v>
      </c>
      <c r="G41" s="191" t="s">
        <v>43</v>
      </c>
      <c r="H41" s="191" t="s">
        <v>142</v>
      </c>
      <c r="I41" s="191" t="s">
        <v>142</v>
      </c>
      <c r="J41" s="191" t="s">
        <v>4</v>
      </c>
      <c r="K41" s="191" t="s">
        <v>43</v>
      </c>
      <c r="L41" s="191" t="s">
        <v>142</v>
      </c>
      <c r="M41" s="191" t="s">
        <v>142</v>
      </c>
      <c r="N41" s="191" t="s">
        <v>4</v>
      </c>
      <c r="O41" s="191" t="s">
        <v>43</v>
      </c>
      <c r="P41" s="191" t="s">
        <v>142</v>
      </c>
      <c r="Q41" s="191" t="s">
        <v>142</v>
      </c>
      <c r="R41" s="191" t="s">
        <v>4</v>
      </c>
      <c r="S41" s="191" t="s">
        <v>43</v>
      </c>
      <c r="T41" s="191" t="s">
        <v>142</v>
      </c>
      <c r="U41" s="191" t="s">
        <v>142</v>
      </c>
      <c r="V41" s="191" t="s">
        <v>4</v>
      </c>
      <c r="W41" s="191" t="s">
        <v>43</v>
      </c>
      <c r="X41" s="191" t="s">
        <v>142</v>
      </c>
      <c r="Y41" s="191" t="s">
        <v>142</v>
      </c>
      <c r="Z41" s="191" t="s">
        <v>4</v>
      </c>
      <c r="AA41" s="191" t="s">
        <v>43</v>
      </c>
      <c r="AB41" s="191" t="s">
        <v>142</v>
      </c>
      <c r="AC41" s="191" t="s">
        <v>142</v>
      </c>
      <c r="AD41" s="191" t="s">
        <v>4</v>
      </c>
      <c r="AE41" s="191" t="s">
        <v>43</v>
      </c>
      <c r="AF41" s="191" t="s">
        <v>142</v>
      </c>
      <c r="AG41" s="191"/>
      <c r="AH41" s="191"/>
      <c r="AI41" s="191"/>
      <c r="AJ41" s="332">
        <f>IFERROR(COUNTIF(E41:AI41,"=Р")+COUNTIF(E41:AI41,"=Р1")+COUNTIF(E41:AI41,"=ВЧ")+COUNTIF(E41:AI41,"=РН")+COUNTIF(E41:AI41,"=Р2")+COUNTIF(E41:AI41,"=Р1/РВ")+COUNTIF(E41:AI41,"=Р2/РВ")+COUNTIF(E41:AI41,"=ВЧ/РВ")+COUNTIF(E41:AI41,"=РН/РВ"),0)</f>
        <v>14</v>
      </c>
      <c r="AK41" s="333">
        <f>IFERROR(SUMIF(E41:AI41,"=Р2",E42:AI42)+SUMIF(E41:AI41,"=ВЧ/РВ",E42:AI42)+SUMIF(E41:AI41,"=РН/РВ",E42:AI42)+SUMIF(E41:AI41,"=Р1/РВ",E42:AI42)+SUMIF(E41:AI41,"=ВЧ2/РВ",E42:AI42)+SUMIF(E41:AI41,"=Р2/РВ",E42:AI42)+SUMIF(E41:AI41,"=Р",E42:AI42)+SUMIF(E41:AI41,"=Р1",E42:AI42)+SUMIF(E41:AI41,"=ВЧ1",E42:AI42)+SUMIF(E41:AI41,"=РН",E42:AI42)+SUMIF(E41:AI41,"=ВЧ",E42:AI42),0)+AL41</f>
        <v>164</v>
      </c>
      <c r="AL41" s="211">
        <f>IFERROR(SUMIF(E41:AI41,"=НУ",E42:AI42),0)</f>
        <v>0</v>
      </c>
      <c r="AM41" s="211">
        <f>IFERROR(SUMIF(E41:AI41,"=РН",E42:AI42)+SUMIF(E41:AI41,"=РН/РВ",E42:AI42)+SUMIFS(E42:AI42,E41:AI41,"=Р2",E42:AI42,"=8"),0)</f>
        <v>56</v>
      </c>
      <c r="AN41" s="211">
        <f>IFERROR(SUMIF(E41:AI41,"=ВЧ",E42:AI42)+SUMIF(E41:AI41,"=ВЧ/РВ",E42:AI42)+CEILING(COUNTIFS(E41:AI41,"=Р2",E42:AI42,"=7")*4,1)+CEILING(COUNTIFS(E41:AI41,"=Р2/РВ",E42:AI42,"=7")*4,1)+SUMIFS(E42:AI42,E41:AI41,"=Р1/РВ",E42:AI42,"=12")/6+SUMIFS(E42:AI42,E41:AI41,"=ВЧ2/РВ",E42:AI42,"=4")/2+SUMIFS(E42:AI42,E41:AI41,"=Р1",E42:AI42,"=12")/6+SUMIFS(E42:AI42,E41:AI41,"=Р1",E42:AI42,"=8")/4+SUMIF(E41:AI41,"=ВЧ1",E42:AI42)/2,0)+CEILING(SUMIFS(E42:AI42,E41:AI41,"=Р",E42:AI42,"=13")/4,4)+CEILING(SUMIFS(E42:AI42,E41:AI41,"=Р",E42:AI42,"=14")/4,4)+CEILING(SUMIFS(E42:AI42,E41:AI41,"=Р",E42:AI42,"=15")/4,4)+SUMIFS(E42:AI42,E41:AI41,"=Р",E42:AI42,"=16")/4+CEILING(SUMIFS(E42:AI42,E41:AI41,"=Р1",E42:AI42,"=13")/4,4)+CEILING(SUMIFS(E42:AI42,E41:AI41,"=Р1",E42:AI42,"=14")/4,4)+CEILING(SUMIFS(E42:AI42,E41:AI41,"=Р1",E42:AI42,"=15")/4,4)+SUMIFS(E42:AI42,E41:AI41,"=Р1",E42:AI42,"=16")/4</f>
        <v>28</v>
      </c>
      <c r="AO41" s="211">
        <f>IFERROR(SUMIF(E41:AI41,"=РВ",E42:AI42)+SUMIF(E41:AI41,"=ВЧ/РВ",E42:AI42)+SUMIF(E41:AI41,"=РН/РВ",E42:AI42)+SUMIF(E41:AI41,"=Р1/РВ",E42:AI42)+SUMIF(E41:AI41,"=ВЧ2/РВ",E42:AI42)+SUMIF(E41:AI41,"=Р2/РВ",E42:AI42),0)</f>
        <v>0</v>
      </c>
      <c r="AP41" s="211">
        <f>IFERROR(COUNTIF(E41:AI41,"=ВВ")+COUNTIF(E41:AI41,"=Р1/ВВ")+COUNTIF(E41:AI41,"=РН/ВВ")+COUNTIF(E41:AI41,"=ВЧ/ВВ"),0)</f>
        <v>14</v>
      </c>
      <c r="AQ41" s="211">
        <f>SUM(AR41:AZ41)</f>
        <v>0</v>
      </c>
      <c r="AR41" s="211">
        <f>IFERROR(SUMIF(E41:AI41,"=В",E42:AI42)+SUMIF(E41:AI41,"=Ч",E42:AI42)+SUMIF(E41:AI41,"=ВБ",E42:AI42),0)</f>
        <v>0</v>
      </c>
      <c r="AS41" s="211">
        <f>IFERROR(SUMIF(E41:AI41,"=Н",E42:AI42),0)</f>
        <v>0</v>
      </c>
      <c r="AT41" s="211">
        <f>IFERROR(SUMIF(E41:AI41,"=НА",E42:AI42),0)</f>
        <v>0</v>
      </c>
      <c r="AU41" s="211">
        <f>IFERROR(SUMIF(E41:AI41,"=ВП",E42:AI42),0)</f>
        <v>0</v>
      </c>
      <c r="AV41" s="211">
        <f>IFERROR(SUMIF(E41:AI41,"=ДД",E42:AI42),0)</f>
        <v>0</v>
      </c>
      <c r="AW41" s="202">
        <f>IFERROR(SUMIF(E41:AI41,"=ДО",E42:AI42),0)</f>
        <v>0</v>
      </c>
      <c r="AX41" s="211">
        <f>IFERROR(SUMIF(E41:AI41,"=ТН",E42:AI42),0)</f>
        <v>0</v>
      </c>
      <c r="AY41" s="211">
        <f>IFERROR(SUMIF(E41:AI41,"=ВД",E42:AI42),0)</f>
        <v>0</v>
      </c>
      <c r="AZ41" s="312">
        <f>IFERROR(SUMIF(E41:AI41,"=ІН",E42:AI42),0)+SUMIF(E41:AI41,"=НЗ",E42:AI42)</f>
        <v>0</v>
      </c>
    </row>
    <row r="42" spans="1:52" s="163" customFormat="1" ht="19.5" customHeight="1" thickBot="1" x14ac:dyDescent="0.25">
      <c r="A42" s="331"/>
      <c r="B42" s="331"/>
      <c r="C42" s="337"/>
      <c r="D42" s="337"/>
      <c r="E42" s="192"/>
      <c r="F42" s="192">
        <v>13</v>
      </c>
      <c r="G42" s="192">
        <v>8</v>
      </c>
      <c r="H42" s="192"/>
      <c r="I42" s="192"/>
      <c r="J42" s="192">
        <v>15</v>
      </c>
      <c r="K42" s="192">
        <v>8</v>
      </c>
      <c r="L42" s="192"/>
      <c r="M42" s="192"/>
      <c r="N42" s="192">
        <v>16</v>
      </c>
      <c r="O42" s="192">
        <v>8</v>
      </c>
      <c r="P42" s="192"/>
      <c r="Q42" s="192"/>
      <c r="R42" s="192">
        <v>16</v>
      </c>
      <c r="S42" s="192">
        <v>8</v>
      </c>
      <c r="T42" s="192"/>
      <c r="U42" s="192"/>
      <c r="V42" s="192">
        <v>16</v>
      </c>
      <c r="W42" s="192">
        <v>8</v>
      </c>
      <c r="X42" s="192"/>
      <c r="Y42" s="192"/>
      <c r="Z42" s="192">
        <v>16</v>
      </c>
      <c r="AA42" s="192">
        <v>8</v>
      </c>
      <c r="AB42" s="192"/>
      <c r="AC42" s="192"/>
      <c r="AD42" s="192">
        <v>16</v>
      </c>
      <c r="AE42" s="192">
        <v>8</v>
      </c>
      <c r="AF42" s="192"/>
      <c r="AG42" s="192" t="s">
        <v>491</v>
      </c>
      <c r="AH42" s="192" t="s">
        <v>492</v>
      </c>
      <c r="AI42" s="192" t="s">
        <v>493</v>
      </c>
      <c r="AJ42" s="335"/>
      <c r="AK42" s="334"/>
      <c r="AL42" s="286"/>
      <c r="AM42" s="286"/>
      <c r="AN42" s="212"/>
      <c r="AO42" s="286"/>
      <c r="AP42" s="212"/>
      <c r="AQ42" s="286"/>
      <c r="AR42" s="286"/>
      <c r="AS42" s="286"/>
      <c r="AT42" s="286"/>
      <c r="AU42" s="286"/>
      <c r="AV42" s="286"/>
      <c r="AW42" s="203"/>
      <c r="AX42" s="286"/>
      <c r="AY42" s="286"/>
      <c r="AZ42" s="329"/>
    </row>
    <row r="43" spans="1:52" ht="20.100000000000001" customHeight="1" x14ac:dyDescent="0.2">
      <c r="A43" s="330">
        <f t="shared" ref="A43" si="11">A41+1</f>
        <v>14</v>
      </c>
      <c r="B43" s="330" t="s">
        <v>243</v>
      </c>
      <c r="C43" s="228">
        <v>1479</v>
      </c>
      <c r="D43" s="228" t="s">
        <v>65</v>
      </c>
      <c r="E43" s="191" t="s">
        <v>142</v>
      </c>
      <c r="F43" s="191" t="s">
        <v>142</v>
      </c>
      <c r="G43" s="191" t="s">
        <v>4</v>
      </c>
      <c r="H43" s="191" t="s">
        <v>4</v>
      </c>
      <c r="I43" s="191" t="s">
        <v>4</v>
      </c>
      <c r="J43" s="191" t="s">
        <v>4</v>
      </c>
      <c r="K43" s="191" t="s">
        <v>4</v>
      </c>
      <c r="L43" s="191" t="s">
        <v>142</v>
      </c>
      <c r="M43" s="191" t="s">
        <v>142</v>
      </c>
      <c r="N43" s="191" t="s">
        <v>4</v>
      </c>
      <c r="O43" s="191" t="s">
        <v>4</v>
      </c>
      <c r="P43" s="191" t="s">
        <v>4</v>
      </c>
      <c r="Q43" s="191" t="s">
        <v>4</v>
      </c>
      <c r="R43" s="191" t="s">
        <v>4</v>
      </c>
      <c r="S43" s="191" t="s">
        <v>142</v>
      </c>
      <c r="T43" s="191" t="s">
        <v>142</v>
      </c>
      <c r="U43" s="191" t="s">
        <v>4</v>
      </c>
      <c r="V43" s="191" t="s">
        <v>4</v>
      </c>
      <c r="W43" s="191" t="s">
        <v>4</v>
      </c>
      <c r="X43" s="191" t="s">
        <v>4</v>
      </c>
      <c r="Y43" s="191" t="s">
        <v>4</v>
      </c>
      <c r="Z43" s="191" t="s">
        <v>142</v>
      </c>
      <c r="AA43" s="191" t="s">
        <v>142</v>
      </c>
      <c r="AB43" s="191" t="s">
        <v>4</v>
      </c>
      <c r="AC43" s="191" t="s">
        <v>4</v>
      </c>
      <c r="AD43" s="191" t="s">
        <v>4</v>
      </c>
      <c r="AE43" s="191" t="s">
        <v>4</v>
      </c>
      <c r="AF43" s="191" t="s">
        <v>4</v>
      </c>
      <c r="AG43" s="191" t="s">
        <v>142</v>
      </c>
      <c r="AH43" s="191" t="s">
        <v>142</v>
      </c>
      <c r="AI43" s="191" t="s">
        <v>4</v>
      </c>
      <c r="AJ43" s="332">
        <f>IFERROR(COUNTIF(E43:AI43,"=Р")+COUNTIF(E43:AI43,"=Р1")+COUNTIF(E43:AI43,"=ВЧ")+COUNTIF(E43:AI43,"=РН")+COUNTIF(E43:AI43,"=Р2")+COUNTIF(E43:AI43,"=Р1/РВ")+COUNTIF(E43:AI43,"=Р2/РВ")+COUNTIF(E43:AI43,"=ВЧ/РВ")+COUNTIF(E43:AI43,"=РН/РВ"),0)</f>
        <v>21</v>
      </c>
      <c r="AK43" s="333">
        <f>IFERROR(SUMIF(E43:AI43,"=Р2",E44:AI44)+SUMIF(E43:AI43,"=ВЧ/РВ",E44:AI44)+SUMIF(E43:AI43,"=РН/РВ",E44:AI44)+SUMIF(E43:AI43,"=Р1/РВ",E44:AI44)+SUMIF(E43:AI43,"=ВЧ2/РВ",E44:AI44)+SUMIF(E43:AI43,"=Р2/РВ",E44:AI44)+SUMIF(E43:AI43,"=Р",E44:AI44)+SUMIF(E43:AI43,"=Р1",E44:AI44)+SUMIF(E43:AI43,"=ВЧ1",E44:AI44)+SUMIF(E43:AI43,"=РН",E44:AI44)+SUMIF(E43:AI43,"=ВЧ",E44:AI44),0)+AL43</f>
        <v>167.99999999999997</v>
      </c>
      <c r="AL43" s="211">
        <f>IFERROR(SUMIF(E43:AI43,"=НУ",E44:AI44),0)</f>
        <v>0</v>
      </c>
      <c r="AM43" s="211">
        <f>IFERROR(SUMIF(E43:AI43,"=РН",E44:AI44)+SUMIF(E43:AI43,"=РН/РВ",E44:AI44)+SUMIFS(E44:AI44,E43:AI43,"=Р2",E44:AI44,"=8"),0)</f>
        <v>0</v>
      </c>
      <c r="AN43" s="211">
        <f>IFERROR(SUMIF(E43:AI43,"=ВЧ",E44:AI44)+SUMIF(E43:AI43,"=ВЧ/РВ",E44:AI44)+CEILING(COUNTIFS(E43:AI43,"=Р2",E44:AI44,"=7")*4,1)+CEILING(COUNTIFS(E43:AI43,"=Р2/РВ",E44:AI44,"=7")*4,1)+SUMIFS(E44:AI44,E43:AI43,"=Р1/РВ",E44:AI44,"=12")/6+SUMIFS(E44:AI44,E43:AI43,"=ВЧ2/РВ",E44:AI44,"=4")/2+SUMIFS(E44:AI44,E43:AI43,"=Р1",E44:AI44,"=12")/6+SUMIFS(E44:AI44,E43:AI43,"=Р1",E44:AI44,"=8")/4+SUMIF(E43:AI43,"=ВЧ1",E44:AI44)/2,0)+CEILING(SUMIFS(E44:AI44,E43:AI43,"=Р",E44:AI44,"=13")/4,4)+CEILING(SUMIFS(E44:AI44,E43:AI43,"=Р",E44:AI44,"=14")/4,4)+CEILING(SUMIFS(E44:AI44,E43:AI43,"=Р",E44:AI44,"=15")/4,4)+SUMIFS(E44:AI44,E43:AI43,"=Р",E44:AI44,"=16")/4+CEILING(SUMIFS(E44:AI44,E43:AI43,"=Р1",E44:AI44,"=13")/4,4)+CEILING(SUMIFS(E44:AI44,E43:AI43,"=Р1",E44:AI44,"=14")/4,4)+CEILING(SUMIFS(E44:AI44,E43:AI43,"=Р1",E44:AI44,"=15")/4,4)+SUMIFS(E44:AI44,E43:AI43,"=Р1",E44:AI44,"=16")/4</f>
        <v>0</v>
      </c>
      <c r="AO43" s="211">
        <f>IFERROR(SUMIF(E43:AI43,"=РВ",E44:AI44)+SUMIF(E43:AI43,"=ВЧ/РВ",E44:AI44)+SUMIF(E43:AI43,"=РН/РВ",E44:AI44)+SUMIF(E43:AI43,"=Р1/РВ",E44:AI44)+SUMIF(E43:AI43,"=ВЧ2/РВ",E44:AI44)+SUMIF(E43:AI43,"=Р2/РВ",E44:AI44),0)</f>
        <v>0</v>
      </c>
      <c r="AP43" s="211">
        <f>IFERROR(COUNTIF(E43:AI43,"=ВВ")+COUNTIF(E43:AI43,"=Р1/ВВ")+COUNTIF(E43:AI43,"=РН/ВВ")+COUNTIF(E43:AI43,"=ВЧ/ВВ"),0)</f>
        <v>10</v>
      </c>
      <c r="AQ43" s="211">
        <f>SUM(AR43:AZ43)</f>
        <v>0</v>
      </c>
      <c r="AR43" s="211">
        <f>IFERROR(SUMIF(E43:AI43,"=В",E44:AI44)+SUMIF(E43:AI43,"=Ч",E44:AI44)+SUMIF(E43:AI43,"=ВБ",E44:AI44),0)</f>
        <v>0</v>
      </c>
      <c r="AS43" s="211">
        <f>IFERROR(SUMIF(E43:AI43,"=Н",E44:AI44),0)</f>
        <v>0</v>
      </c>
      <c r="AT43" s="211">
        <f>IFERROR(SUMIF(E43:AI43,"=НА",E44:AI44),0)</f>
        <v>0</v>
      </c>
      <c r="AU43" s="211">
        <f>IFERROR(SUMIF(E43:AI43,"=ВП",E44:AI44),0)</f>
        <v>0</v>
      </c>
      <c r="AV43" s="211">
        <f>IFERROR(SUMIF(E43:AI43,"=ДД",E44:AI44),0)</f>
        <v>0</v>
      </c>
      <c r="AW43" s="202">
        <f>IFERROR(SUMIF(E43:AI43,"=ДО",E44:AI44),0)</f>
        <v>0</v>
      </c>
      <c r="AX43" s="211">
        <f>IFERROR(SUMIF(E43:AI43,"=ТН",E44:AI44),0)</f>
        <v>0</v>
      </c>
      <c r="AY43" s="211">
        <f>IFERROR(SUMIF(E43:AI43,"=ВД",E44:AI44),0)</f>
        <v>0</v>
      </c>
      <c r="AZ43" s="312">
        <f>IFERROR(SUMIF(E43:AI43,"=ІН",E44:AI44),0)+SUMIF(E43:AI43,"=НЗ",E44:AI44)</f>
        <v>0</v>
      </c>
    </row>
    <row r="44" spans="1:52" ht="20.100000000000001" customHeight="1" thickBot="1" x14ac:dyDescent="0.25">
      <c r="A44" s="331"/>
      <c r="B44" s="331"/>
      <c r="C44" s="229"/>
      <c r="D44" s="229"/>
      <c r="E44" s="192"/>
      <c r="F44" s="192"/>
      <c r="G44" s="192">
        <v>8.1999999999999993</v>
      </c>
      <c r="H44" s="192">
        <v>8.1999999999999993</v>
      </c>
      <c r="I44" s="192">
        <v>8.1999999999999993</v>
      </c>
      <c r="J44" s="192">
        <v>8.1999999999999993</v>
      </c>
      <c r="K44" s="192">
        <v>7</v>
      </c>
      <c r="L44" s="192"/>
      <c r="M44" s="192"/>
      <c r="N44" s="192">
        <v>8.1999999999999993</v>
      </c>
      <c r="O44" s="192">
        <v>8.1999999999999993</v>
      </c>
      <c r="P44" s="192">
        <v>8.1999999999999993</v>
      </c>
      <c r="Q44" s="192">
        <v>8.1999999999999993</v>
      </c>
      <c r="R44" s="192">
        <v>7.2</v>
      </c>
      <c r="S44" s="192"/>
      <c r="T44" s="192"/>
      <c r="U44" s="192">
        <v>8.1999999999999993</v>
      </c>
      <c r="V44" s="192">
        <v>8.1999999999999993</v>
      </c>
      <c r="W44" s="192">
        <v>8.1999999999999993</v>
      </c>
      <c r="X44" s="192">
        <v>8.1999999999999993</v>
      </c>
      <c r="Y44" s="192">
        <v>7.2</v>
      </c>
      <c r="Z44" s="192"/>
      <c r="AA44" s="192"/>
      <c r="AB44" s="192">
        <v>8.1999999999999993</v>
      </c>
      <c r="AC44" s="192">
        <v>8.1999999999999993</v>
      </c>
      <c r="AD44" s="192">
        <v>8.1999999999999993</v>
      </c>
      <c r="AE44" s="192">
        <v>8.1999999999999993</v>
      </c>
      <c r="AF44" s="192">
        <v>7.2</v>
      </c>
      <c r="AG44" s="192"/>
      <c r="AH44" s="192"/>
      <c r="AI44" s="192">
        <v>8.1999999999999993</v>
      </c>
      <c r="AJ44" s="335"/>
      <c r="AK44" s="334"/>
      <c r="AL44" s="286"/>
      <c r="AM44" s="286"/>
      <c r="AN44" s="212"/>
      <c r="AO44" s="286"/>
      <c r="AP44" s="212"/>
      <c r="AQ44" s="286"/>
      <c r="AR44" s="286"/>
      <c r="AS44" s="286"/>
      <c r="AT44" s="286"/>
      <c r="AU44" s="286"/>
      <c r="AV44" s="286"/>
      <c r="AW44" s="203"/>
      <c r="AX44" s="286"/>
      <c r="AY44" s="286"/>
      <c r="AZ44" s="329"/>
    </row>
    <row r="45" spans="1:52" s="163" customFormat="1" ht="20.100000000000001" customHeight="1" x14ac:dyDescent="0.2">
      <c r="A45" s="330">
        <f t="shared" ref="A45" si="12">A43+1</f>
        <v>15</v>
      </c>
      <c r="B45" s="336" t="s">
        <v>385</v>
      </c>
      <c r="C45" s="293">
        <v>2184</v>
      </c>
      <c r="D45" s="293" t="s">
        <v>72</v>
      </c>
      <c r="E45" s="191" t="s">
        <v>52</v>
      </c>
      <c r="F45" s="191" t="s">
        <v>52</v>
      </c>
      <c r="G45" s="191" t="s">
        <v>52</v>
      </c>
      <c r="H45" s="191" t="s">
        <v>52</v>
      </c>
      <c r="I45" s="191" t="s">
        <v>52</v>
      </c>
      <c r="J45" s="191" t="s">
        <v>52</v>
      </c>
      <c r="K45" s="191" t="s">
        <v>52</v>
      </c>
      <c r="L45" s="191" t="s">
        <v>142</v>
      </c>
      <c r="M45" s="191"/>
      <c r="N45" s="191"/>
      <c r="O45" s="191"/>
      <c r="P45" s="191"/>
      <c r="Q45" s="191"/>
      <c r="R45" s="191"/>
      <c r="S45" s="191"/>
      <c r="T45" s="191"/>
      <c r="U45" s="191"/>
      <c r="V45" s="191"/>
      <c r="W45" s="191"/>
      <c r="X45" s="191"/>
      <c r="Y45" s="191"/>
      <c r="Z45" s="191"/>
      <c r="AA45" s="191"/>
      <c r="AB45" s="191"/>
      <c r="AC45" s="191"/>
      <c r="AD45" s="191"/>
      <c r="AE45" s="191"/>
      <c r="AF45" s="191"/>
      <c r="AG45" s="191"/>
      <c r="AH45" s="191"/>
      <c r="AI45" s="191"/>
      <c r="AJ45" s="332">
        <f>IFERROR(COUNTIF(E45:AI45,"=Р")+COUNTIF(E45:AI45,"=Р1")+COUNTIF(E45:AI45,"=ВЧ")+COUNTIF(E45:AI45,"=РН")+COUNTIF(E45:AI45,"=Р2")+COUNTIF(E45:AI45,"=Р1/РВ")+COUNTIF(E45:AI45,"=Р2/РВ")+COUNTIF(E45:AI45,"=ВЧ/РВ")+COUNTIF(E45:AI45,"=РН/РВ"),0)</f>
        <v>0</v>
      </c>
      <c r="AK45" s="333">
        <f>IFERROR(SUMIF(E45:AI45,"=Р2",E46:AI46)+SUMIF(E45:AI45,"=ВЧ/РВ",E46:AI46)+SUMIF(E45:AI45,"=РН/РВ",E46:AI46)+SUMIF(E45:AI45,"=Р1/РВ",E46:AI46)+SUMIF(E45:AI45,"=ВЧ2/РВ",E46:AI46)+SUMIF(E45:AI45,"=Р2/РВ",E46:AI46)+SUMIF(E45:AI45,"=Р",E46:AI46)+SUMIF(E45:AI45,"=Р1",E46:AI46)+SUMIF(E45:AI45,"=ВЧ1",E46:AI46)+SUMIF(E45:AI45,"=РН",E46:AI46)+SUMIF(E45:AI45,"=ВЧ",E46:AI46),0)+AL45</f>
        <v>0</v>
      </c>
      <c r="AL45" s="211">
        <f>IFERROR(SUMIF(E45:AI45,"=НУ",E46:AI46),0)</f>
        <v>0</v>
      </c>
      <c r="AM45" s="211">
        <f>IFERROR(SUMIF(E45:AI45,"=РН",E46:AI46)+SUMIF(E45:AI45,"=РН/РВ",E46:AI46)+SUMIFS(E46:AI46,E45:AI45,"=Р2",E46:AI46,"=8"),0)</f>
        <v>0</v>
      </c>
      <c r="AN45" s="211">
        <f>IFERROR(SUMIF(E45:AI45,"=ВЧ",E46:AI46)+SUMIF(E45:AI45,"=ВЧ/РВ",E46:AI46)+CEILING(COUNTIFS(E45:AI45,"=Р2",E46:AI46,"=7")*4,1)+CEILING(COUNTIFS(E45:AI45,"=Р2/РВ",E46:AI46,"=7")*4,1)+SUMIFS(E46:AI46,E45:AI45,"=Р1/РВ",E46:AI46,"=12")/6+SUMIFS(E46:AI46,E45:AI45,"=ВЧ2/РВ",E46:AI46,"=4")/2+SUMIFS(E46:AI46,E45:AI45,"=Р1",E46:AI46,"=12")/6+SUMIFS(E46:AI46,E45:AI45,"=Р1",E46:AI46,"=8")/4+SUMIF(E45:AI45,"=ВЧ1",E46:AI46)/2,0)+CEILING(SUMIFS(E46:AI46,E45:AI45,"=Р",E46:AI46,"=13")/4,4)+CEILING(SUMIFS(E46:AI46,E45:AI45,"=Р",E46:AI46,"=14")/4,4)+CEILING(SUMIFS(E46:AI46,E45:AI45,"=Р",E46:AI46,"=15")/4,4)+SUMIFS(E46:AI46,E45:AI45,"=Р",E46:AI46,"=16")/4+CEILING(SUMIFS(E46:AI46,E45:AI45,"=Р1",E46:AI46,"=13")/4,4)+CEILING(SUMIFS(E46:AI46,E45:AI45,"=Р1",E46:AI46,"=14")/4,4)+CEILING(SUMIFS(E46:AI46,E45:AI45,"=Р1",E46:AI46,"=15")/4,4)+SUMIFS(E46:AI46,E45:AI45,"=Р1",E46:AI46,"=16")/4</f>
        <v>0</v>
      </c>
      <c r="AO45" s="211">
        <f>IFERROR(SUMIF(E45:AI45,"=РВ",E46:AI46)+SUMIF(E45:AI45,"=ВЧ/РВ",E46:AI46)+SUMIF(E45:AI45,"=РН/РВ",E46:AI46)+SUMIF(E45:AI45,"=Р1/РВ",E46:AI46)+SUMIF(E45:AI45,"=ВЧ2/РВ",E46:AI46)+SUMIF(E45:AI45,"=Р2/РВ",E46:AI46),0)</f>
        <v>0</v>
      </c>
      <c r="AP45" s="211">
        <f>IFERROR(COUNTIF(E45:AI45,"=ВВ")+COUNTIF(E45:AI45,"=Р1/ВВ")+COUNTIF(E45:AI45,"=РН/ВВ")+COUNTIF(E45:AI45,"=ВЧ/ВВ"),0)</f>
        <v>1</v>
      </c>
      <c r="AQ45" s="211">
        <f>SUM(AR45:AZ45)</f>
        <v>48</v>
      </c>
      <c r="AR45" s="211">
        <f>IFERROR(SUMIF(E45:AI45,"=В",E46:AI46)+SUMIF(E45:AI45,"=Ч",E46:AI46)+SUMIF(E45:AI45,"=ВБ",E46:AI46),0)</f>
        <v>0</v>
      </c>
      <c r="AS45" s="211">
        <f>IFERROR(SUMIF(E45:AI45,"=Н",E46:AI46),0)</f>
        <v>0</v>
      </c>
      <c r="AT45" s="211">
        <f>IFERROR(SUMIF(E45:AI45,"=НА",E46:AI46),0)</f>
        <v>0</v>
      </c>
      <c r="AU45" s="211">
        <f>IFERROR(SUMIF(E45:AI45,"=ВП",E46:AI46),0)</f>
        <v>0</v>
      </c>
      <c r="AV45" s="211">
        <f>IFERROR(SUMIF(E45:AI45,"=ДД",E46:AI46),0)</f>
        <v>0</v>
      </c>
      <c r="AW45" s="202">
        <f>IFERROR(SUMIF(E45:AI45,"=ДО",E46:AI46),0)</f>
        <v>0</v>
      </c>
      <c r="AX45" s="211">
        <f>IFERROR(SUMIF(E45:AI45,"=ТН",E46:AI46),0)</f>
        <v>48</v>
      </c>
      <c r="AY45" s="211">
        <f>IFERROR(SUMIF(E45:AI45,"=ВД",E46:AI46),0)</f>
        <v>0</v>
      </c>
      <c r="AZ45" s="312">
        <f>IFERROR(SUMIF(E45:AI45,"=ІН",E46:AI46),0)+SUMIF(E45:AI45,"=НЗ",E46:AI46)</f>
        <v>0</v>
      </c>
    </row>
    <row r="46" spans="1:52" s="163" customFormat="1" ht="24" customHeight="1" thickBot="1" x14ac:dyDescent="0.25">
      <c r="A46" s="331"/>
      <c r="B46" s="331"/>
      <c r="C46" s="229"/>
      <c r="D46" s="229"/>
      <c r="E46" s="192">
        <v>16</v>
      </c>
      <c r="F46" s="192">
        <v>8</v>
      </c>
      <c r="G46" s="192"/>
      <c r="H46" s="192"/>
      <c r="I46" s="192">
        <v>16</v>
      </c>
      <c r="J46" s="192">
        <v>8</v>
      </c>
      <c r="K46" s="192"/>
      <c r="L46" s="192"/>
      <c r="M46" s="192" t="s">
        <v>469</v>
      </c>
      <c r="N46" s="192" t="s">
        <v>470</v>
      </c>
      <c r="O46" s="192" t="s">
        <v>471</v>
      </c>
      <c r="P46" s="192" t="s">
        <v>472</v>
      </c>
      <c r="Q46" s="192" t="s">
        <v>473</v>
      </c>
      <c r="R46" s="192" t="s">
        <v>474</v>
      </c>
      <c r="S46" s="192" t="s">
        <v>475</v>
      </c>
      <c r="T46" s="192" t="s">
        <v>476</v>
      </c>
      <c r="U46" s="192" t="s">
        <v>477</v>
      </c>
      <c r="V46" s="192"/>
      <c r="W46" s="192" t="s">
        <v>478</v>
      </c>
      <c r="X46" s="192"/>
      <c r="Y46" s="192" t="s">
        <v>479</v>
      </c>
      <c r="Z46" s="192" t="s">
        <v>480</v>
      </c>
      <c r="AA46" s="192" t="s">
        <v>470</v>
      </c>
      <c r="AB46" s="192" t="s">
        <v>479</v>
      </c>
      <c r="AC46" s="192" t="s">
        <v>471</v>
      </c>
      <c r="AD46" s="192" t="s">
        <v>481</v>
      </c>
      <c r="AE46" s="192" t="s">
        <v>469</v>
      </c>
      <c r="AF46" s="192"/>
      <c r="AG46" s="192"/>
      <c r="AH46" s="192"/>
      <c r="AI46" s="192"/>
      <c r="AJ46" s="325"/>
      <c r="AK46" s="334"/>
      <c r="AL46" s="286"/>
      <c r="AM46" s="286"/>
      <c r="AN46" s="212"/>
      <c r="AO46" s="286"/>
      <c r="AP46" s="212"/>
      <c r="AQ46" s="286"/>
      <c r="AR46" s="286"/>
      <c r="AS46" s="286"/>
      <c r="AT46" s="286"/>
      <c r="AU46" s="286"/>
      <c r="AV46" s="286"/>
      <c r="AW46" s="203"/>
      <c r="AX46" s="286"/>
      <c r="AY46" s="286"/>
      <c r="AZ46" s="329"/>
    </row>
    <row r="47" spans="1:52" s="163" customFormat="1" ht="20.100000000000001" customHeight="1" x14ac:dyDescent="0.2">
      <c r="A47" s="330">
        <f t="shared" ref="A47" si="13">A45+1</f>
        <v>16</v>
      </c>
      <c r="B47" s="336" t="s">
        <v>386</v>
      </c>
      <c r="C47" s="293">
        <v>2070</v>
      </c>
      <c r="D47" s="293" t="s">
        <v>72</v>
      </c>
      <c r="E47" s="191" t="s">
        <v>142</v>
      </c>
      <c r="F47" s="191" t="s">
        <v>4</v>
      </c>
      <c r="G47" s="191" t="s">
        <v>43</v>
      </c>
      <c r="H47" s="191" t="s">
        <v>142</v>
      </c>
      <c r="I47" s="191" t="s">
        <v>142</v>
      </c>
      <c r="J47" s="191" t="s">
        <v>4</v>
      </c>
      <c r="K47" s="191" t="s">
        <v>43</v>
      </c>
      <c r="L47" s="191" t="s">
        <v>142</v>
      </c>
      <c r="M47" s="191" t="s">
        <v>142</v>
      </c>
      <c r="N47" s="191" t="s">
        <v>4</v>
      </c>
      <c r="O47" s="191" t="s">
        <v>43</v>
      </c>
      <c r="P47" s="191" t="s">
        <v>142</v>
      </c>
      <c r="Q47" s="191" t="s">
        <v>142</v>
      </c>
      <c r="R47" s="191" t="s">
        <v>4</v>
      </c>
      <c r="S47" s="191" t="s">
        <v>43</v>
      </c>
      <c r="T47" s="191" t="s">
        <v>142</v>
      </c>
      <c r="U47" s="191" t="s">
        <v>142</v>
      </c>
      <c r="V47" s="191" t="s">
        <v>4</v>
      </c>
      <c r="W47" s="191" t="s">
        <v>43</v>
      </c>
      <c r="X47" s="191" t="s">
        <v>142</v>
      </c>
      <c r="Y47" s="191" t="s">
        <v>142</v>
      </c>
      <c r="Z47" s="191" t="s">
        <v>4</v>
      </c>
      <c r="AA47" s="191" t="s">
        <v>43</v>
      </c>
      <c r="AB47" s="191" t="s">
        <v>142</v>
      </c>
      <c r="AC47" s="191" t="s">
        <v>142</v>
      </c>
      <c r="AD47" s="191" t="s">
        <v>4</v>
      </c>
      <c r="AE47" s="191" t="s">
        <v>43</v>
      </c>
      <c r="AF47" s="191" t="s">
        <v>142</v>
      </c>
      <c r="AG47" s="191"/>
      <c r="AH47" s="191"/>
      <c r="AI47" s="191"/>
      <c r="AJ47" s="332">
        <f>IFERROR(COUNTIF(E47:AI47,"=Р")+COUNTIF(E47:AI47,"=Р1")+COUNTIF(E47:AI47,"=ВЧ")+COUNTIF(E47:AI47,"=РН")+COUNTIF(E47:AI47,"=Р2")+COUNTIF(E47:AI47,"=Р1/РВ")+COUNTIF(E47:AI47,"=Р2/РВ")+COUNTIF(E47:AI47,"=ВЧ/РВ")+COUNTIF(E47:AI47,"=РН/РВ"),0)</f>
        <v>14</v>
      </c>
      <c r="AK47" s="333">
        <f>IFERROR(SUMIF(E47:AI47,"=Р2",E48:AI48)+SUMIF(E47:AI47,"=ВЧ/РВ",E48:AI48)+SUMIF(E47:AI47,"=РН/РВ",E48:AI48)+SUMIF(E47:AI47,"=Р1/РВ",E48:AI48)+SUMIF(E47:AI47,"=ВЧ2/РВ",E48:AI48)+SUMIF(E47:AI47,"=Р2/РВ",E48:AI48)+SUMIF(E47:AI47,"=Р",E48:AI48)+SUMIF(E47:AI47,"=Р1",E48:AI48)+SUMIF(E47:AI47,"=ВЧ1",E48:AI48)+SUMIF(E47:AI47,"=РН",E48:AI48)+SUMIF(E47:AI47,"=ВЧ",E48:AI48),0)+AL47</f>
        <v>164</v>
      </c>
      <c r="AL47" s="211">
        <f>IFERROR(SUMIF(E47:AI47,"=НУ",E48:AI48),0)</f>
        <v>0</v>
      </c>
      <c r="AM47" s="211">
        <f>IFERROR(SUMIF(E47:AI47,"=РН",E48:AI48)+SUMIF(E47:AI47,"=РН/РВ",E48:AI48)+SUMIFS(E48:AI48,E47:AI47,"=Р2",E48:AI48,"=8"),0)</f>
        <v>56</v>
      </c>
      <c r="AN47" s="211">
        <f>IFERROR(SUMIF(E47:AI47,"=ВЧ",E48:AI48)+SUMIF(E47:AI47,"=ВЧ/РВ",E48:AI48)+CEILING(COUNTIFS(E47:AI47,"=Р2",E48:AI48,"=7")*4,1)+CEILING(COUNTIFS(E47:AI47,"=Р2/РВ",E48:AI48,"=7")*4,1)+SUMIFS(E48:AI48,E47:AI47,"=Р1/РВ",E48:AI48,"=12")/6+SUMIFS(E48:AI48,E47:AI47,"=ВЧ2/РВ",E48:AI48,"=4")/2+SUMIFS(E48:AI48,E47:AI47,"=Р1",E48:AI48,"=12")/6+SUMIFS(E48:AI48,E47:AI47,"=Р1",E48:AI48,"=8")/4+SUMIF(E47:AI47,"=ВЧ1",E48:AI48)/2,0)+CEILING(SUMIFS(E48:AI48,E47:AI47,"=Р",E48:AI48,"=13")/4,4)+CEILING(SUMIFS(E48:AI48,E47:AI47,"=Р",E48:AI48,"=14")/4,4)+CEILING(SUMIFS(E48:AI48,E47:AI47,"=Р",E48:AI48,"=15")/4,4)+SUMIFS(E48:AI48,E47:AI47,"=Р",E48:AI48,"=16")/4+CEILING(SUMIFS(E48:AI48,E47:AI47,"=Р1",E48:AI48,"=13")/4,4)+CEILING(SUMIFS(E48:AI48,E47:AI47,"=Р1",E48:AI48,"=14")/4,4)+CEILING(SUMIFS(E48:AI48,E47:AI47,"=Р1",E48:AI48,"=15")/4,4)+SUMIFS(E48:AI48,E47:AI47,"=Р1",E48:AI48,"=16")/4</f>
        <v>28</v>
      </c>
      <c r="AO47" s="211">
        <f>IFERROR(SUMIF(E47:AI47,"=РВ",E48:AI48)+SUMIF(E47:AI47,"=ВЧ/РВ",E48:AI48)+SUMIF(E47:AI47,"=РН/РВ",E48:AI48)+SUMIF(E47:AI47,"=Р1/РВ",E48:AI48)+SUMIF(E47:AI47,"=ВЧ2/РВ",E48:AI48)+SUMIF(E47:AI47,"=Р2/РВ",E48:AI48),0)</f>
        <v>0</v>
      </c>
      <c r="AP47" s="211">
        <f>IFERROR(COUNTIF(E47:AI47,"=ВВ")+COUNTIF(E47:AI47,"=Р1/ВВ")+COUNTIF(E47:AI47,"=РН/ВВ")+COUNTIF(E47:AI47,"=ВЧ/ВВ"),0)</f>
        <v>14</v>
      </c>
      <c r="AQ47" s="211">
        <f>SUM(AR47:AZ47)</f>
        <v>0</v>
      </c>
      <c r="AR47" s="211">
        <f>IFERROR(SUMIF(E47:AI47,"=В",E48:AI48)+SUMIF(E47:AI47,"=Ч",E48:AI48)+SUMIF(E47:AI47,"=ВБ",E48:AI48),0)</f>
        <v>0</v>
      </c>
      <c r="AS47" s="211">
        <f>IFERROR(SUMIF(E47:AI47,"=Н",E48:AI48),0)</f>
        <v>0</v>
      </c>
      <c r="AT47" s="211">
        <f>IFERROR(SUMIF(E47:AI47,"=НА",E48:AI48),0)</f>
        <v>0</v>
      </c>
      <c r="AU47" s="211">
        <f>IFERROR(SUMIF(E47:AI47,"=ВП",E48:AI48),0)</f>
        <v>0</v>
      </c>
      <c r="AV47" s="211">
        <f>IFERROR(SUMIF(E47:AI47,"=ДД",E48:AI48),0)</f>
        <v>0</v>
      </c>
      <c r="AW47" s="202">
        <f>IFERROR(SUMIF(E47:AI47,"=ДО",E48:AI48),0)</f>
        <v>0</v>
      </c>
      <c r="AX47" s="211">
        <f>IFERROR(SUMIF(E47:AI47,"=ТН",E48:AI48),0)</f>
        <v>0</v>
      </c>
      <c r="AY47" s="211">
        <f>IFERROR(SUMIF(E47:AI47,"=ВД",E48:AI48),0)</f>
        <v>0</v>
      </c>
      <c r="AZ47" s="312">
        <f>IFERROR(SUMIF(E47:AI47,"=ІН",E48:AI48),0)+SUMIF(E47:AI47,"=НЗ",E48:AI48)</f>
        <v>0</v>
      </c>
    </row>
    <row r="48" spans="1:52" s="163" customFormat="1" ht="24" customHeight="1" thickBot="1" x14ac:dyDescent="0.25">
      <c r="A48" s="331"/>
      <c r="B48" s="331"/>
      <c r="C48" s="229"/>
      <c r="D48" s="229"/>
      <c r="E48" s="192"/>
      <c r="F48" s="192">
        <v>13</v>
      </c>
      <c r="G48" s="192">
        <v>8</v>
      </c>
      <c r="H48" s="192"/>
      <c r="I48" s="192"/>
      <c r="J48" s="192">
        <v>15</v>
      </c>
      <c r="K48" s="192">
        <v>8</v>
      </c>
      <c r="L48" s="192"/>
      <c r="M48" s="192"/>
      <c r="N48" s="192">
        <v>16</v>
      </c>
      <c r="O48" s="192">
        <v>8</v>
      </c>
      <c r="P48" s="192"/>
      <c r="Q48" s="192"/>
      <c r="R48" s="192">
        <v>16</v>
      </c>
      <c r="S48" s="192">
        <v>8</v>
      </c>
      <c r="T48" s="192"/>
      <c r="U48" s="192"/>
      <c r="V48" s="192">
        <v>16</v>
      </c>
      <c r="W48" s="192">
        <v>8</v>
      </c>
      <c r="X48" s="192"/>
      <c r="Y48" s="192"/>
      <c r="Z48" s="192">
        <v>16</v>
      </c>
      <c r="AA48" s="192">
        <v>8</v>
      </c>
      <c r="AB48" s="192"/>
      <c r="AC48" s="192"/>
      <c r="AD48" s="192">
        <v>16</v>
      </c>
      <c r="AE48" s="192">
        <v>8</v>
      </c>
      <c r="AF48" s="192"/>
      <c r="AG48" s="192" t="s">
        <v>491</v>
      </c>
      <c r="AH48" s="192" t="s">
        <v>492</v>
      </c>
      <c r="AI48" s="192" t="s">
        <v>493</v>
      </c>
      <c r="AJ48" s="325"/>
      <c r="AK48" s="334"/>
      <c r="AL48" s="286"/>
      <c r="AM48" s="286"/>
      <c r="AN48" s="212"/>
      <c r="AO48" s="286"/>
      <c r="AP48" s="212"/>
      <c r="AQ48" s="286"/>
      <c r="AR48" s="286"/>
      <c r="AS48" s="286"/>
      <c r="AT48" s="286"/>
      <c r="AU48" s="286"/>
      <c r="AV48" s="286"/>
      <c r="AW48" s="203"/>
      <c r="AX48" s="286"/>
      <c r="AY48" s="286"/>
      <c r="AZ48" s="329"/>
    </row>
    <row r="49" spans="1:52" s="163" customFormat="1" ht="20.100000000000001" customHeight="1" x14ac:dyDescent="0.2">
      <c r="A49" s="330">
        <f t="shared" ref="A49" si="14">A47+1</f>
        <v>17</v>
      </c>
      <c r="B49" s="336" t="s">
        <v>389</v>
      </c>
      <c r="C49" s="293">
        <v>1955</v>
      </c>
      <c r="D49" s="293" t="s">
        <v>72</v>
      </c>
      <c r="E49" s="191" t="s">
        <v>142</v>
      </c>
      <c r="F49" s="191" t="s">
        <v>4</v>
      </c>
      <c r="G49" s="191" t="s">
        <v>43</v>
      </c>
      <c r="H49" s="191" t="s">
        <v>142</v>
      </c>
      <c r="I49" s="191" t="s">
        <v>142</v>
      </c>
      <c r="J49" s="191" t="s">
        <v>4</v>
      </c>
      <c r="K49" s="191" t="s">
        <v>43</v>
      </c>
      <c r="L49" s="191" t="s">
        <v>142</v>
      </c>
      <c r="M49" s="191" t="s">
        <v>142</v>
      </c>
      <c r="N49" s="191" t="s">
        <v>4</v>
      </c>
      <c r="O49" s="191" t="s">
        <v>43</v>
      </c>
      <c r="P49" s="191" t="s">
        <v>142</v>
      </c>
      <c r="Q49" s="191" t="s">
        <v>142</v>
      </c>
      <c r="R49" s="191" t="s">
        <v>4</v>
      </c>
      <c r="S49" s="191" t="s">
        <v>43</v>
      </c>
      <c r="T49" s="191" t="s">
        <v>142</v>
      </c>
      <c r="U49" s="191" t="s">
        <v>142</v>
      </c>
      <c r="V49" s="191" t="s">
        <v>4</v>
      </c>
      <c r="W49" s="191" t="s">
        <v>43</v>
      </c>
      <c r="X49" s="191" t="s">
        <v>142</v>
      </c>
      <c r="Y49" s="191" t="s">
        <v>142</v>
      </c>
      <c r="Z49" s="191" t="s">
        <v>4</v>
      </c>
      <c r="AA49" s="191" t="s">
        <v>43</v>
      </c>
      <c r="AB49" s="191" t="s">
        <v>142</v>
      </c>
      <c r="AC49" s="191" t="s">
        <v>142</v>
      </c>
      <c r="AD49" s="191" t="s">
        <v>4</v>
      </c>
      <c r="AE49" s="191" t="s">
        <v>43</v>
      </c>
      <c r="AF49" s="191" t="s">
        <v>142</v>
      </c>
      <c r="AG49" s="191"/>
      <c r="AH49" s="191"/>
      <c r="AI49" s="191"/>
      <c r="AJ49" s="332">
        <f>IFERROR(COUNTIF(E49:AI49,"=Р")+COUNTIF(E49:AI49,"=Р1")+COUNTIF(E49:AI49,"=ВЧ")+COUNTIF(E49:AI49,"=РН")+COUNTIF(E49:AI49,"=Р2")+COUNTIF(E49:AI49,"=Р1/РВ")+COUNTIF(E49:AI49,"=Р2/РВ")+COUNTIF(E49:AI49,"=ВЧ/РВ")+COUNTIF(E49:AI49,"=РН/РВ"),0)</f>
        <v>14</v>
      </c>
      <c r="AK49" s="333">
        <f>IFERROR(SUMIF(E49:AI49,"=Р2",E50:AI50)+SUMIF(E49:AI49,"=ВЧ/РВ",E50:AI50)+SUMIF(E49:AI49,"=РН/РВ",E50:AI50)+SUMIF(E49:AI49,"=Р1/РВ",E50:AI50)+SUMIF(E49:AI49,"=ВЧ2/РВ",E50:AI50)+SUMIF(E49:AI49,"=Р2/РВ",E50:AI50)+SUMIF(E49:AI49,"=Р",E50:AI50)+SUMIF(E49:AI49,"=Р1",E50:AI50)+SUMIF(E49:AI49,"=ВЧ1",E50:AI50)+SUMIF(E49:AI49,"=РН",E50:AI50)+SUMIF(E49:AI49,"=ВЧ",E50:AI50),0)+AL49</f>
        <v>164</v>
      </c>
      <c r="AL49" s="211">
        <f>IFERROR(SUMIF(E49:AI49,"=НУ",E50:AI50),0)</f>
        <v>0</v>
      </c>
      <c r="AM49" s="211">
        <f>IFERROR(SUMIF(E49:AI49,"=РН",E50:AI50)+SUMIF(E49:AI49,"=РН/РВ",E50:AI50)+SUMIFS(E50:AI50,E49:AI49,"=Р2",E50:AI50,"=8"),0)</f>
        <v>56</v>
      </c>
      <c r="AN49" s="211">
        <f>IFERROR(SUMIF(E49:AI49,"=ВЧ",E50:AI50)+SUMIF(E49:AI49,"=ВЧ/РВ",E50:AI50)+CEILING(COUNTIFS(E49:AI49,"=Р2",E50:AI50,"=7")*4,1)+CEILING(COUNTIFS(E49:AI49,"=Р2/РВ",E50:AI50,"=7")*4,1)+SUMIFS(E50:AI50,E49:AI49,"=Р1/РВ",E50:AI50,"=12")/6+SUMIFS(E50:AI50,E49:AI49,"=ВЧ2/РВ",E50:AI50,"=4")/2+SUMIFS(E50:AI50,E49:AI49,"=Р1",E50:AI50,"=12")/6+SUMIFS(E50:AI50,E49:AI49,"=Р1",E50:AI50,"=8")/4+SUMIF(E49:AI49,"=ВЧ1",E50:AI50)/2,0)+CEILING(SUMIFS(E50:AI50,E49:AI49,"=Р",E50:AI50,"=13")/4,4)+CEILING(SUMIFS(E50:AI50,E49:AI49,"=Р",E50:AI50,"=14")/4,4)+CEILING(SUMIFS(E50:AI50,E49:AI49,"=Р",E50:AI50,"=15")/4,4)+SUMIFS(E50:AI50,E49:AI49,"=Р",E50:AI50,"=16")/4+CEILING(SUMIFS(E50:AI50,E49:AI49,"=Р1",E50:AI50,"=13")/4,4)+CEILING(SUMIFS(E50:AI50,E49:AI49,"=Р1",E50:AI50,"=14")/4,4)+CEILING(SUMIFS(E50:AI50,E49:AI49,"=Р1",E50:AI50,"=15")/4,4)+SUMIFS(E50:AI50,E49:AI49,"=Р1",E50:AI50,"=16")/4</f>
        <v>28</v>
      </c>
      <c r="AO49" s="211">
        <f>IFERROR(SUMIF(E49:AI49,"=РВ",E50:AI50)+SUMIF(E49:AI49,"=ВЧ/РВ",E50:AI50)+SUMIF(E49:AI49,"=РН/РВ",E50:AI50)+SUMIF(E49:AI49,"=Р1/РВ",E50:AI50)+SUMIF(E49:AI49,"=ВЧ2/РВ",E50:AI50)+SUMIF(E49:AI49,"=Р2/РВ",E50:AI50),0)</f>
        <v>0</v>
      </c>
      <c r="AP49" s="211">
        <f>IFERROR(COUNTIF(E49:AI49,"=ВВ")+COUNTIF(E49:AI49,"=Р1/ВВ")+COUNTIF(E49:AI49,"=РН/ВВ")+COUNTIF(E49:AI49,"=ВЧ/ВВ"),0)</f>
        <v>14</v>
      </c>
      <c r="AQ49" s="211">
        <f>SUM(AR49:AZ49)</f>
        <v>0</v>
      </c>
      <c r="AR49" s="211">
        <f>IFERROR(SUMIF(E49:AI49,"=В",E50:AI50)+SUMIF(E49:AI49,"=Ч",E50:AI50)+SUMIF(E49:AI49,"=ВБ",E50:AI50),0)</f>
        <v>0</v>
      </c>
      <c r="AS49" s="211">
        <f>IFERROR(SUMIF(E49:AI49,"=Н",E50:AI50),0)</f>
        <v>0</v>
      </c>
      <c r="AT49" s="211">
        <f>IFERROR(SUMIF(E49:AI49,"=НА",E50:AI50),0)</f>
        <v>0</v>
      </c>
      <c r="AU49" s="211">
        <f>IFERROR(SUMIF(E49:AI49,"=ВП",E50:AI50),0)</f>
        <v>0</v>
      </c>
      <c r="AV49" s="211">
        <f>IFERROR(SUMIF(E49:AI49,"=ДД",E50:AI50),0)</f>
        <v>0</v>
      </c>
      <c r="AW49" s="202">
        <f>IFERROR(SUMIF(E49:AI49,"=ДО",E50:AI50),0)</f>
        <v>0</v>
      </c>
      <c r="AX49" s="211">
        <f>IFERROR(SUMIF(E49:AI49,"=ТН",E50:AI50),0)</f>
        <v>0</v>
      </c>
      <c r="AY49" s="211">
        <f>IFERROR(SUMIF(E49:AI49,"=ВД",E50:AI50),0)</f>
        <v>0</v>
      </c>
      <c r="AZ49" s="312">
        <f>IFERROR(SUMIF(E49:AI49,"=ІН",E50:AI50),0)+SUMIF(E49:AI49,"=НЗ",E50:AI50)</f>
        <v>0</v>
      </c>
    </row>
    <row r="50" spans="1:52" s="163" customFormat="1" ht="24" customHeight="1" thickBot="1" x14ac:dyDescent="0.25">
      <c r="A50" s="331"/>
      <c r="B50" s="331"/>
      <c r="C50" s="229"/>
      <c r="D50" s="229"/>
      <c r="E50" s="192"/>
      <c r="F50" s="192">
        <v>13</v>
      </c>
      <c r="G50" s="192">
        <v>8</v>
      </c>
      <c r="H50" s="192"/>
      <c r="I50" s="192"/>
      <c r="J50" s="192">
        <v>15</v>
      </c>
      <c r="K50" s="192">
        <v>8</v>
      </c>
      <c r="L50" s="192"/>
      <c r="M50" s="192"/>
      <c r="N50" s="192">
        <v>16</v>
      </c>
      <c r="O50" s="192">
        <v>8</v>
      </c>
      <c r="P50" s="192"/>
      <c r="Q50" s="192"/>
      <c r="R50" s="192">
        <v>16</v>
      </c>
      <c r="S50" s="192">
        <v>8</v>
      </c>
      <c r="T50" s="192"/>
      <c r="U50" s="192"/>
      <c r="V50" s="192">
        <v>16</v>
      </c>
      <c r="W50" s="192">
        <v>8</v>
      </c>
      <c r="X50" s="192"/>
      <c r="Y50" s="192"/>
      <c r="Z50" s="192">
        <v>16</v>
      </c>
      <c r="AA50" s="192">
        <v>8</v>
      </c>
      <c r="AB50" s="192"/>
      <c r="AC50" s="192"/>
      <c r="AD50" s="192">
        <v>16</v>
      </c>
      <c r="AE50" s="192">
        <v>8</v>
      </c>
      <c r="AF50" s="192"/>
      <c r="AG50" s="192" t="s">
        <v>491</v>
      </c>
      <c r="AH50" s="192" t="s">
        <v>492</v>
      </c>
      <c r="AI50" s="192" t="s">
        <v>493</v>
      </c>
      <c r="AJ50" s="325"/>
      <c r="AK50" s="334"/>
      <c r="AL50" s="286"/>
      <c r="AM50" s="286"/>
      <c r="AN50" s="212"/>
      <c r="AO50" s="286"/>
      <c r="AP50" s="212"/>
      <c r="AQ50" s="286"/>
      <c r="AR50" s="286"/>
      <c r="AS50" s="286"/>
      <c r="AT50" s="286"/>
      <c r="AU50" s="286"/>
      <c r="AV50" s="286"/>
      <c r="AW50" s="203"/>
      <c r="AX50" s="286"/>
      <c r="AY50" s="286"/>
      <c r="AZ50" s="329"/>
    </row>
    <row r="51" spans="1:52" ht="23.25" customHeight="1" x14ac:dyDescent="0.2">
      <c r="A51" s="330">
        <f t="shared" ref="A51" si="15">A49+1</f>
        <v>18</v>
      </c>
      <c r="B51" s="330" t="s">
        <v>301</v>
      </c>
      <c r="C51" s="228">
        <v>2173</v>
      </c>
      <c r="D51" s="228" t="s">
        <v>65</v>
      </c>
      <c r="E51" s="191" t="s">
        <v>142</v>
      </c>
      <c r="F51" s="191" t="s">
        <v>142</v>
      </c>
      <c r="G51" s="191" t="s">
        <v>4</v>
      </c>
      <c r="H51" s="191" t="s">
        <v>4</v>
      </c>
      <c r="I51" s="191" t="s">
        <v>4</v>
      </c>
      <c r="J51" s="191" t="s">
        <v>4</v>
      </c>
      <c r="K51" s="191" t="s">
        <v>4</v>
      </c>
      <c r="L51" s="191" t="s">
        <v>142</v>
      </c>
      <c r="M51" s="191" t="s">
        <v>142</v>
      </c>
      <c r="N51" s="191" t="s">
        <v>4</v>
      </c>
      <c r="O51" s="191" t="s">
        <v>4</v>
      </c>
      <c r="P51" s="191" t="s">
        <v>4</v>
      </c>
      <c r="Q51" s="191" t="s">
        <v>4</v>
      </c>
      <c r="R51" s="191" t="s">
        <v>4</v>
      </c>
      <c r="S51" s="191" t="s">
        <v>142</v>
      </c>
      <c r="T51" s="191" t="s">
        <v>142</v>
      </c>
      <c r="U51" s="191" t="s">
        <v>4</v>
      </c>
      <c r="V51" s="191" t="s">
        <v>4</v>
      </c>
      <c r="W51" s="191" t="s">
        <v>4</v>
      </c>
      <c r="X51" s="191" t="s">
        <v>4</v>
      </c>
      <c r="Y51" s="191" t="s">
        <v>4</v>
      </c>
      <c r="Z51" s="191" t="s">
        <v>142</v>
      </c>
      <c r="AA51" s="191" t="s">
        <v>142</v>
      </c>
      <c r="AB51" s="191" t="s">
        <v>4</v>
      </c>
      <c r="AC51" s="191" t="s">
        <v>4</v>
      </c>
      <c r="AD51" s="191" t="s">
        <v>4</v>
      </c>
      <c r="AE51" s="191" t="s">
        <v>4</v>
      </c>
      <c r="AF51" s="191" t="s">
        <v>4</v>
      </c>
      <c r="AG51" s="191" t="s">
        <v>142</v>
      </c>
      <c r="AH51" s="191" t="s">
        <v>142</v>
      </c>
      <c r="AI51" s="191" t="s">
        <v>4</v>
      </c>
      <c r="AJ51" s="332">
        <f>IFERROR(COUNTIF(E51:AI51,"=Р")+COUNTIF(E51:AI51,"=Р1")+COUNTIF(E51:AI51,"=ВЧ")+COUNTIF(E51:AI51,"=РН")+COUNTIF(E51:AI51,"=Р2")+COUNTIF(E51:AI51,"=Р1/РВ")+COUNTIF(E51:AI51,"=Р2/РВ")+COUNTIF(E51:AI51,"=ВЧ/РВ")+COUNTIF(E51:AI51,"=РН/РВ"),0)</f>
        <v>21</v>
      </c>
      <c r="AK51" s="333">
        <f>IFERROR(SUMIF(E51:AI51,"=Р2",E52:AI52)+SUMIF(E51:AI51,"=ВЧ/РВ",E52:AI52)+SUMIF(E51:AI51,"=РН/РВ",E52:AI52)+SUMIF(E51:AI51,"=Р1/РВ",E52:AI52)+SUMIF(E51:AI51,"=ВЧ2/РВ",E52:AI52)+SUMIF(E51:AI51,"=Р2/РВ",E52:AI52)+SUMIF(E51:AI51,"=Р",E52:AI52)+SUMIF(E51:AI51,"=Р1",E52:AI52)+SUMIF(E51:AI51,"=ВЧ1",E52:AI52)+SUMIF(E51:AI51,"=РН",E52:AI52)+SUMIF(E51:AI51,"=ВЧ",E52:AI52),0)+AL51</f>
        <v>167.99999999999997</v>
      </c>
      <c r="AL51" s="211">
        <f>IFERROR(SUMIF(E51:AI51,"=НУ",E52:AI52),0)</f>
        <v>0</v>
      </c>
      <c r="AM51" s="211">
        <f>IFERROR(SUMIF(E51:AI51,"=РН",E52:AI52)+SUMIF(E51:AI51,"=РН/РВ",E52:AI52)+SUMIFS(E52:AI52,E51:AI51,"=Р2",E52:AI52,"=8"),0)</f>
        <v>0</v>
      </c>
      <c r="AN51" s="211">
        <f>IFERROR(SUMIF(E51:AI51,"=ВЧ",E52:AI52)+SUMIF(E51:AI51,"=ВЧ/РВ",E52:AI52)+CEILING(COUNTIFS(E51:AI51,"=Р2",E52:AI52,"=7")*4,1)+CEILING(COUNTIFS(E51:AI51,"=Р2/РВ",E52:AI52,"=7")*4,1)+SUMIFS(E52:AI52,E51:AI51,"=Р1/РВ",E52:AI52,"=12")/6+SUMIFS(E52:AI52,E51:AI51,"=ВЧ2/РВ",E52:AI52,"=4")/2+SUMIFS(E52:AI52,E51:AI51,"=Р1",E52:AI52,"=12")/6+SUMIFS(E52:AI52,E51:AI51,"=Р1",E52:AI52,"=8")/4+SUMIF(E51:AI51,"=ВЧ1",E52:AI52)/2,0)+CEILING(SUMIFS(E52:AI52,E51:AI51,"=Р",E52:AI52,"=13")/4,4)+CEILING(SUMIFS(E52:AI52,E51:AI51,"=Р",E52:AI52,"=14")/4,4)+CEILING(SUMIFS(E52:AI52,E51:AI51,"=Р",E52:AI52,"=15")/4,4)+SUMIFS(E52:AI52,E51:AI51,"=Р",E52:AI52,"=16")/4+CEILING(SUMIFS(E52:AI52,E51:AI51,"=Р1",E52:AI52,"=13")/4,4)+CEILING(SUMIFS(E52:AI52,E51:AI51,"=Р1",E52:AI52,"=14")/4,4)+CEILING(SUMIFS(E52:AI52,E51:AI51,"=Р1",E52:AI52,"=15")/4,4)+SUMIFS(E52:AI52,E51:AI51,"=Р1",E52:AI52,"=16")/4</f>
        <v>0</v>
      </c>
      <c r="AO51" s="211">
        <f>IFERROR(SUMIF(E51:AI51,"=РВ",E52:AI52)+SUMIF(E51:AI51,"=ВЧ/РВ",E52:AI52)+SUMIF(E51:AI51,"=РН/РВ",E52:AI52)+SUMIF(E51:AI51,"=Р1/РВ",E52:AI52)+SUMIF(E51:AI51,"=ВЧ2/РВ",E52:AI52)+SUMIF(E51:AI51,"=Р2/РВ",E52:AI52),0)</f>
        <v>0</v>
      </c>
      <c r="AP51" s="211">
        <f>IFERROR(COUNTIF(E51:AI51,"=ВВ")+COUNTIF(E51:AI51,"=Р1/ВВ")+COUNTIF(E51:AI51,"=РН/ВВ")+COUNTIF(E51:AI51,"=ВЧ/ВВ"),0)</f>
        <v>10</v>
      </c>
      <c r="AQ51" s="211">
        <f>SUM(AR51:AZ51)</f>
        <v>0</v>
      </c>
      <c r="AR51" s="211">
        <f>IFERROR(SUMIF(E51:AI51,"=В",E52:AI52)+SUMIF(E51:AI51,"=Ч",E52:AI52)+SUMIF(E51:AI51,"=ВБ",E52:AI52),0)</f>
        <v>0</v>
      </c>
      <c r="AS51" s="211">
        <f>IFERROR(SUMIF(E51:AI51,"=Н",E52:AI52),0)</f>
        <v>0</v>
      </c>
      <c r="AT51" s="211">
        <f>IFERROR(SUMIF(E51:AI51,"=НА",E52:AI52),0)</f>
        <v>0</v>
      </c>
      <c r="AU51" s="211">
        <f>IFERROR(SUMIF(E51:AI51,"=ВП",E52:AI52),0)</f>
        <v>0</v>
      </c>
      <c r="AV51" s="211">
        <f>IFERROR(SUMIF(E51:AI51,"=ДД",E52:AI52),0)</f>
        <v>0</v>
      </c>
      <c r="AW51" s="202">
        <f>IFERROR(SUMIF(E51:AI51,"=ДО",E52:AI52),0)</f>
        <v>0</v>
      </c>
      <c r="AX51" s="211">
        <f>IFERROR(SUMIF(E51:AI51,"=ТН",E52:AI52),0)</f>
        <v>0</v>
      </c>
      <c r="AY51" s="211">
        <f>IFERROR(SUMIF(E51:AI51,"=ВД",E52:AI52),0)</f>
        <v>0</v>
      </c>
      <c r="AZ51" s="312">
        <f>IFERROR(SUMIF(E51:AI51,"=ІН",E52:AI52),0)+SUMIF(E51:AI51,"=НЗ",E52:AI52)</f>
        <v>0</v>
      </c>
    </row>
    <row r="52" spans="1:52" ht="20.100000000000001" customHeight="1" thickBot="1" x14ac:dyDescent="0.25">
      <c r="A52" s="331"/>
      <c r="B52" s="352"/>
      <c r="C52" s="229"/>
      <c r="D52" s="338"/>
      <c r="E52" s="192"/>
      <c r="F52" s="192"/>
      <c r="G52" s="192">
        <v>8.1999999999999993</v>
      </c>
      <c r="H52" s="192">
        <v>8.1999999999999993</v>
      </c>
      <c r="I52" s="192">
        <v>8.1999999999999993</v>
      </c>
      <c r="J52" s="192">
        <v>8.1999999999999993</v>
      </c>
      <c r="K52" s="192">
        <v>7</v>
      </c>
      <c r="L52" s="192"/>
      <c r="M52" s="192"/>
      <c r="N52" s="192">
        <v>8.1999999999999993</v>
      </c>
      <c r="O52" s="192">
        <v>8.1999999999999993</v>
      </c>
      <c r="P52" s="192">
        <v>8.1999999999999993</v>
      </c>
      <c r="Q52" s="192">
        <v>8.1999999999999993</v>
      </c>
      <c r="R52" s="192">
        <v>7.2</v>
      </c>
      <c r="S52" s="192"/>
      <c r="T52" s="192"/>
      <c r="U52" s="192">
        <v>8.1999999999999993</v>
      </c>
      <c r="V52" s="192">
        <v>8.1999999999999993</v>
      </c>
      <c r="W52" s="192">
        <v>8.1999999999999993</v>
      </c>
      <c r="X52" s="192">
        <v>8.1999999999999993</v>
      </c>
      <c r="Y52" s="192">
        <v>7.2</v>
      </c>
      <c r="Z52" s="192"/>
      <c r="AA52" s="192"/>
      <c r="AB52" s="192">
        <v>8.1999999999999993</v>
      </c>
      <c r="AC52" s="192">
        <v>8.1999999999999993</v>
      </c>
      <c r="AD52" s="192">
        <v>8.1999999999999993</v>
      </c>
      <c r="AE52" s="192">
        <v>8.1999999999999993</v>
      </c>
      <c r="AF52" s="192">
        <v>7.2</v>
      </c>
      <c r="AG52" s="192"/>
      <c r="AH52" s="192"/>
      <c r="AI52" s="192">
        <v>8.1999999999999993</v>
      </c>
      <c r="AJ52" s="335"/>
      <c r="AK52" s="334"/>
      <c r="AL52" s="286"/>
      <c r="AM52" s="286"/>
      <c r="AN52" s="212"/>
      <c r="AO52" s="286"/>
      <c r="AP52" s="212"/>
      <c r="AQ52" s="286"/>
      <c r="AR52" s="286"/>
      <c r="AS52" s="286"/>
      <c r="AT52" s="286"/>
      <c r="AU52" s="286"/>
      <c r="AV52" s="286"/>
      <c r="AW52" s="203"/>
      <c r="AX52" s="286"/>
      <c r="AY52" s="286"/>
      <c r="AZ52" s="329"/>
    </row>
    <row r="53" spans="1:52" ht="20.100000000000001" customHeight="1" x14ac:dyDescent="0.2">
      <c r="A53" s="330">
        <f t="shared" ref="A53" si="16">A51+1</f>
        <v>19</v>
      </c>
      <c r="B53" s="330" t="s">
        <v>138</v>
      </c>
      <c r="C53" s="228">
        <v>2124</v>
      </c>
      <c r="D53" s="228" t="s">
        <v>65</v>
      </c>
      <c r="E53" s="191" t="s">
        <v>142</v>
      </c>
      <c r="F53" s="191" t="s">
        <v>142</v>
      </c>
      <c r="G53" s="191" t="s">
        <v>4</v>
      </c>
      <c r="H53" s="191" t="s">
        <v>4</v>
      </c>
      <c r="I53" s="191" t="s">
        <v>4</v>
      </c>
      <c r="J53" s="191" t="s">
        <v>4</v>
      </c>
      <c r="K53" s="191" t="s">
        <v>4</v>
      </c>
      <c r="L53" s="191" t="s">
        <v>142</v>
      </c>
      <c r="M53" s="191" t="s">
        <v>142</v>
      </c>
      <c r="N53" s="191" t="s">
        <v>4</v>
      </c>
      <c r="O53" s="191" t="s">
        <v>52</v>
      </c>
      <c r="P53" s="191" t="s">
        <v>52</v>
      </c>
      <c r="Q53" s="191" t="s">
        <v>52</v>
      </c>
      <c r="R53" s="191" t="s">
        <v>52</v>
      </c>
      <c r="S53" s="191" t="s">
        <v>142</v>
      </c>
      <c r="T53" s="191" t="s">
        <v>142</v>
      </c>
      <c r="U53" s="191" t="s">
        <v>4</v>
      </c>
      <c r="V53" s="191" t="s">
        <v>4</v>
      </c>
      <c r="W53" s="191" t="s">
        <v>4</v>
      </c>
      <c r="X53" s="191" t="s">
        <v>4</v>
      </c>
      <c r="Y53" s="191" t="s">
        <v>4</v>
      </c>
      <c r="Z53" s="191" t="s">
        <v>142</v>
      </c>
      <c r="AA53" s="191" t="s">
        <v>142</v>
      </c>
      <c r="AB53" s="191" t="s">
        <v>4</v>
      </c>
      <c r="AC53" s="191" t="s">
        <v>4</v>
      </c>
      <c r="AD53" s="191" t="s">
        <v>4</v>
      </c>
      <c r="AE53" s="191" t="s">
        <v>4</v>
      </c>
      <c r="AF53" s="191" t="s">
        <v>4</v>
      </c>
      <c r="AG53" s="191" t="s">
        <v>142</v>
      </c>
      <c r="AH53" s="191" t="s">
        <v>142</v>
      </c>
      <c r="AI53" s="191" t="s">
        <v>4</v>
      </c>
      <c r="AJ53" s="332">
        <f>IFERROR(COUNTIF(E53:AI53,"=Р")+COUNTIF(E53:AI53,"=Р1")+COUNTIF(E53:AI53,"=ВЧ")+COUNTIF(E53:AI53,"=РН")+COUNTIF(E53:AI53,"=Р2")+COUNTIF(E53:AI53,"=Р1/РВ")+COUNTIF(E53:AI53,"=Р2/РВ")+COUNTIF(E53:AI53,"=ВЧ/РВ")+COUNTIF(E53:AI53,"=РН/РВ"),0)</f>
        <v>17</v>
      </c>
      <c r="AK53" s="333">
        <f>IFERROR(SUMIF(E53:AI53,"=Р2",E54:AI54)+SUMIF(E53:AI53,"=ВЧ/РВ",E54:AI54)+SUMIF(E53:AI53,"=РН/РВ",E54:AI54)+SUMIF(E53:AI53,"=Р1/РВ",E54:AI54)+SUMIF(E53:AI53,"=ВЧ2/РВ",E54:AI54)+SUMIF(E53:AI53,"=Р2/РВ",E54:AI54)+SUMIF(E53:AI53,"=Р",E54:AI54)+SUMIF(E53:AI53,"=Р1",E54:AI54)+SUMIF(E53:AI53,"=ВЧ1",E54:AI54)+SUMIF(E53:AI53,"=РН",E54:AI54)+SUMIF(E53:AI53,"=ВЧ",E54:AI54),0)+AL53</f>
        <v>136.20000000000002</v>
      </c>
      <c r="AL53" s="211">
        <f>IFERROR(SUMIF(E53:AI53,"=НУ",E54:AI54),0)</f>
        <v>0</v>
      </c>
      <c r="AM53" s="211">
        <f>IFERROR(SUMIF(E53:AI53,"=РН",E54:AI54)+SUMIF(E53:AI53,"=РН/РВ",E54:AI54)+SUMIFS(E54:AI54,E53:AI53,"=Р2",E54:AI54,"=8"),0)</f>
        <v>0</v>
      </c>
      <c r="AN53" s="211">
        <f>IFERROR(SUMIF(E53:AI53,"=ВЧ",E54:AI54)+SUMIF(E53:AI53,"=ВЧ/РВ",E54:AI54)+CEILING(COUNTIFS(E53:AI53,"=Р2",E54:AI54,"=7")*4,1)+CEILING(COUNTIFS(E53:AI53,"=Р2/РВ",E54:AI54,"=7")*4,1)+SUMIFS(E54:AI54,E53:AI53,"=Р1/РВ",E54:AI54,"=12")/6+SUMIFS(E54:AI54,E53:AI53,"=ВЧ2/РВ",E54:AI54,"=4")/2+SUMIFS(E54:AI54,E53:AI53,"=Р1",E54:AI54,"=12")/6+SUMIFS(E54:AI54,E53:AI53,"=Р1",E54:AI54,"=8")/4+SUMIF(E53:AI53,"=ВЧ1",E54:AI54)/2,0)+CEILING(SUMIFS(E54:AI54,E53:AI53,"=Р",E54:AI54,"=13")/4,4)+CEILING(SUMIFS(E54:AI54,E53:AI53,"=Р",E54:AI54,"=14")/4,4)+CEILING(SUMIFS(E54:AI54,E53:AI53,"=Р",E54:AI54,"=15")/4,4)+SUMIFS(E54:AI54,E53:AI53,"=Р",E54:AI54,"=16")/4+CEILING(SUMIFS(E54:AI54,E53:AI53,"=Р1",E54:AI54,"=13")/4,4)+CEILING(SUMIFS(E54:AI54,E53:AI53,"=Р1",E54:AI54,"=14")/4,4)+CEILING(SUMIFS(E54:AI54,E53:AI53,"=Р1",E54:AI54,"=15")/4,4)+SUMIFS(E54:AI54,E53:AI53,"=Р1",E54:AI54,"=16")/4</f>
        <v>0</v>
      </c>
      <c r="AO53" s="211">
        <f>IFERROR(SUMIF(E53:AI53,"=РВ",E54:AI54)+SUMIF(E53:AI53,"=ВЧ/РВ",E54:AI54)+SUMIF(E53:AI53,"=РН/РВ",E54:AI54)+SUMIF(E53:AI53,"=Р1/РВ",E54:AI54)+SUMIF(E53:AI53,"=ВЧ2/РВ",E54:AI54)+SUMIF(E53:AI53,"=Р2/РВ",E54:AI54),0)</f>
        <v>0</v>
      </c>
      <c r="AP53" s="211">
        <f>IFERROR(COUNTIF(E53:AI53,"=ВВ")+COUNTIF(E53:AI53,"=Р1/ВВ")+COUNTIF(E53:AI53,"=РН/ВВ")+COUNTIF(E53:AI53,"=ВЧ/ВВ"),0)</f>
        <v>10</v>
      </c>
      <c r="AQ53" s="211">
        <f>SUM(AR53:AZ53)</f>
        <v>31.799999999999997</v>
      </c>
      <c r="AR53" s="211">
        <f>IFERROR(SUMIF(E53:AI53,"=В",E54:AI54)+SUMIF(E53:AI53,"=Ч",E54:AI54)+SUMIF(E53:AI53,"=ВБ",E54:AI54),0)</f>
        <v>0</v>
      </c>
      <c r="AS53" s="211">
        <f>IFERROR(SUMIF(E53:AI53,"=Н",E54:AI54),0)</f>
        <v>0</v>
      </c>
      <c r="AT53" s="211">
        <f>IFERROR(SUMIF(E53:AI53,"=НА",E54:AI54),0)</f>
        <v>0</v>
      </c>
      <c r="AU53" s="211">
        <f>IFERROR(SUMIF(E53:AI53,"=ВП",E54:AI54),0)</f>
        <v>0</v>
      </c>
      <c r="AV53" s="211">
        <f>IFERROR(SUMIF(E53:AI53,"=ДД",E54:AI54),0)</f>
        <v>0</v>
      </c>
      <c r="AW53" s="202">
        <f>IFERROR(SUMIF(E53:AI53,"=ДО",E54:AI54),0)</f>
        <v>0</v>
      </c>
      <c r="AX53" s="211">
        <f>IFERROR(SUMIF(E53:AI53,"=ТН",E54:AI54),0)</f>
        <v>31.799999999999997</v>
      </c>
      <c r="AY53" s="211">
        <f>IFERROR(SUMIF(E53:AI53,"=ВД",E54:AI54),0)</f>
        <v>0</v>
      </c>
      <c r="AZ53" s="312">
        <f>IFERROR(SUMIF(E53:AI53,"=ІН",E54:AI54),0)+SUMIF(E53:AI53,"=НЗ",E54:AI54)</f>
        <v>0</v>
      </c>
    </row>
    <row r="54" spans="1:52" ht="24" customHeight="1" thickBot="1" x14ac:dyDescent="0.25">
      <c r="A54" s="331"/>
      <c r="B54" s="331"/>
      <c r="C54" s="229"/>
      <c r="D54" s="229"/>
      <c r="E54" s="192"/>
      <c r="F54" s="192"/>
      <c r="G54" s="192">
        <v>8.1999999999999993</v>
      </c>
      <c r="H54" s="192">
        <v>8.1999999999999993</v>
      </c>
      <c r="I54" s="192">
        <v>8.1999999999999993</v>
      </c>
      <c r="J54" s="192">
        <v>8.1999999999999993</v>
      </c>
      <c r="K54" s="192">
        <v>7</v>
      </c>
      <c r="L54" s="192"/>
      <c r="M54" s="192"/>
      <c r="N54" s="192">
        <v>8.1999999999999993</v>
      </c>
      <c r="O54" s="192">
        <v>8.1999999999999993</v>
      </c>
      <c r="P54" s="192">
        <v>8.1999999999999993</v>
      </c>
      <c r="Q54" s="192">
        <v>8.1999999999999993</v>
      </c>
      <c r="R54" s="192">
        <v>7.2</v>
      </c>
      <c r="S54" s="192"/>
      <c r="T54" s="192"/>
      <c r="U54" s="192">
        <v>8.1999999999999993</v>
      </c>
      <c r="V54" s="192">
        <v>8.1999999999999993</v>
      </c>
      <c r="W54" s="192">
        <v>8.1999999999999993</v>
      </c>
      <c r="X54" s="192">
        <v>8.1999999999999993</v>
      </c>
      <c r="Y54" s="192">
        <v>7.2</v>
      </c>
      <c r="Z54" s="192"/>
      <c r="AA54" s="192"/>
      <c r="AB54" s="192">
        <v>8.1999999999999993</v>
      </c>
      <c r="AC54" s="192">
        <v>8.1999999999999993</v>
      </c>
      <c r="AD54" s="192">
        <v>8.1999999999999993</v>
      </c>
      <c r="AE54" s="192">
        <v>8.1999999999999993</v>
      </c>
      <c r="AF54" s="192">
        <v>7.2</v>
      </c>
      <c r="AG54" s="192"/>
      <c r="AH54" s="192"/>
      <c r="AI54" s="192">
        <v>8.1999999999999993</v>
      </c>
      <c r="AJ54" s="335"/>
      <c r="AK54" s="334"/>
      <c r="AL54" s="286"/>
      <c r="AM54" s="286"/>
      <c r="AN54" s="212"/>
      <c r="AO54" s="286"/>
      <c r="AP54" s="212"/>
      <c r="AQ54" s="286"/>
      <c r="AR54" s="286"/>
      <c r="AS54" s="286"/>
      <c r="AT54" s="286"/>
      <c r="AU54" s="286"/>
      <c r="AV54" s="286"/>
      <c r="AW54" s="203"/>
      <c r="AX54" s="286"/>
      <c r="AY54" s="286"/>
      <c r="AZ54" s="329"/>
    </row>
    <row r="55" spans="1:52" ht="20.100000000000001" customHeight="1" x14ac:dyDescent="0.2">
      <c r="A55" s="330">
        <f t="shared" ref="A55" si="17">A53+1</f>
        <v>20</v>
      </c>
      <c r="B55" s="336" t="s">
        <v>303</v>
      </c>
      <c r="C55" s="293">
        <v>2175</v>
      </c>
      <c r="D55" s="293" t="s">
        <v>65</v>
      </c>
      <c r="E55" s="191" t="s">
        <v>142</v>
      </c>
      <c r="F55" s="191" t="s">
        <v>142</v>
      </c>
      <c r="G55" s="191" t="s">
        <v>4</v>
      </c>
      <c r="H55" s="191" t="s">
        <v>4</v>
      </c>
      <c r="I55" s="191" t="s">
        <v>4</v>
      </c>
      <c r="J55" s="191" t="s">
        <v>4</v>
      </c>
      <c r="K55" s="191" t="s">
        <v>4</v>
      </c>
      <c r="L55" s="191" t="s">
        <v>142</v>
      </c>
      <c r="M55" s="191" t="s">
        <v>142</v>
      </c>
      <c r="N55" s="191" t="s">
        <v>4</v>
      </c>
      <c r="O55" s="191" t="s">
        <v>4</v>
      </c>
      <c r="P55" s="191" t="s">
        <v>4</v>
      </c>
      <c r="Q55" s="191" t="s">
        <v>4</v>
      </c>
      <c r="R55" s="191" t="s">
        <v>4</v>
      </c>
      <c r="S55" s="191" t="s">
        <v>142</v>
      </c>
      <c r="T55" s="191" t="s">
        <v>142</v>
      </c>
      <c r="U55" s="191" t="s">
        <v>48</v>
      </c>
      <c r="V55" s="191" t="s">
        <v>4</v>
      </c>
      <c r="W55" s="191" t="s">
        <v>4</v>
      </c>
      <c r="X55" s="191" t="s">
        <v>4</v>
      </c>
      <c r="Y55" s="191" t="s">
        <v>4</v>
      </c>
      <c r="Z55" s="191" t="s">
        <v>142</v>
      </c>
      <c r="AA55" s="191" t="s">
        <v>142</v>
      </c>
      <c r="AB55" s="191" t="s">
        <v>4</v>
      </c>
      <c r="AC55" s="191" t="s">
        <v>4</v>
      </c>
      <c r="AD55" s="191" t="s">
        <v>4</v>
      </c>
      <c r="AE55" s="191" t="s">
        <v>4</v>
      </c>
      <c r="AF55" s="191" t="s">
        <v>4</v>
      </c>
      <c r="AG55" s="191" t="s">
        <v>142</v>
      </c>
      <c r="AH55" s="191" t="s">
        <v>142</v>
      </c>
      <c r="AI55" s="191" t="s">
        <v>4</v>
      </c>
      <c r="AJ55" s="332">
        <f>IFERROR(COUNTIF(E55:AI55,"=Р")+COUNTIF(E55:AI55,"=Р1")+COUNTIF(E55:AI55,"=ВЧ")+COUNTIF(E55:AI55,"=РН")+COUNTIF(E55:AI55,"=Р2")+COUNTIF(E55:AI55,"=Р1/РВ")+COUNTIF(E55:AI55,"=Р2/РВ")+COUNTIF(E55:AI55,"=ВЧ/РВ")+COUNTIF(E55:AI55,"=РН/РВ"),0)</f>
        <v>20</v>
      </c>
      <c r="AK55" s="333">
        <f>IFERROR(SUMIF(E55:AI55,"=Р2",E56:AI56)+SUMIF(E55:AI55,"=ВЧ/РВ",E56:AI56)+SUMIF(E55:AI55,"=РН/РВ",E56:AI56)+SUMIF(E55:AI55,"=Р1/РВ",E56:AI56)+SUMIF(E55:AI55,"=ВЧ2/РВ",E56:AI56)+SUMIF(E55:AI55,"=Р2/РВ",E56:AI56)+SUMIF(E55:AI55,"=Р",E56:AI56)+SUMIF(E55:AI55,"=Р1",E56:AI56)+SUMIF(E55:AI55,"=ВЧ1",E56:AI56)+SUMIF(E55:AI55,"=РН",E56:AI56)+SUMIF(E55:AI55,"=ВЧ",E56:AI56),0)+AL55</f>
        <v>159.79999999999998</v>
      </c>
      <c r="AL55" s="211">
        <f>IFERROR(SUMIF(E55:AI55,"=НУ",E56:AI56),0)</f>
        <v>0</v>
      </c>
      <c r="AM55" s="211">
        <f>IFERROR(SUMIF(E55:AI55,"=РН",E56:AI56)+SUMIF(E55:AI55,"=РН/РВ",E56:AI56)+SUMIFS(E56:AI56,E55:AI55,"=Р2",E56:AI56,"=8"),0)</f>
        <v>0</v>
      </c>
      <c r="AN55" s="211">
        <f>IFERROR(SUMIF(E55:AI55,"=ВЧ",E56:AI56)+SUMIF(E55:AI55,"=ВЧ/РВ",E56:AI56)+CEILING(COUNTIFS(E55:AI55,"=Р2",E56:AI56,"=7")*4,1)+CEILING(COUNTIFS(E55:AI55,"=Р2/РВ",E56:AI56,"=7")*4,1)+SUMIFS(E56:AI56,E55:AI55,"=Р1/РВ",E56:AI56,"=12")/6+SUMIFS(E56:AI56,E55:AI55,"=ВЧ2/РВ",E56:AI56,"=4")/2+SUMIFS(E56:AI56,E55:AI55,"=Р1",E56:AI56,"=12")/6+SUMIFS(E56:AI56,E55:AI55,"=Р1",E56:AI56,"=8")/4+SUMIF(E55:AI55,"=ВЧ1",E56:AI56)/2,0)+CEILING(SUMIFS(E56:AI56,E55:AI55,"=Р",E56:AI56,"=13")/4,4)+CEILING(SUMIFS(E56:AI56,E55:AI55,"=Р",E56:AI56,"=14")/4,4)+CEILING(SUMIFS(E56:AI56,E55:AI55,"=Р",E56:AI56,"=15")/4,4)+SUMIFS(E56:AI56,E55:AI55,"=Р",E56:AI56,"=16")/4+CEILING(SUMIFS(E56:AI56,E55:AI55,"=Р1",E56:AI56,"=13")/4,4)+CEILING(SUMIFS(E56:AI56,E55:AI55,"=Р1",E56:AI56,"=14")/4,4)+CEILING(SUMIFS(E56:AI56,E55:AI55,"=Р1",E56:AI56,"=15")/4,4)+SUMIFS(E56:AI56,E55:AI55,"=Р1",E56:AI56,"=16")/4</f>
        <v>0</v>
      </c>
      <c r="AO55" s="211">
        <f>IFERROR(SUMIF(E55:AI55,"=РВ",E56:AI56)+SUMIF(E55:AI55,"=ВЧ/РВ",E56:AI56)+SUMIF(E55:AI55,"=РН/РВ",E56:AI56)+SUMIF(E55:AI55,"=Р1/РВ",E56:AI56)+SUMIF(E55:AI55,"=ВЧ2/РВ",E56:AI56)+SUMIF(E55:AI55,"=Р2/РВ",E56:AI56),0)</f>
        <v>0</v>
      </c>
      <c r="AP55" s="211">
        <f>IFERROR(COUNTIF(E55:AI55,"=ВВ")+COUNTIF(E55:AI55,"=Р1/ВВ")+COUNTIF(E55:AI55,"=РН/ВВ")+COUNTIF(E55:AI55,"=ВЧ/ВВ"),0)</f>
        <v>10</v>
      </c>
      <c r="AQ55" s="211">
        <f>SUM(AR55:AZ55)</f>
        <v>8.1999999999999993</v>
      </c>
      <c r="AR55" s="211">
        <f>IFERROR(SUMIF(E55:AI55,"=В",E56:AI56)+SUMIF(E55:AI55,"=Ч",E56:AI56)+SUMIF(E55:AI55,"=ВБ",E56:AI56),0)</f>
        <v>0</v>
      </c>
      <c r="AS55" s="211">
        <f>IFERROR(SUMIF(E55:AI55,"=Н",E56:AI56),0)</f>
        <v>0</v>
      </c>
      <c r="AT55" s="211">
        <f>IFERROR(SUMIF(E55:AI55,"=НА",E56:AI56),0)</f>
        <v>0</v>
      </c>
      <c r="AU55" s="211">
        <f>IFERROR(SUMIF(E55:AI55,"=ВП",E56:AI56),0)</f>
        <v>0</v>
      </c>
      <c r="AV55" s="211">
        <f>IFERROR(SUMIF(E55:AI55,"=ДД",E56:AI56),0)</f>
        <v>0</v>
      </c>
      <c r="AW55" s="202">
        <f>IFERROR(SUMIF(E55:AI55,"=ДО",E56:AI56),0)</f>
        <v>0</v>
      </c>
      <c r="AX55" s="211">
        <f>IFERROR(SUMIF(E55:AI55,"=ТН",E56:AI56),0)</f>
        <v>0</v>
      </c>
      <c r="AY55" s="211">
        <f>IFERROR(SUMIF(E55:AI55,"=ВД",E56:AI56),0)</f>
        <v>8.1999999999999993</v>
      </c>
      <c r="AZ55" s="312">
        <f>IFERROR(SUMIF(E55:AI55,"=ІН",E56:AI56),0)+SUMIF(E55:AI55,"=НЗ",E56:AI56)</f>
        <v>0</v>
      </c>
    </row>
    <row r="56" spans="1:52" ht="23.25" customHeight="1" thickBot="1" x14ac:dyDescent="0.25">
      <c r="A56" s="331"/>
      <c r="B56" s="352"/>
      <c r="C56" s="338"/>
      <c r="D56" s="338"/>
      <c r="E56" s="192"/>
      <c r="F56" s="192"/>
      <c r="G56" s="192">
        <v>8.1999999999999993</v>
      </c>
      <c r="H56" s="192">
        <v>8.1999999999999993</v>
      </c>
      <c r="I56" s="192">
        <v>8.1999999999999993</v>
      </c>
      <c r="J56" s="192">
        <v>8.1999999999999993</v>
      </c>
      <c r="K56" s="192">
        <v>7</v>
      </c>
      <c r="L56" s="192"/>
      <c r="M56" s="192"/>
      <c r="N56" s="192">
        <v>8.1999999999999993</v>
      </c>
      <c r="O56" s="192">
        <v>8.1999999999999993</v>
      </c>
      <c r="P56" s="192">
        <v>8.1999999999999993</v>
      </c>
      <c r="Q56" s="192">
        <v>8.1999999999999993</v>
      </c>
      <c r="R56" s="192">
        <v>7.2</v>
      </c>
      <c r="S56" s="192"/>
      <c r="T56" s="192"/>
      <c r="U56" s="192">
        <v>8.1999999999999993</v>
      </c>
      <c r="V56" s="192">
        <v>8.1999999999999993</v>
      </c>
      <c r="W56" s="192">
        <v>8.1999999999999993</v>
      </c>
      <c r="X56" s="192">
        <v>8.1999999999999993</v>
      </c>
      <c r="Y56" s="192">
        <v>7.2</v>
      </c>
      <c r="Z56" s="192"/>
      <c r="AA56" s="192"/>
      <c r="AB56" s="192">
        <v>8.1999999999999993</v>
      </c>
      <c r="AC56" s="192">
        <v>8.1999999999999993</v>
      </c>
      <c r="AD56" s="192">
        <v>8.1999999999999993</v>
      </c>
      <c r="AE56" s="192">
        <v>8.1999999999999993</v>
      </c>
      <c r="AF56" s="192">
        <v>7.2</v>
      </c>
      <c r="AG56" s="192"/>
      <c r="AH56" s="192"/>
      <c r="AI56" s="192">
        <v>8.1999999999999993</v>
      </c>
      <c r="AJ56" s="335"/>
      <c r="AK56" s="334"/>
      <c r="AL56" s="286"/>
      <c r="AM56" s="286"/>
      <c r="AN56" s="212"/>
      <c r="AO56" s="286"/>
      <c r="AP56" s="212"/>
      <c r="AQ56" s="286"/>
      <c r="AR56" s="286"/>
      <c r="AS56" s="286"/>
      <c r="AT56" s="286"/>
      <c r="AU56" s="286"/>
      <c r="AV56" s="286"/>
      <c r="AW56" s="203"/>
      <c r="AX56" s="286"/>
      <c r="AY56" s="286"/>
      <c r="AZ56" s="329"/>
    </row>
    <row r="57" spans="1:52" ht="20.100000000000001" customHeight="1" x14ac:dyDescent="0.2">
      <c r="A57" s="330">
        <f t="shared" ref="A57" si="18">A55+1</f>
        <v>21</v>
      </c>
      <c r="B57" s="330" t="s">
        <v>244</v>
      </c>
      <c r="C57" s="228">
        <v>1617</v>
      </c>
      <c r="D57" s="228" t="s">
        <v>65</v>
      </c>
      <c r="E57" s="191" t="s">
        <v>142</v>
      </c>
      <c r="F57" s="191" t="s">
        <v>142</v>
      </c>
      <c r="G57" s="191" t="s">
        <v>4</v>
      </c>
      <c r="H57" s="191" t="s">
        <v>4</v>
      </c>
      <c r="I57" s="191" t="s">
        <v>4</v>
      </c>
      <c r="J57" s="191" t="s">
        <v>4</v>
      </c>
      <c r="K57" s="191" t="s">
        <v>4</v>
      </c>
      <c r="L57" s="191" t="s">
        <v>142</v>
      </c>
      <c r="M57" s="191" t="s">
        <v>142</v>
      </c>
      <c r="N57" s="191" t="s">
        <v>4</v>
      </c>
      <c r="O57" s="191" t="s">
        <v>4</v>
      </c>
      <c r="P57" s="191" t="s">
        <v>4</v>
      </c>
      <c r="Q57" s="191" t="s">
        <v>4</v>
      </c>
      <c r="R57" s="191" t="s">
        <v>4</v>
      </c>
      <c r="S57" s="191" t="s">
        <v>142</v>
      </c>
      <c r="T57" s="191" t="s">
        <v>142</v>
      </c>
      <c r="U57" s="191" t="s">
        <v>4</v>
      </c>
      <c r="V57" s="191" t="s">
        <v>4</v>
      </c>
      <c r="W57" s="191" t="s">
        <v>4</v>
      </c>
      <c r="X57" s="191" t="s">
        <v>4</v>
      </c>
      <c r="Y57" s="191" t="s">
        <v>4</v>
      </c>
      <c r="Z57" s="191" t="s">
        <v>142</v>
      </c>
      <c r="AA57" s="191" t="s">
        <v>142</v>
      </c>
      <c r="AB57" s="191" t="s">
        <v>4</v>
      </c>
      <c r="AC57" s="191" t="s">
        <v>4</v>
      </c>
      <c r="AD57" s="191" t="s">
        <v>4</v>
      </c>
      <c r="AE57" s="191" t="s">
        <v>4</v>
      </c>
      <c r="AF57" s="191" t="s">
        <v>4</v>
      </c>
      <c r="AG57" s="191" t="s">
        <v>142</v>
      </c>
      <c r="AH57" s="191" t="s">
        <v>142</v>
      </c>
      <c r="AI57" s="191" t="s">
        <v>4</v>
      </c>
      <c r="AJ57" s="332">
        <f>IFERROR(COUNTIF(E57:AI57,"=Р")+COUNTIF(E57:AI57,"=Р1")+COUNTIF(E57:AI57,"=ВЧ")+COUNTIF(E57:AI57,"=РН")+COUNTIF(E57:AI57,"=Р2")+COUNTIF(E57:AI57,"=Р1/РВ")+COUNTIF(E57:AI57,"=Р2/РВ")+COUNTIF(E57:AI57,"=ВЧ/РВ")+COUNTIF(E57:AI57,"=РН/РВ"),0)</f>
        <v>21</v>
      </c>
      <c r="AK57" s="333">
        <f>IFERROR(SUMIF(E57:AI57,"=Р2",E58:AI58)+SUMIF(E57:AI57,"=ВЧ/РВ",E58:AI58)+SUMIF(E57:AI57,"=РН/РВ",E58:AI58)+SUMIF(E57:AI57,"=Р1/РВ",E58:AI58)+SUMIF(E57:AI57,"=ВЧ2/РВ",E58:AI58)+SUMIF(E57:AI57,"=Р2/РВ",E58:AI58)+SUMIF(E57:AI57,"=Р",E58:AI58)+SUMIF(E57:AI57,"=Р1",E58:AI58)+SUMIF(E57:AI57,"=ВЧ1",E58:AI58)+SUMIF(E57:AI57,"=РН",E58:AI58)+SUMIF(E57:AI57,"=ВЧ",E58:AI58),0)+AL57</f>
        <v>167.99999999999997</v>
      </c>
      <c r="AL57" s="211">
        <f>IFERROR(SUMIF(E57:AI57,"=НУ",E58:AI58),0)</f>
        <v>0</v>
      </c>
      <c r="AM57" s="211">
        <f>IFERROR(SUMIF(E57:AI57,"=РН",E58:AI58)+SUMIF(E57:AI57,"=РН/РВ",E58:AI58)+SUMIFS(E58:AI58,E57:AI57,"=Р2",E58:AI58,"=8"),0)</f>
        <v>0</v>
      </c>
      <c r="AN57" s="211">
        <f>IFERROR(SUMIF(E57:AI57,"=ВЧ",E58:AI58)+SUMIF(E57:AI57,"=ВЧ/РВ",E58:AI58)+CEILING(COUNTIFS(E57:AI57,"=Р2",E58:AI58,"=7")*4,1)+CEILING(COUNTIFS(E57:AI57,"=Р2/РВ",E58:AI58,"=7")*4,1)+SUMIFS(E58:AI58,E57:AI57,"=Р1/РВ",E58:AI58,"=12")/6+SUMIFS(E58:AI58,E57:AI57,"=ВЧ2/РВ",E58:AI58,"=4")/2+SUMIFS(E58:AI58,E57:AI57,"=Р1",E58:AI58,"=12")/6+SUMIFS(E58:AI58,E57:AI57,"=Р1",E58:AI58,"=8")/4+SUMIF(E57:AI57,"=ВЧ1",E58:AI58)/2,0)+CEILING(SUMIFS(E58:AI58,E57:AI57,"=Р",E58:AI58,"=13")/4,4)+CEILING(SUMIFS(E58:AI58,E57:AI57,"=Р",E58:AI58,"=14")/4,4)+CEILING(SUMIFS(E58:AI58,E57:AI57,"=Р",E58:AI58,"=15")/4,4)+SUMIFS(E58:AI58,E57:AI57,"=Р",E58:AI58,"=16")/4+CEILING(SUMIFS(E58:AI58,E57:AI57,"=Р1",E58:AI58,"=13")/4,4)+CEILING(SUMIFS(E58:AI58,E57:AI57,"=Р1",E58:AI58,"=14")/4,4)+CEILING(SUMIFS(E58:AI58,E57:AI57,"=Р1",E58:AI58,"=15")/4,4)+SUMIFS(E58:AI58,E57:AI57,"=Р1",E58:AI58,"=16")/4</f>
        <v>0</v>
      </c>
      <c r="AO57" s="211">
        <f>IFERROR(SUMIF(E57:AI57,"=РВ",E58:AI58)+SUMIF(E57:AI57,"=ВЧ/РВ",E58:AI58)+SUMIF(E57:AI57,"=РН/РВ",E58:AI58)+SUMIF(E57:AI57,"=Р1/РВ",E58:AI58)+SUMIF(E57:AI57,"=ВЧ2/РВ",E58:AI58)+SUMIF(E57:AI57,"=Р2/РВ",E58:AI58),0)</f>
        <v>0</v>
      </c>
      <c r="AP57" s="211">
        <f>IFERROR(COUNTIF(E57:AI57,"=ВВ")+COUNTIF(E57:AI57,"=Р1/ВВ")+COUNTIF(E57:AI57,"=РН/ВВ")+COUNTIF(E57:AI57,"=ВЧ/ВВ"),0)</f>
        <v>10</v>
      </c>
      <c r="AQ57" s="211">
        <f>SUM(AR57:AZ57)</f>
        <v>0</v>
      </c>
      <c r="AR57" s="211">
        <f>IFERROR(SUMIF(E57:AI57,"=В",E58:AI58)+SUMIF(E57:AI57,"=Ч",E58:AI58)+SUMIF(E57:AI57,"=ВБ",E58:AI58),0)</f>
        <v>0</v>
      </c>
      <c r="AS57" s="211">
        <f>IFERROR(SUMIF(E57:AI57,"=Н",E58:AI58),0)</f>
        <v>0</v>
      </c>
      <c r="AT57" s="211">
        <f>IFERROR(SUMIF(E57:AI57,"=НА",E58:AI58),0)</f>
        <v>0</v>
      </c>
      <c r="AU57" s="211">
        <f>IFERROR(SUMIF(E57:AI57,"=ВП",E58:AI58),0)</f>
        <v>0</v>
      </c>
      <c r="AV57" s="211">
        <f>IFERROR(SUMIF(E57:AI57,"=ДД",E58:AI58),0)</f>
        <v>0</v>
      </c>
      <c r="AW57" s="202">
        <f>IFERROR(SUMIF(E57:AI57,"=ДО",E58:AI58),0)</f>
        <v>0</v>
      </c>
      <c r="AX57" s="211">
        <f>IFERROR(SUMIF(E57:AI57,"=ТН",E58:AI58),0)</f>
        <v>0</v>
      </c>
      <c r="AY57" s="211">
        <f>IFERROR(SUMIF(E57:AI57,"=ВД",E58:AI58),0)</f>
        <v>0</v>
      </c>
      <c r="AZ57" s="312">
        <f>IFERROR(SUMIF(E57:AI57,"=ІН",E58:AI58),0)+SUMIF(E57:AI57,"=НЗ",E58:AI58)</f>
        <v>0</v>
      </c>
    </row>
    <row r="58" spans="1:52" ht="20.100000000000001" customHeight="1" thickBot="1" x14ac:dyDescent="0.25">
      <c r="A58" s="331"/>
      <c r="B58" s="331"/>
      <c r="C58" s="229"/>
      <c r="D58" s="229"/>
      <c r="E58" s="192"/>
      <c r="F58" s="192"/>
      <c r="G58" s="192">
        <v>8.1999999999999993</v>
      </c>
      <c r="H58" s="192">
        <v>8.1999999999999993</v>
      </c>
      <c r="I58" s="192">
        <v>8.1999999999999993</v>
      </c>
      <c r="J58" s="192">
        <v>8.1999999999999993</v>
      </c>
      <c r="K58" s="192">
        <v>7</v>
      </c>
      <c r="L58" s="192"/>
      <c r="M58" s="192"/>
      <c r="N58" s="192">
        <v>8.1999999999999993</v>
      </c>
      <c r="O58" s="192">
        <v>8.1999999999999993</v>
      </c>
      <c r="P58" s="192">
        <v>8.1999999999999993</v>
      </c>
      <c r="Q58" s="192">
        <v>8.1999999999999993</v>
      </c>
      <c r="R58" s="192">
        <v>7.2</v>
      </c>
      <c r="S58" s="192"/>
      <c r="T58" s="192"/>
      <c r="U58" s="192">
        <v>8.1999999999999993</v>
      </c>
      <c r="V58" s="192">
        <v>8.1999999999999993</v>
      </c>
      <c r="W58" s="192">
        <v>8.1999999999999993</v>
      </c>
      <c r="X58" s="192">
        <v>8.1999999999999993</v>
      </c>
      <c r="Y58" s="192">
        <v>7.2</v>
      </c>
      <c r="Z58" s="192"/>
      <c r="AA58" s="192"/>
      <c r="AB58" s="192">
        <v>8.1999999999999993</v>
      </c>
      <c r="AC58" s="192">
        <v>8.1999999999999993</v>
      </c>
      <c r="AD58" s="192">
        <v>8.1999999999999993</v>
      </c>
      <c r="AE58" s="192">
        <v>8.1999999999999993</v>
      </c>
      <c r="AF58" s="192">
        <v>7.2</v>
      </c>
      <c r="AG58" s="192"/>
      <c r="AH58" s="192"/>
      <c r="AI58" s="192">
        <v>8.1999999999999993</v>
      </c>
      <c r="AJ58" s="335"/>
      <c r="AK58" s="334"/>
      <c r="AL58" s="286"/>
      <c r="AM58" s="286"/>
      <c r="AN58" s="212"/>
      <c r="AO58" s="286"/>
      <c r="AP58" s="212"/>
      <c r="AQ58" s="286"/>
      <c r="AR58" s="286"/>
      <c r="AS58" s="286"/>
      <c r="AT58" s="286"/>
      <c r="AU58" s="286"/>
      <c r="AV58" s="286"/>
      <c r="AW58" s="203"/>
      <c r="AX58" s="286"/>
      <c r="AY58" s="286"/>
      <c r="AZ58" s="329"/>
    </row>
    <row r="59" spans="1:52" ht="20.100000000000001" customHeight="1" x14ac:dyDescent="0.2">
      <c r="A59" s="330">
        <f t="shared" ref="A59" si="19">A57+1</f>
        <v>22</v>
      </c>
      <c r="B59" s="336" t="s">
        <v>289</v>
      </c>
      <c r="C59" s="293">
        <v>1407</v>
      </c>
      <c r="D59" s="293" t="s">
        <v>72</v>
      </c>
      <c r="E59" s="191" t="s">
        <v>142</v>
      </c>
      <c r="F59" s="191" t="s">
        <v>142</v>
      </c>
      <c r="G59" s="191" t="s">
        <v>4</v>
      </c>
      <c r="H59" s="191" t="s">
        <v>4</v>
      </c>
      <c r="I59" s="191" t="s">
        <v>4</v>
      </c>
      <c r="J59" s="191" t="s">
        <v>4</v>
      </c>
      <c r="K59" s="191" t="s">
        <v>4</v>
      </c>
      <c r="L59" s="191" t="s">
        <v>142</v>
      </c>
      <c r="M59" s="191" t="s">
        <v>142</v>
      </c>
      <c r="N59" s="191" t="s">
        <v>4</v>
      </c>
      <c r="O59" s="191" t="s">
        <v>4</v>
      </c>
      <c r="P59" s="191" t="s">
        <v>4</v>
      </c>
      <c r="Q59" s="191" t="s">
        <v>4</v>
      </c>
      <c r="R59" s="191" t="s">
        <v>4</v>
      </c>
      <c r="S59" s="191" t="s">
        <v>142</v>
      </c>
      <c r="T59" s="191" t="s">
        <v>142</v>
      </c>
      <c r="U59" s="191" t="s">
        <v>4</v>
      </c>
      <c r="V59" s="191" t="s">
        <v>4</v>
      </c>
      <c r="W59" s="191" t="s">
        <v>4</v>
      </c>
      <c r="X59" s="191" t="s">
        <v>4</v>
      </c>
      <c r="Y59" s="191" t="s">
        <v>4</v>
      </c>
      <c r="Z59" s="191" t="s">
        <v>142</v>
      </c>
      <c r="AA59" s="191" t="s">
        <v>142</v>
      </c>
      <c r="AB59" s="191" t="s">
        <v>4</v>
      </c>
      <c r="AC59" s="191" t="s">
        <v>4</v>
      </c>
      <c r="AD59" s="191" t="s">
        <v>4</v>
      </c>
      <c r="AE59" s="191" t="s">
        <v>4</v>
      </c>
      <c r="AF59" s="191" t="s">
        <v>4</v>
      </c>
      <c r="AG59" s="191" t="s">
        <v>142</v>
      </c>
      <c r="AH59" s="191" t="s">
        <v>142</v>
      </c>
      <c r="AI59" s="191" t="s">
        <v>4</v>
      </c>
      <c r="AJ59" s="332">
        <f>IFERROR(COUNTIF(E59:AI59,"=Р")+COUNTIF(E59:AI59,"=Р1")+COUNTIF(E59:AI59,"=ВЧ")+COUNTIF(E59:AI59,"=РН")+COUNTIF(E59:AI59,"=Р2")+COUNTIF(E59:AI59,"=Р1/РВ")+COUNTIF(E59:AI59,"=Р2/РВ")+COUNTIF(E59:AI59,"=ВЧ/РВ")+COUNTIF(E59:AI59,"=РН/РВ"),0)</f>
        <v>21</v>
      </c>
      <c r="AK59" s="333">
        <f>IFERROR(SUMIF(E59:AI59,"=Р2",E60:AI60)+SUMIF(E59:AI59,"=ВЧ/РВ",E60:AI60)+SUMIF(E59:AI59,"=РН/РВ",E60:AI60)+SUMIF(E59:AI59,"=Р1/РВ",E60:AI60)+SUMIF(E59:AI59,"=ВЧ2/РВ",E60:AI60)+SUMIF(E59:AI59,"=Р2/РВ",E60:AI60)+SUMIF(E59:AI59,"=Р",E60:AI60)+SUMIF(E59:AI59,"=Р1",E60:AI60)+SUMIF(E59:AI59,"=ВЧ1",E60:AI60)+SUMIF(E59:AI59,"=РН",E60:AI60)+SUMIF(E59:AI59,"=ВЧ",E60:AI60),0)+AL59</f>
        <v>167.99999999999997</v>
      </c>
      <c r="AL59" s="211">
        <f>IFERROR(SUMIF(E59:AI59,"=НУ",E60:AI60),0)</f>
        <v>0</v>
      </c>
      <c r="AM59" s="211">
        <f>IFERROR(SUMIF(E59:AI59,"=РН",E60:AI60)+SUMIF(E59:AI59,"=РН/РВ",E60:AI60)+SUMIFS(E60:AI60,E59:AI59,"=Р2",E60:AI60,"=8"),0)</f>
        <v>0</v>
      </c>
      <c r="AN59" s="211">
        <f>IFERROR(SUMIF(E59:AI59,"=ВЧ",E60:AI60)+SUMIF(E59:AI59,"=ВЧ/РВ",E60:AI60)+CEILING(COUNTIFS(E59:AI59,"=Р2",E60:AI60,"=7")*4,1)+CEILING(COUNTIFS(E59:AI59,"=Р2/РВ",E60:AI60,"=7")*4,1)+SUMIFS(E60:AI60,E59:AI59,"=Р1/РВ",E60:AI60,"=12")/6+SUMIFS(E60:AI60,E59:AI59,"=ВЧ2/РВ",E60:AI60,"=4")/2+SUMIFS(E60:AI60,E59:AI59,"=Р1",E60:AI60,"=12")/6+SUMIFS(E60:AI60,E59:AI59,"=Р1",E60:AI60,"=8")/4+SUMIF(E59:AI59,"=ВЧ1",E60:AI60)/2,0)+CEILING(SUMIFS(E60:AI60,E59:AI59,"=Р",E60:AI60,"=13")/4,4)+CEILING(SUMIFS(E60:AI60,E59:AI59,"=Р",E60:AI60,"=14")/4,4)+CEILING(SUMIFS(E60:AI60,E59:AI59,"=Р",E60:AI60,"=15")/4,4)+SUMIFS(E60:AI60,E59:AI59,"=Р",E60:AI60,"=16")/4+CEILING(SUMIFS(E60:AI60,E59:AI59,"=Р1",E60:AI60,"=13")/4,4)+CEILING(SUMIFS(E60:AI60,E59:AI59,"=Р1",E60:AI60,"=14")/4,4)+CEILING(SUMIFS(E60:AI60,E59:AI59,"=Р1",E60:AI60,"=15")/4,4)+SUMIFS(E60:AI60,E59:AI59,"=Р1",E60:AI60,"=16")/4</f>
        <v>0</v>
      </c>
      <c r="AO59" s="211">
        <f>IFERROR(SUMIF(E59:AI59,"=РВ",E60:AI60)+SUMIF(E59:AI59,"=ВЧ/РВ",E60:AI60)+SUMIF(E59:AI59,"=РН/РВ",E60:AI60)+SUMIF(E59:AI59,"=Р1/РВ",E60:AI60)+SUMIF(E59:AI59,"=ВЧ2/РВ",E60:AI60)+SUMIF(E59:AI59,"=Р2/РВ",E60:AI60),0)</f>
        <v>0</v>
      </c>
      <c r="AP59" s="211">
        <f>IFERROR(COUNTIF(E59:AI59,"=ВВ")+COUNTIF(E59:AI59,"=Р1/ВВ")+COUNTIF(E59:AI59,"=РН/ВВ")+COUNTIF(E59:AI59,"=ВЧ/ВВ"),0)</f>
        <v>10</v>
      </c>
      <c r="AQ59" s="211">
        <f>SUM(AR59:AZ59)</f>
        <v>0</v>
      </c>
      <c r="AR59" s="211">
        <f>IFERROR(SUMIF(E59:AI59,"=В",E60:AI60)+SUMIF(E59:AI59,"=Ч",E60:AI60)+SUMIF(E59:AI59,"=ВБ",E60:AI60),0)</f>
        <v>0</v>
      </c>
      <c r="AS59" s="211">
        <f>IFERROR(SUMIF(E59:AI59,"=Н",E60:AI60),0)</f>
        <v>0</v>
      </c>
      <c r="AT59" s="211">
        <f>IFERROR(SUMIF(E59:AI59,"=НА",E60:AI60),0)</f>
        <v>0</v>
      </c>
      <c r="AU59" s="211">
        <f>IFERROR(SUMIF(E59:AI59,"=ВП",E60:AI60),0)</f>
        <v>0</v>
      </c>
      <c r="AV59" s="211">
        <f>IFERROR(SUMIF(E59:AI59,"=ДД",E60:AI60),0)</f>
        <v>0</v>
      </c>
      <c r="AW59" s="202">
        <f>IFERROR(SUMIF(E59:AI59,"=ДО",E60:AI60),0)</f>
        <v>0</v>
      </c>
      <c r="AX59" s="211">
        <f>IFERROR(SUMIF(E59:AI59,"=ТН",E60:AI60),0)</f>
        <v>0</v>
      </c>
      <c r="AY59" s="211">
        <f>IFERROR(SUMIF(E59:AI59,"=ВД",E60:AI60),0)</f>
        <v>0</v>
      </c>
      <c r="AZ59" s="312">
        <f>IFERROR(SUMIF(E59:AI59,"=ІН",E60:AI60),0)+SUMIF(E59:AI59,"=НЗ",E60:AI60)</f>
        <v>0</v>
      </c>
    </row>
    <row r="60" spans="1:52" ht="20.100000000000001" customHeight="1" thickBot="1" x14ac:dyDescent="0.25">
      <c r="A60" s="331"/>
      <c r="B60" s="352"/>
      <c r="C60" s="338"/>
      <c r="D60" s="338"/>
      <c r="E60" s="192"/>
      <c r="F60" s="192"/>
      <c r="G60" s="192">
        <v>8.1999999999999993</v>
      </c>
      <c r="H60" s="192">
        <v>8.1999999999999993</v>
      </c>
      <c r="I60" s="192">
        <v>8.1999999999999993</v>
      </c>
      <c r="J60" s="192">
        <v>8.1999999999999993</v>
      </c>
      <c r="K60" s="192">
        <v>7</v>
      </c>
      <c r="L60" s="192"/>
      <c r="M60" s="192"/>
      <c r="N60" s="192">
        <v>8.1999999999999993</v>
      </c>
      <c r="O60" s="192">
        <v>8.1999999999999993</v>
      </c>
      <c r="P60" s="192">
        <v>8.1999999999999993</v>
      </c>
      <c r="Q60" s="192">
        <v>8.1999999999999993</v>
      </c>
      <c r="R60" s="192">
        <v>7.2</v>
      </c>
      <c r="S60" s="192"/>
      <c r="T60" s="192"/>
      <c r="U60" s="192">
        <v>8.1999999999999993</v>
      </c>
      <c r="V60" s="192">
        <v>8.1999999999999993</v>
      </c>
      <c r="W60" s="192">
        <v>8.1999999999999993</v>
      </c>
      <c r="X60" s="192">
        <v>8.1999999999999993</v>
      </c>
      <c r="Y60" s="192">
        <v>7.2</v>
      </c>
      <c r="Z60" s="192"/>
      <c r="AA60" s="192"/>
      <c r="AB60" s="192">
        <v>8.1999999999999993</v>
      </c>
      <c r="AC60" s="192">
        <v>8.1999999999999993</v>
      </c>
      <c r="AD60" s="192">
        <v>8.1999999999999993</v>
      </c>
      <c r="AE60" s="192">
        <v>8.1999999999999993</v>
      </c>
      <c r="AF60" s="192">
        <v>7.2</v>
      </c>
      <c r="AG60" s="192"/>
      <c r="AH60" s="192"/>
      <c r="AI60" s="192">
        <v>8.1999999999999993</v>
      </c>
      <c r="AJ60" s="335"/>
      <c r="AK60" s="334"/>
      <c r="AL60" s="286"/>
      <c r="AM60" s="286"/>
      <c r="AN60" s="212"/>
      <c r="AO60" s="286"/>
      <c r="AP60" s="212"/>
      <c r="AQ60" s="286"/>
      <c r="AR60" s="286"/>
      <c r="AS60" s="286"/>
      <c r="AT60" s="286"/>
      <c r="AU60" s="286"/>
      <c r="AV60" s="286"/>
      <c r="AW60" s="203"/>
      <c r="AX60" s="286"/>
      <c r="AY60" s="286"/>
      <c r="AZ60" s="329"/>
    </row>
    <row r="61" spans="1:52" ht="20.100000000000001" customHeight="1" x14ac:dyDescent="0.2">
      <c r="A61" s="330">
        <f t="shared" ref="A61" si="20">A59+1</f>
        <v>23</v>
      </c>
      <c r="B61" s="330" t="s">
        <v>245</v>
      </c>
      <c r="C61" s="228">
        <v>1134</v>
      </c>
      <c r="D61" s="228" t="s">
        <v>65</v>
      </c>
      <c r="E61" s="191" t="s">
        <v>142</v>
      </c>
      <c r="F61" s="191" t="s">
        <v>142</v>
      </c>
      <c r="G61" s="191" t="s">
        <v>4</v>
      </c>
      <c r="H61" s="191" t="s">
        <v>4</v>
      </c>
      <c r="I61" s="191" t="s">
        <v>4</v>
      </c>
      <c r="J61" s="191" t="s">
        <v>4</v>
      </c>
      <c r="K61" s="191" t="s">
        <v>4</v>
      </c>
      <c r="L61" s="191" t="s">
        <v>142</v>
      </c>
      <c r="M61" s="191" t="s">
        <v>142</v>
      </c>
      <c r="N61" s="191" t="s">
        <v>4</v>
      </c>
      <c r="O61" s="191" t="s">
        <v>4</v>
      </c>
      <c r="P61" s="191" t="s">
        <v>4</v>
      </c>
      <c r="Q61" s="191" t="s">
        <v>4</v>
      </c>
      <c r="R61" s="191" t="s">
        <v>4</v>
      </c>
      <c r="S61" s="191" t="s">
        <v>142</v>
      </c>
      <c r="T61" s="191" t="s">
        <v>142</v>
      </c>
      <c r="U61" s="191" t="s">
        <v>4</v>
      </c>
      <c r="V61" s="191" t="s">
        <v>4</v>
      </c>
      <c r="W61" s="191" t="s">
        <v>4</v>
      </c>
      <c r="X61" s="191" t="s">
        <v>4</v>
      </c>
      <c r="Y61" s="191" t="s">
        <v>4</v>
      </c>
      <c r="Z61" s="191" t="s">
        <v>142</v>
      </c>
      <c r="AA61" s="191" t="s">
        <v>142</v>
      </c>
      <c r="AB61" s="191" t="s">
        <v>4</v>
      </c>
      <c r="AC61" s="191" t="s">
        <v>4</v>
      </c>
      <c r="AD61" s="191" t="s">
        <v>4</v>
      </c>
      <c r="AE61" s="191" t="s">
        <v>4</v>
      </c>
      <c r="AF61" s="191" t="s">
        <v>4</v>
      </c>
      <c r="AG61" s="191" t="s">
        <v>142</v>
      </c>
      <c r="AH61" s="191" t="s">
        <v>142</v>
      </c>
      <c r="AI61" s="191" t="s">
        <v>4</v>
      </c>
      <c r="AJ61" s="332">
        <f>IFERROR(COUNTIF(E61:AI61,"=Р")+COUNTIF(E61:AI61,"=Р1")+COUNTIF(E61:AI61,"=ВЧ")+COUNTIF(E61:AI61,"=РН")+COUNTIF(E61:AI61,"=Р2")+COUNTIF(E61:AI61,"=Р1/РВ")+COUNTIF(E61:AI61,"=Р2/РВ")+COUNTIF(E61:AI61,"=ВЧ/РВ")+COUNTIF(E61:AI61,"=РН/РВ"),0)</f>
        <v>21</v>
      </c>
      <c r="AK61" s="333">
        <f>IFERROR(SUMIF(E61:AI61,"=Р2",E62:AI62)+SUMIF(E61:AI61,"=ВЧ/РВ",E62:AI62)+SUMIF(E61:AI61,"=РН/РВ",E62:AI62)+SUMIF(E61:AI61,"=Р1/РВ",E62:AI62)+SUMIF(E61:AI61,"=ВЧ2/РВ",E62:AI62)+SUMIF(E61:AI61,"=Р2/РВ",E62:AI62)+SUMIF(E61:AI61,"=Р",E62:AI62)+SUMIF(E61:AI61,"=Р1",E62:AI62)+SUMIF(E61:AI61,"=ВЧ1",E62:AI62)+SUMIF(E61:AI61,"=РН",E62:AI62)+SUMIF(E61:AI61,"=ВЧ",E62:AI62),0)+AL61</f>
        <v>167.99999999999997</v>
      </c>
      <c r="AL61" s="211">
        <f>IFERROR(SUMIF(E61:AI61,"=НУ",E62:AI62),0)</f>
        <v>0</v>
      </c>
      <c r="AM61" s="211">
        <f>IFERROR(SUMIF(E61:AI61,"=РН",E62:AI62)+SUMIF(E61:AI61,"=РН/РВ",E62:AI62)+SUMIFS(E62:AI62,E61:AI61,"=Р2",E62:AI62,"=8"),0)</f>
        <v>0</v>
      </c>
      <c r="AN61" s="211">
        <f>IFERROR(SUMIF(E61:AI61,"=ВЧ",E62:AI62)+SUMIF(E61:AI61,"=ВЧ/РВ",E62:AI62)+CEILING(COUNTIFS(E61:AI61,"=Р2",E62:AI62,"=7")*4,1)+CEILING(COUNTIFS(E61:AI61,"=Р2/РВ",E62:AI62,"=7")*4,1)+SUMIFS(E62:AI62,E61:AI61,"=Р1/РВ",E62:AI62,"=12")/6+SUMIFS(E62:AI62,E61:AI61,"=ВЧ2/РВ",E62:AI62,"=4")/2+SUMIFS(E62:AI62,E61:AI61,"=Р1",E62:AI62,"=12")/6+SUMIFS(E62:AI62,E61:AI61,"=Р1",E62:AI62,"=8")/4+SUMIF(E61:AI61,"=ВЧ1",E62:AI62)/2,0)+CEILING(SUMIFS(E62:AI62,E61:AI61,"=Р",E62:AI62,"=13")/4,4)+CEILING(SUMIFS(E62:AI62,E61:AI61,"=Р",E62:AI62,"=14")/4,4)+CEILING(SUMIFS(E62:AI62,E61:AI61,"=Р",E62:AI62,"=15")/4,4)+SUMIFS(E62:AI62,E61:AI61,"=Р",E62:AI62,"=16")/4+CEILING(SUMIFS(E62:AI62,E61:AI61,"=Р1",E62:AI62,"=13")/4,4)+CEILING(SUMIFS(E62:AI62,E61:AI61,"=Р1",E62:AI62,"=14")/4,4)+CEILING(SUMIFS(E62:AI62,E61:AI61,"=Р1",E62:AI62,"=15")/4,4)+SUMIFS(E62:AI62,E61:AI61,"=Р1",E62:AI62,"=16")/4</f>
        <v>0</v>
      </c>
      <c r="AO61" s="211">
        <f>IFERROR(SUMIF(E61:AI61,"=РВ",E62:AI62)+SUMIF(E61:AI61,"=ВЧ/РВ",E62:AI62)+SUMIF(E61:AI61,"=РН/РВ",E62:AI62)+SUMIF(E61:AI61,"=Р1/РВ",E62:AI62)+SUMIF(E61:AI61,"=ВЧ2/РВ",E62:AI62)+SUMIF(E61:AI61,"=Р2/РВ",E62:AI62),0)</f>
        <v>0</v>
      </c>
      <c r="AP61" s="211">
        <f>IFERROR(COUNTIF(E61:AI61,"=ВВ")+COUNTIF(E61:AI61,"=Р1/ВВ")+COUNTIF(E61:AI61,"=РН/ВВ")+COUNTIF(E61:AI61,"=ВЧ/ВВ"),0)</f>
        <v>10</v>
      </c>
      <c r="AQ61" s="211">
        <f>SUM(AR61:AZ61)</f>
        <v>0</v>
      </c>
      <c r="AR61" s="211">
        <f>IFERROR(SUMIF(E61:AI61,"=В",E62:AI62)+SUMIF(E61:AI61,"=Ч",E62:AI62)+SUMIF(E61:AI61,"=ВБ",E62:AI62),0)</f>
        <v>0</v>
      </c>
      <c r="AS61" s="211">
        <f>IFERROR(SUMIF(E61:AI61,"=Н",E62:AI62),0)</f>
        <v>0</v>
      </c>
      <c r="AT61" s="211">
        <f>IFERROR(SUMIF(E61:AI61,"=НА",E62:AI62),0)</f>
        <v>0</v>
      </c>
      <c r="AU61" s="211">
        <f>IFERROR(SUMIF(E61:AI61,"=ВП",E62:AI62),0)</f>
        <v>0</v>
      </c>
      <c r="AV61" s="211">
        <f>IFERROR(SUMIF(E61:AI61,"=ДД",E62:AI62),0)</f>
        <v>0</v>
      </c>
      <c r="AW61" s="202">
        <f>IFERROR(SUMIF(E61:AI61,"=ДО",E62:AI62),0)</f>
        <v>0</v>
      </c>
      <c r="AX61" s="211">
        <f>IFERROR(SUMIF(E61:AI61,"=ТН",E62:AI62),0)</f>
        <v>0</v>
      </c>
      <c r="AY61" s="211">
        <f>IFERROR(SUMIF(E61:AI61,"=ВД",E62:AI62),0)</f>
        <v>0</v>
      </c>
      <c r="AZ61" s="312">
        <f>IFERROR(SUMIF(E61:AI61,"=ІН",E62:AI62),0)+SUMIF(E61:AI61,"=НЗ",E62:AI62)</f>
        <v>0</v>
      </c>
    </row>
    <row r="62" spans="1:52" ht="20.100000000000001" customHeight="1" thickBot="1" x14ac:dyDescent="0.25">
      <c r="A62" s="331"/>
      <c r="B62" s="331"/>
      <c r="C62" s="229"/>
      <c r="D62" s="229"/>
      <c r="E62" s="192"/>
      <c r="F62" s="192"/>
      <c r="G62" s="192">
        <v>8.1999999999999993</v>
      </c>
      <c r="H62" s="192">
        <v>8.1999999999999993</v>
      </c>
      <c r="I62" s="192">
        <v>8.1999999999999993</v>
      </c>
      <c r="J62" s="192">
        <v>8.1999999999999993</v>
      </c>
      <c r="K62" s="192">
        <v>7</v>
      </c>
      <c r="L62" s="192"/>
      <c r="M62" s="192"/>
      <c r="N62" s="192">
        <v>8.1999999999999993</v>
      </c>
      <c r="O62" s="192">
        <v>8.1999999999999993</v>
      </c>
      <c r="P62" s="192">
        <v>8.1999999999999993</v>
      </c>
      <c r="Q62" s="192">
        <v>8.1999999999999993</v>
      </c>
      <c r="R62" s="192">
        <v>7.2</v>
      </c>
      <c r="S62" s="192"/>
      <c r="T62" s="192"/>
      <c r="U62" s="192">
        <v>8.1999999999999993</v>
      </c>
      <c r="V62" s="192">
        <v>8.1999999999999993</v>
      </c>
      <c r="W62" s="192">
        <v>8.1999999999999993</v>
      </c>
      <c r="X62" s="192">
        <v>8.1999999999999993</v>
      </c>
      <c r="Y62" s="192">
        <v>7.2</v>
      </c>
      <c r="Z62" s="192"/>
      <c r="AA62" s="192"/>
      <c r="AB62" s="192">
        <v>8.1999999999999993</v>
      </c>
      <c r="AC62" s="192">
        <v>8.1999999999999993</v>
      </c>
      <c r="AD62" s="192">
        <v>8.1999999999999993</v>
      </c>
      <c r="AE62" s="192">
        <v>8.1999999999999993</v>
      </c>
      <c r="AF62" s="192">
        <v>7.2</v>
      </c>
      <c r="AG62" s="192"/>
      <c r="AH62" s="192"/>
      <c r="AI62" s="192">
        <v>8.1999999999999993</v>
      </c>
      <c r="AJ62" s="335"/>
      <c r="AK62" s="334"/>
      <c r="AL62" s="286"/>
      <c r="AM62" s="286"/>
      <c r="AN62" s="212"/>
      <c r="AO62" s="286"/>
      <c r="AP62" s="212"/>
      <c r="AQ62" s="286"/>
      <c r="AR62" s="286"/>
      <c r="AS62" s="286"/>
      <c r="AT62" s="286"/>
      <c r="AU62" s="286"/>
      <c r="AV62" s="286"/>
      <c r="AW62" s="203"/>
      <c r="AX62" s="286"/>
      <c r="AY62" s="286"/>
      <c r="AZ62" s="329"/>
    </row>
    <row r="63" spans="1:52" s="163" customFormat="1" ht="24" customHeight="1" x14ac:dyDescent="0.2">
      <c r="A63" s="330">
        <f t="shared" ref="A63" si="21">A61+1</f>
        <v>24</v>
      </c>
      <c r="B63" s="336" t="s">
        <v>394</v>
      </c>
      <c r="C63" s="228">
        <v>1138</v>
      </c>
      <c r="D63" s="228" t="s">
        <v>72</v>
      </c>
      <c r="E63" s="191" t="s">
        <v>142</v>
      </c>
      <c r="F63" s="191" t="s">
        <v>4</v>
      </c>
      <c r="G63" s="191" t="s">
        <v>43</v>
      </c>
      <c r="H63" s="191" t="s">
        <v>142</v>
      </c>
      <c r="I63" s="191" t="s">
        <v>142</v>
      </c>
      <c r="J63" s="191" t="s">
        <v>4</v>
      </c>
      <c r="K63" s="191" t="s">
        <v>43</v>
      </c>
      <c r="L63" s="191" t="s">
        <v>142</v>
      </c>
      <c r="M63" s="191" t="s">
        <v>142</v>
      </c>
      <c r="N63" s="191" t="s">
        <v>4</v>
      </c>
      <c r="O63" s="191" t="s">
        <v>43</v>
      </c>
      <c r="P63" s="191" t="s">
        <v>142</v>
      </c>
      <c r="Q63" s="191" t="s">
        <v>142</v>
      </c>
      <c r="R63" s="191" t="s">
        <v>4</v>
      </c>
      <c r="S63" s="191" t="s">
        <v>43</v>
      </c>
      <c r="T63" s="191" t="s">
        <v>142</v>
      </c>
      <c r="U63" s="191" t="s">
        <v>142</v>
      </c>
      <c r="V63" s="191" t="s">
        <v>4</v>
      </c>
      <c r="W63" s="191" t="s">
        <v>43</v>
      </c>
      <c r="X63" s="191" t="s">
        <v>142</v>
      </c>
      <c r="Y63" s="191" t="s">
        <v>142</v>
      </c>
      <c r="Z63" s="191" t="s">
        <v>4</v>
      </c>
      <c r="AA63" s="191" t="s">
        <v>43</v>
      </c>
      <c r="AB63" s="191" t="s">
        <v>142</v>
      </c>
      <c r="AC63" s="191" t="s">
        <v>142</v>
      </c>
      <c r="AD63" s="191" t="s">
        <v>4</v>
      </c>
      <c r="AE63" s="191" t="s">
        <v>43</v>
      </c>
      <c r="AF63" s="191" t="s">
        <v>142</v>
      </c>
      <c r="AG63" s="191"/>
      <c r="AH63" s="191"/>
      <c r="AI63" s="191"/>
      <c r="AJ63" s="332">
        <f>IFERROR(COUNTIF(E63:AI63,"=Р")+COUNTIF(E63:AI63,"=Р1")+COUNTIF(E63:AI63,"=ВЧ")+COUNTIF(E63:AI63,"=РН")+COUNTIF(E63:AI63,"=Р2")+COUNTIF(E63:AI63,"=Р1/РВ")+COUNTIF(E63:AI63,"=Р2/РВ")+COUNTIF(E63:AI63,"=ВЧ/РВ")+COUNTIF(E63:AI63,"=РН/РВ"),0)</f>
        <v>14</v>
      </c>
      <c r="AK63" s="333">
        <f>IFERROR(SUMIF(E63:AI63,"=Р2",E64:AI64)+SUMIF(E63:AI63,"=ВЧ/РВ",E64:AI64)+SUMIF(E63:AI63,"=РН/РВ",E64:AI64)+SUMIF(E63:AI63,"=Р1/РВ",E64:AI64)+SUMIF(E63:AI63,"=ВЧ2/РВ",E64:AI64)+SUMIF(E63:AI63,"=Р2/РВ",E64:AI64)+SUMIF(E63:AI63,"=Р",E64:AI64)+SUMIF(E63:AI63,"=Р1",E64:AI64)+SUMIF(E63:AI63,"=ВЧ1",E64:AI64)+SUMIF(E63:AI63,"=РН",E64:AI64)+SUMIF(E63:AI63,"=ВЧ",E64:AI64),0)+AL63</f>
        <v>164</v>
      </c>
      <c r="AL63" s="211">
        <f>IFERROR(SUMIF(E63:AI63,"=НУ",E64:AI64),0)</f>
        <v>0</v>
      </c>
      <c r="AM63" s="211">
        <f>IFERROR(SUMIF(E63:AI63,"=РН",E64:AI64)+SUMIF(E63:AI63,"=РН/РВ",E64:AI64)+SUMIFS(E64:AI64,E63:AI63,"=Р2",E64:AI64,"=8"),0)</f>
        <v>56</v>
      </c>
      <c r="AN63" s="211">
        <f>IFERROR(SUMIF(E63:AI63,"=ВЧ",E64:AI64)+SUMIF(E63:AI63,"=ВЧ/РВ",E64:AI64)+CEILING(COUNTIFS(E63:AI63,"=Р2",E64:AI64,"=7")*4,1)+CEILING(COUNTIFS(E63:AI63,"=Р2/РВ",E64:AI64,"=7")*4,1)+SUMIFS(E64:AI64,E63:AI63,"=Р1/РВ",E64:AI64,"=12")/6+SUMIFS(E64:AI64,E63:AI63,"=ВЧ2/РВ",E64:AI64,"=4")/2+SUMIFS(E64:AI64,E63:AI63,"=Р1",E64:AI64,"=12")/6+SUMIFS(E64:AI64,E63:AI63,"=Р1",E64:AI64,"=8")/4+SUMIF(E63:AI63,"=ВЧ1",E64:AI64)/2,0)+CEILING(SUMIFS(E64:AI64,E63:AI63,"=Р",E64:AI64,"=13")/4,4)+CEILING(SUMIFS(E64:AI64,E63:AI63,"=Р",E64:AI64,"=14")/4,4)+CEILING(SUMIFS(E64:AI64,E63:AI63,"=Р",E64:AI64,"=15")/4,4)+SUMIFS(E64:AI64,E63:AI63,"=Р",E64:AI64,"=16")/4+CEILING(SUMIFS(E64:AI64,E63:AI63,"=Р1",E64:AI64,"=13")/4,4)+CEILING(SUMIFS(E64:AI64,E63:AI63,"=Р1",E64:AI64,"=14")/4,4)+CEILING(SUMIFS(E64:AI64,E63:AI63,"=Р1",E64:AI64,"=15")/4,4)+SUMIFS(E64:AI64,E63:AI63,"=Р1",E64:AI64,"=16")/4</f>
        <v>28</v>
      </c>
      <c r="AO63" s="211">
        <f>IFERROR(SUMIF(E63:AI63,"=РВ",E64:AI64)+SUMIF(E63:AI63,"=ВЧ/РВ",E64:AI64)+SUMIF(E63:AI63,"=РН/РВ",E64:AI64)+SUMIF(E63:AI63,"=Р1/РВ",E64:AI64)+SUMIF(E63:AI63,"=ВЧ2/РВ",E64:AI64)+SUMIF(E63:AI63,"=Р2/РВ",E64:AI64),0)</f>
        <v>0</v>
      </c>
      <c r="AP63" s="211">
        <f>IFERROR(COUNTIF(E63:AI63,"=ВВ")+COUNTIF(E63:AI63,"=Р1/ВВ")+COUNTIF(E63:AI63,"=РН/ВВ")+COUNTIF(E63:AI63,"=ВЧ/ВВ"),0)</f>
        <v>14</v>
      </c>
      <c r="AQ63" s="211">
        <f>SUM(AR63:AZ63)</f>
        <v>0</v>
      </c>
      <c r="AR63" s="211">
        <f>IFERROR(SUMIF(E63:AI63,"=В",E64:AI64)+SUMIF(E63:AI63,"=Ч",E64:AI64)+SUMIF(E63:AI63,"=ВБ",E64:AI64),0)</f>
        <v>0</v>
      </c>
      <c r="AS63" s="211">
        <f>IFERROR(SUMIF(E63:AI63,"=Н",E64:AI64),0)</f>
        <v>0</v>
      </c>
      <c r="AT63" s="211">
        <f>IFERROR(SUMIF(E63:AI63,"=НА",E64:AI64),0)</f>
        <v>0</v>
      </c>
      <c r="AU63" s="211">
        <f>IFERROR(SUMIF(E63:AI63,"=ВП",E64:AI64),0)</f>
        <v>0</v>
      </c>
      <c r="AV63" s="211">
        <f>IFERROR(SUMIF(E63:AI63,"=ДД",E64:AI64),0)</f>
        <v>0</v>
      </c>
      <c r="AW63" s="202">
        <f>IFERROR(SUMIF(E63:AI63,"=ДО",E64:AI64),0)</f>
        <v>0</v>
      </c>
      <c r="AX63" s="211">
        <f>IFERROR(SUMIF(E63:AI63,"=ТН",E64:AI64),0)</f>
        <v>0</v>
      </c>
      <c r="AY63" s="211">
        <f>IFERROR(SUMIF(E63:AI63,"=ВД",E64:AI64),0)</f>
        <v>0</v>
      </c>
      <c r="AZ63" s="312">
        <f>IFERROR(SUMIF(E63:AI63,"=ІН",E64:AI64),0)+SUMIF(E63:AI63,"=НЗ",E64:AI64)</f>
        <v>0</v>
      </c>
    </row>
    <row r="64" spans="1:52" s="163" customFormat="1" ht="19.5" customHeight="1" thickBot="1" x14ac:dyDescent="0.25">
      <c r="A64" s="331"/>
      <c r="B64" s="331"/>
      <c r="C64" s="337"/>
      <c r="D64" s="337"/>
      <c r="E64" s="192"/>
      <c r="F64" s="192">
        <v>13</v>
      </c>
      <c r="G64" s="192">
        <v>8</v>
      </c>
      <c r="H64" s="192"/>
      <c r="I64" s="192"/>
      <c r="J64" s="192">
        <v>15</v>
      </c>
      <c r="K64" s="192">
        <v>8</v>
      </c>
      <c r="L64" s="192"/>
      <c r="M64" s="192"/>
      <c r="N64" s="192">
        <v>16</v>
      </c>
      <c r="O64" s="192">
        <v>8</v>
      </c>
      <c r="P64" s="192"/>
      <c r="Q64" s="192"/>
      <c r="R64" s="192">
        <v>16</v>
      </c>
      <c r="S64" s="192">
        <v>8</v>
      </c>
      <c r="T64" s="192"/>
      <c r="U64" s="192"/>
      <c r="V64" s="192">
        <v>16</v>
      </c>
      <c r="W64" s="192">
        <v>8</v>
      </c>
      <c r="X64" s="192"/>
      <c r="Y64" s="192"/>
      <c r="Z64" s="192">
        <v>16</v>
      </c>
      <c r="AA64" s="192">
        <v>8</v>
      </c>
      <c r="AB64" s="192"/>
      <c r="AC64" s="192"/>
      <c r="AD64" s="192">
        <v>16</v>
      </c>
      <c r="AE64" s="192">
        <v>8</v>
      </c>
      <c r="AF64" s="192"/>
      <c r="AG64" s="192" t="s">
        <v>491</v>
      </c>
      <c r="AH64" s="192" t="s">
        <v>492</v>
      </c>
      <c r="AI64" s="192" t="s">
        <v>493</v>
      </c>
      <c r="AJ64" s="335"/>
      <c r="AK64" s="334"/>
      <c r="AL64" s="286"/>
      <c r="AM64" s="286"/>
      <c r="AN64" s="212"/>
      <c r="AO64" s="286"/>
      <c r="AP64" s="212"/>
      <c r="AQ64" s="286"/>
      <c r="AR64" s="286"/>
      <c r="AS64" s="286"/>
      <c r="AT64" s="286"/>
      <c r="AU64" s="286"/>
      <c r="AV64" s="286"/>
      <c r="AW64" s="203"/>
      <c r="AX64" s="286"/>
      <c r="AY64" s="286"/>
      <c r="AZ64" s="329"/>
    </row>
    <row r="65" spans="1:52" ht="20.100000000000001" customHeight="1" x14ac:dyDescent="0.2">
      <c r="A65" s="330">
        <f t="shared" ref="A65" si="22">A63+1</f>
        <v>25</v>
      </c>
      <c r="B65" s="330" t="s">
        <v>246</v>
      </c>
      <c r="C65" s="228">
        <v>1782</v>
      </c>
      <c r="D65" s="228" t="s">
        <v>65</v>
      </c>
      <c r="E65" s="191" t="s">
        <v>142</v>
      </c>
      <c r="F65" s="191" t="s">
        <v>142</v>
      </c>
      <c r="G65" s="191" t="s">
        <v>4</v>
      </c>
      <c r="H65" s="191" t="s">
        <v>4</v>
      </c>
      <c r="I65" s="191" t="s">
        <v>4</v>
      </c>
      <c r="J65" s="191" t="s">
        <v>4</v>
      </c>
      <c r="K65" s="191" t="s">
        <v>4</v>
      </c>
      <c r="L65" s="191" t="s">
        <v>142</v>
      </c>
      <c r="M65" s="191" t="s">
        <v>142</v>
      </c>
      <c r="N65" s="191" t="s">
        <v>4</v>
      </c>
      <c r="O65" s="191" t="s">
        <v>4</v>
      </c>
      <c r="P65" s="191" t="s">
        <v>4</v>
      </c>
      <c r="Q65" s="191" t="s">
        <v>4</v>
      </c>
      <c r="R65" s="191" t="s">
        <v>4</v>
      </c>
      <c r="S65" s="191" t="s">
        <v>142</v>
      </c>
      <c r="T65" s="191" t="s">
        <v>142</v>
      </c>
      <c r="U65" s="191" t="s">
        <v>4</v>
      </c>
      <c r="V65" s="191" t="s">
        <v>4</v>
      </c>
      <c r="W65" s="191" t="s">
        <v>4</v>
      </c>
      <c r="X65" s="191" t="s">
        <v>4</v>
      </c>
      <c r="Y65" s="191" t="s">
        <v>4</v>
      </c>
      <c r="Z65" s="191" t="s">
        <v>142</v>
      </c>
      <c r="AA65" s="191" t="s">
        <v>142</v>
      </c>
      <c r="AB65" s="191" t="s">
        <v>4</v>
      </c>
      <c r="AC65" s="191" t="s">
        <v>4</v>
      </c>
      <c r="AD65" s="191" t="s">
        <v>4</v>
      </c>
      <c r="AE65" s="191" t="s">
        <v>4</v>
      </c>
      <c r="AF65" s="191" t="s">
        <v>4</v>
      </c>
      <c r="AG65" s="191" t="s">
        <v>142</v>
      </c>
      <c r="AH65" s="191" t="s">
        <v>142</v>
      </c>
      <c r="AI65" s="191" t="s">
        <v>4</v>
      </c>
      <c r="AJ65" s="332">
        <f>IFERROR(COUNTIF(E65:AI65,"=Р")+COUNTIF(E65:AI65,"=Р1")+COUNTIF(E65:AI65,"=ВЧ")+COUNTIF(E65:AI65,"=РН")+COUNTIF(E65:AI65,"=Р2")+COUNTIF(E65:AI65,"=Р1/РВ")+COUNTIF(E65:AI65,"=Р2/РВ")+COUNTIF(E65:AI65,"=ВЧ/РВ")+COUNTIF(E65:AI65,"=РН/РВ"),0)</f>
        <v>21</v>
      </c>
      <c r="AK65" s="333">
        <f>IFERROR(SUMIF(E65:AI65,"=Р2",E66:AI66)+SUMIF(E65:AI65,"=ВЧ/РВ",E66:AI66)+SUMIF(E65:AI65,"=РН/РВ",E66:AI66)+SUMIF(E65:AI65,"=Р1/РВ",E66:AI66)+SUMIF(E65:AI65,"=ВЧ2/РВ",E66:AI66)+SUMIF(E65:AI65,"=Р2/РВ",E66:AI66)+SUMIF(E65:AI65,"=Р",E66:AI66)+SUMIF(E65:AI65,"=Р1",E66:AI66)+SUMIF(E65:AI65,"=ВЧ1",E66:AI66)+SUMIF(E65:AI65,"=РН",E66:AI66)+SUMIF(E65:AI65,"=ВЧ",E66:AI66),0)+AL65</f>
        <v>167.99999999999997</v>
      </c>
      <c r="AL65" s="211">
        <f>IFERROR(SUMIF(E65:AI65,"=НУ",E66:AI66),0)</f>
        <v>0</v>
      </c>
      <c r="AM65" s="211">
        <f>IFERROR(SUMIF(E65:AI65,"=РН",E66:AI66)+SUMIF(E65:AI65,"=РН/РВ",E66:AI66)+SUMIFS(E66:AI66,E65:AI65,"=Р2",E66:AI66,"=8"),0)</f>
        <v>0</v>
      </c>
      <c r="AN65" s="211">
        <f>IFERROR(SUMIF(E65:AI65,"=ВЧ",E66:AI66)+SUMIF(E65:AI65,"=ВЧ/РВ",E66:AI66)+CEILING(COUNTIFS(E65:AI65,"=Р2",E66:AI66,"=7")*4,1)+CEILING(COUNTIFS(E65:AI65,"=Р2/РВ",E66:AI66,"=7")*4,1)+SUMIFS(E66:AI66,E65:AI65,"=Р1/РВ",E66:AI66,"=12")/6+SUMIFS(E66:AI66,E65:AI65,"=ВЧ2/РВ",E66:AI66,"=4")/2+SUMIFS(E66:AI66,E65:AI65,"=Р1",E66:AI66,"=12")/6+SUMIFS(E66:AI66,E65:AI65,"=Р1",E66:AI66,"=8")/4+SUMIF(E65:AI65,"=ВЧ1",E66:AI66)/2,0)+CEILING(SUMIFS(E66:AI66,E65:AI65,"=Р",E66:AI66,"=13")/4,4)+CEILING(SUMIFS(E66:AI66,E65:AI65,"=Р",E66:AI66,"=14")/4,4)+CEILING(SUMIFS(E66:AI66,E65:AI65,"=Р",E66:AI66,"=15")/4,4)+SUMIFS(E66:AI66,E65:AI65,"=Р",E66:AI66,"=16")/4+CEILING(SUMIFS(E66:AI66,E65:AI65,"=Р1",E66:AI66,"=13")/4,4)+CEILING(SUMIFS(E66:AI66,E65:AI65,"=Р1",E66:AI66,"=14")/4,4)+CEILING(SUMIFS(E66:AI66,E65:AI65,"=Р1",E66:AI66,"=15")/4,4)+SUMIFS(E66:AI66,E65:AI65,"=Р1",E66:AI66,"=16")/4</f>
        <v>0</v>
      </c>
      <c r="AO65" s="211">
        <f>IFERROR(SUMIF(E65:AI65,"=РВ",E66:AI66)+SUMIF(E65:AI65,"=ВЧ/РВ",E66:AI66)+SUMIF(E65:AI65,"=РН/РВ",E66:AI66)+SUMIF(E65:AI65,"=Р1/РВ",E66:AI66)+SUMIF(E65:AI65,"=ВЧ2/РВ",E66:AI66)+SUMIF(E65:AI65,"=Р2/РВ",E66:AI66),0)</f>
        <v>0</v>
      </c>
      <c r="AP65" s="211">
        <f>IFERROR(COUNTIF(E65:AI65,"=ВВ")+COUNTIF(E65:AI65,"=Р1/ВВ")+COUNTIF(E65:AI65,"=РН/ВВ")+COUNTIF(E65:AI65,"=ВЧ/ВВ"),0)</f>
        <v>10</v>
      </c>
      <c r="AQ65" s="211">
        <f>SUM(AR65:AZ65)</f>
        <v>0</v>
      </c>
      <c r="AR65" s="211">
        <f>IFERROR(SUMIF(E65:AI65,"=В",E66:AI66)+SUMIF(E65:AI65,"=Ч",E66:AI66)+SUMIF(E65:AI65,"=ВБ",E66:AI66),0)</f>
        <v>0</v>
      </c>
      <c r="AS65" s="211">
        <f>IFERROR(SUMIF(E65:AI65,"=Н",E66:AI66),0)</f>
        <v>0</v>
      </c>
      <c r="AT65" s="211">
        <f>IFERROR(SUMIF(E65:AI65,"=НА",E66:AI66),0)</f>
        <v>0</v>
      </c>
      <c r="AU65" s="211">
        <f>IFERROR(SUMIF(E65:AI65,"=ВП",E66:AI66),0)</f>
        <v>0</v>
      </c>
      <c r="AV65" s="211">
        <f>IFERROR(SUMIF(E65:AI65,"=ДД",E66:AI66),0)</f>
        <v>0</v>
      </c>
      <c r="AW65" s="202">
        <f>IFERROR(SUMIF(E65:AI65,"=ДО",E66:AI66),0)</f>
        <v>0</v>
      </c>
      <c r="AX65" s="211">
        <f>IFERROR(SUMIF(E65:AI65,"=ТН",E66:AI66),0)</f>
        <v>0</v>
      </c>
      <c r="AY65" s="211">
        <f>IFERROR(SUMIF(E65:AI65,"=ВД",E66:AI66),0)</f>
        <v>0</v>
      </c>
      <c r="AZ65" s="312">
        <f>IFERROR(SUMIF(E65:AI65,"=ІН",E66:AI66),0)+SUMIF(E65:AI65,"=НЗ",E66:AI66)</f>
        <v>0</v>
      </c>
    </row>
    <row r="66" spans="1:52" ht="20.100000000000001" customHeight="1" thickBot="1" x14ac:dyDescent="0.25">
      <c r="A66" s="331"/>
      <c r="B66" s="331"/>
      <c r="C66" s="229"/>
      <c r="D66" s="229"/>
      <c r="E66" s="192"/>
      <c r="F66" s="192"/>
      <c r="G66" s="192">
        <v>8.1999999999999993</v>
      </c>
      <c r="H66" s="192">
        <v>8.1999999999999993</v>
      </c>
      <c r="I66" s="192">
        <v>8.1999999999999993</v>
      </c>
      <c r="J66" s="192">
        <v>8.1999999999999993</v>
      </c>
      <c r="K66" s="192">
        <v>7</v>
      </c>
      <c r="L66" s="192"/>
      <c r="M66" s="192"/>
      <c r="N66" s="192">
        <v>8.1999999999999993</v>
      </c>
      <c r="O66" s="192">
        <v>8.1999999999999993</v>
      </c>
      <c r="P66" s="192">
        <v>8.1999999999999993</v>
      </c>
      <c r="Q66" s="192">
        <v>8.1999999999999993</v>
      </c>
      <c r="R66" s="192">
        <v>7.2</v>
      </c>
      <c r="S66" s="192"/>
      <c r="T66" s="192"/>
      <c r="U66" s="192">
        <v>8.1999999999999993</v>
      </c>
      <c r="V66" s="192">
        <v>8.1999999999999993</v>
      </c>
      <c r="W66" s="192">
        <v>8.1999999999999993</v>
      </c>
      <c r="X66" s="192">
        <v>8.1999999999999993</v>
      </c>
      <c r="Y66" s="192">
        <v>7.2</v>
      </c>
      <c r="Z66" s="192"/>
      <c r="AA66" s="192"/>
      <c r="AB66" s="192">
        <v>8.1999999999999993</v>
      </c>
      <c r="AC66" s="192">
        <v>8.1999999999999993</v>
      </c>
      <c r="AD66" s="192">
        <v>8.1999999999999993</v>
      </c>
      <c r="AE66" s="192">
        <v>8.1999999999999993</v>
      </c>
      <c r="AF66" s="192">
        <v>7.2</v>
      </c>
      <c r="AG66" s="192"/>
      <c r="AH66" s="192"/>
      <c r="AI66" s="192">
        <v>8.1999999999999993</v>
      </c>
      <c r="AJ66" s="335"/>
      <c r="AK66" s="334"/>
      <c r="AL66" s="286"/>
      <c r="AM66" s="286"/>
      <c r="AN66" s="212"/>
      <c r="AO66" s="286"/>
      <c r="AP66" s="212"/>
      <c r="AQ66" s="286"/>
      <c r="AR66" s="286"/>
      <c r="AS66" s="286"/>
      <c r="AT66" s="286"/>
      <c r="AU66" s="286"/>
      <c r="AV66" s="286"/>
      <c r="AW66" s="203"/>
      <c r="AX66" s="286"/>
      <c r="AY66" s="286"/>
      <c r="AZ66" s="329"/>
    </row>
    <row r="67" spans="1:52" s="163" customFormat="1" ht="24" customHeight="1" x14ac:dyDescent="0.2">
      <c r="A67" s="330">
        <f t="shared" ref="A67" si="23">A65+1</f>
        <v>26</v>
      </c>
      <c r="B67" s="336" t="s">
        <v>395</v>
      </c>
      <c r="C67" s="228">
        <v>1140</v>
      </c>
      <c r="D67" s="228" t="s">
        <v>72</v>
      </c>
      <c r="E67" s="191" t="s">
        <v>4</v>
      </c>
      <c r="F67" s="191" t="s">
        <v>43</v>
      </c>
      <c r="G67" s="191" t="s">
        <v>142</v>
      </c>
      <c r="H67" s="191" t="s">
        <v>142</v>
      </c>
      <c r="I67" s="191" t="s">
        <v>4</v>
      </c>
      <c r="J67" s="191" t="s">
        <v>43</v>
      </c>
      <c r="K67" s="191" t="s">
        <v>142</v>
      </c>
      <c r="L67" s="191" t="s">
        <v>142</v>
      </c>
      <c r="M67" s="191" t="s">
        <v>4</v>
      </c>
      <c r="N67" s="191" t="s">
        <v>43</v>
      </c>
      <c r="O67" s="191" t="s">
        <v>142</v>
      </c>
      <c r="P67" s="191" t="s">
        <v>142</v>
      </c>
      <c r="Q67" s="191" t="s">
        <v>4</v>
      </c>
      <c r="R67" s="191" t="s">
        <v>43</v>
      </c>
      <c r="S67" s="191" t="s">
        <v>142</v>
      </c>
      <c r="T67" s="191" t="s">
        <v>142</v>
      </c>
      <c r="U67" s="191" t="s">
        <v>4</v>
      </c>
      <c r="V67" s="191" t="s">
        <v>43</v>
      </c>
      <c r="W67" s="191" t="s">
        <v>142</v>
      </c>
      <c r="X67" s="191" t="s">
        <v>142</v>
      </c>
      <c r="Y67" s="191" t="s">
        <v>4</v>
      </c>
      <c r="Z67" s="191" t="s">
        <v>43</v>
      </c>
      <c r="AA67" s="191" t="s">
        <v>142</v>
      </c>
      <c r="AB67" s="191" t="s">
        <v>142</v>
      </c>
      <c r="AC67" s="191" t="s">
        <v>4</v>
      </c>
      <c r="AD67" s="191" t="s">
        <v>43</v>
      </c>
      <c r="AE67" s="191" t="s">
        <v>142</v>
      </c>
      <c r="AF67" s="191" t="s">
        <v>142</v>
      </c>
      <c r="AG67" s="191"/>
      <c r="AH67" s="191"/>
      <c r="AI67" s="191"/>
      <c r="AJ67" s="332">
        <f>IFERROR(COUNTIF(E67:AI67,"=Р")+COUNTIF(E67:AI67,"=Р1")+COUNTIF(E67:AI67,"=ВЧ")+COUNTIF(E67:AI67,"=РН")+COUNTIF(E67:AI67,"=Р2")+COUNTIF(E67:AI67,"=Р1/РВ")+COUNTIF(E67:AI67,"=Р2/РВ")+COUNTIF(E67:AI67,"=ВЧ/РВ")+COUNTIF(E67:AI67,"=РН/РВ"),0)</f>
        <v>14</v>
      </c>
      <c r="AK67" s="333">
        <f>IFERROR(SUMIF(E67:AI67,"=Р2",E68:AI68)+SUMIF(E67:AI67,"=ВЧ/РВ",E68:AI68)+SUMIF(E67:AI67,"=РН/РВ",E68:AI68)+SUMIF(E67:AI67,"=Р1/РВ",E68:AI68)+SUMIF(E67:AI67,"=ВЧ2/РВ",E68:AI68)+SUMIF(E67:AI67,"=Р2/РВ",E68:AI68)+SUMIF(E67:AI67,"=Р",E68:AI68)+SUMIF(E67:AI67,"=Р1",E68:AI68)+SUMIF(E67:AI67,"=ВЧ1",E68:AI68)+SUMIF(E67:AI67,"=РН",E68:AI68)+SUMIF(E67:AI67,"=ВЧ",E68:AI68),0)+AL67</f>
        <v>164</v>
      </c>
      <c r="AL67" s="211">
        <f>IFERROR(SUMIF(E67:AI67,"=НУ",E68:AI68),0)</f>
        <v>0</v>
      </c>
      <c r="AM67" s="211">
        <f>IFERROR(SUMIF(E67:AI67,"=РН",E68:AI68)+SUMIF(E67:AI67,"=РН/РВ",E68:AI68)+SUMIFS(E68:AI68,E67:AI67,"=Р2",E68:AI68,"=8"),0)</f>
        <v>56</v>
      </c>
      <c r="AN67" s="211">
        <f>IFERROR(SUMIF(E67:AI67,"=ВЧ",E68:AI68)+SUMIF(E67:AI67,"=ВЧ/РВ",E68:AI68)+CEILING(COUNTIFS(E67:AI67,"=Р2",E68:AI68,"=7")*4,1)+CEILING(COUNTIFS(E67:AI67,"=Р2/РВ",E68:AI68,"=7")*4,1)+SUMIFS(E68:AI68,E67:AI67,"=Р1/РВ",E68:AI68,"=12")/6+SUMIFS(E68:AI68,E67:AI67,"=ВЧ2/РВ",E68:AI68,"=4")/2+SUMIFS(E68:AI68,E67:AI67,"=Р1",E68:AI68,"=12")/6+SUMIFS(E68:AI68,E67:AI67,"=Р1",E68:AI68,"=8")/4+SUMIF(E67:AI67,"=ВЧ1",E68:AI68)/2,0)+CEILING(SUMIFS(E68:AI68,E67:AI67,"=Р",E68:AI68,"=13")/4,4)+CEILING(SUMIFS(E68:AI68,E67:AI67,"=Р",E68:AI68,"=14")/4,4)+CEILING(SUMIFS(E68:AI68,E67:AI67,"=Р",E68:AI68,"=15")/4,4)+SUMIFS(E68:AI68,E67:AI67,"=Р",E68:AI68,"=16")/4+CEILING(SUMIFS(E68:AI68,E67:AI67,"=Р1",E68:AI68,"=13")/4,4)+CEILING(SUMIFS(E68:AI68,E67:AI67,"=Р1",E68:AI68,"=14")/4,4)+CEILING(SUMIFS(E68:AI68,E67:AI67,"=Р1",E68:AI68,"=15")/4,4)+SUMIFS(E68:AI68,E67:AI67,"=Р1",E68:AI68,"=16")/4</f>
        <v>28</v>
      </c>
      <c r="AO67" s="211">
        <f>IFERROR(SUMIF(E67:AI67,"=РВ",E68:AI68)+SUMIF(E67:AI67,"=ВЧ/РВ",E68:AI68)+SUMIF(E67:AI67,"=РН/РВ",E68:AI68)+SUMIF(E67:AI67,"=Р1/РВ",E68:AI68)+SUMIF(E67:AI67,"=ВЧ2/РВ",E68:AI68)+SUMIF(E67:AI67,"=Р2/РВ",E68:AI68),0)</f>
        <v>0</v>
      </c>
      <c r="AP67" s="211">
        <f>IFERROR(COUNTIF(E67:AI67,"=ВВ")+COUNTIF(E67:AI67,"=Р1/ВВ")+COUNTIF(E67:AI67,"=РН/ВВ")+COUNTIF(E67:AI67,"=ВЧ/ВВ"),0)</f>
        <v>14</v>
      </c>
      <c r="AQ67" s="211">
        <f>SUM(AR67:AZ67)</f>
        <v>0</v>
      </c>
      <c r="AR67" s="211">
        <f>IFERROR(SUMIF(E67:AI67,"=В",E68:AI68)+SUMIF(E67:AI67,"=Ч",E68:AI68)+SUMIF(E67:AI67,"=ВБ",E68:AI68),0)</f>
        <v>0</v>
      </c>
      <c r="AS67" s="211">
        <f>IFERROR(SUMIF(E67:AI67,"=Н",E68:AI68),0)</f>
        <v>0</v>
      </c>
      <c r="AT67" s="211">
        <f>IFERROR(SUMIF(E67:AI67,"=НА",E68:AI68),0)</f>
        <v>0</v>
      </c>
      <c r="AU67" s="211">
        <f>IFERROR(SUMIF(E67:AI67,"=ВП",E68:AI68),0)</f>
        <v>0</v>
      </c>
      <c r="AV67" s="211">
        <f>IFERROR(SUMIF(E67:AI67,"=ДД",E68:AI68),0)</f>
        <v>0</v>
      </c>
      <c r="AW67" s="202">
        <f>IFERROR(SUMIF(E67:AI67,"=ДО",E68:AI68),0)</f>
        <v>0</v>
      </c>
      <c r="AX67" s="211">
        <f>IFERROR(SUMIF(E67:AI67,"=ТН",E68:AI68),0)</f>
        <v>0</v>
      </c>
      <c r="AY67" s="211">
        <f>IFERROR(SUMIF(E67:AI67,"=ВД",E68:AI68),0)</f>
        <v>0</v>
      </c>
      <c r="AZ67" s="312">
        <f>IFERROR(SUMIF(E67:AI67,"=ІН",E68:AI68),0)+SUMIF(E67:AI67,"=НЗ",E68:AI68)</f>
        <v>0</v>
      </c>
    </row>
    <row r="68" spans="1:52" s="163" customFormat="1" ht="19.5" customHeight="1" thickBot="1" x14ac:dyDescent="0.25">
      <c r="A68" s="331"/>
      <c r="B68" s="331"/>
      <c r="C68" s="337"/>
      <c r="D68" s="337"/>
      <c r="E68" s="192">
        <v>13</v>
      </c>
      <c r="F68" s="192">
        <v>8</v>
      </c>
      <c r="G68" s="192"/>
      <c r="H68" s="192"/>
      <c r="I68" s="192">
        <v>15</v>
      </c>
      <c r="J68" s="192">
        <v>8</v>
      </c>
      <c r="K68" s="192"/>
      <c r="L68" s="192"/>
      <c r="M68" s="192">
        <v>16</v>
      </c>
      <c r="N68" s="192">
        <v>8</v>
      </c>
      <c r="O68" s="192"/>
      <c r="P68" s="192"/>
      <c r="Q68" s="192">
        <v>16</v>
      </c>
      <c r="R68" s="192">
        <v>8</v>
      </c>
      <c r="S68" s="192"/>
      <c r="T68" s="192"/>
      <c r="U68" s="192">
        <v>16</v>
      </c>
      <c r="V68" s="192">
        <v>8</v>
      </c>
      <c r="W68" s="192"/>
      <c r="X68" s="192"/>
      <c r="Y68" s="192">
        <v>16</v>
      </c>
      <c r="Z68" s="192">
        <v>8</v>
      </c>
      <c r="AA68" s="192"/>
      <c r="AB68" s="192"/>
      <c r="AC68" s="192">
        <v>16</v>
      </c>
      <c r="AD68" s="192">
        <v>8</v>
      </c>
      <c r="AE68" s="192"/>
      <c r="AF68" s="192"/>
      <c r="AG68" s="192" t="s">
        <v>491</v>
      </c>
      <c r="AH68" s="192" t="s">
        <v>492</v>
      </c>
      <c r="AI68" s="192" t="s">
        <v>493</v>
      </c>
      <c r="AJ68" s="335"/>
      <c r="AK68" s="334"/>
      <c r="AL68" s="286"/>
      <c r="AM68" s="286"/>
      <c r="AN68" s="212"/>
      <c r="AO68" s="286"/>
      <c r="AP68" s="212"/>
      <c r="AQ68" s="286"/>
      <c r="AR68" s="286"/>
      <c r="AS68" s="286"/>
      <c r="AT68" s="286"/>
      <c r="AU68" s="286"/>
      <c r="AV68" s="286"/>
      <c r="AW68" s="203"/>
      <c r="AX68" s="286"/>
      <c r="AY68" s="286"/>
      <c r="AZ68" s="329"/>
    </row>
    <row r="69" spans="1:52" ht="22.5" customHeight="1" x14ac:dyDescent="0.2">
      <c r="A69" s="330">
        <f t="shared" ref="A69" si="24">A67+1</f>
        <v>27</v>
      </c>
      <c r="B69" s="330" t="s">
        <v>247</v>
      </c>
      <c r="C69" s="228">
        <v>1416</v>
      </c>
      <c r="D69" s="228" t="s">
        <v>72</v>
      </c>
      <c r="E69" s="191" t="s">
        <v>142</v>
      </c>
      <c r="F69" s="191" t="s">
        <v>142</v>
      </c>
      <c r="G69" s="191" t="s">
        <v>52</v>
      </c>
      <c r="H69" s="191" t="s">
        <v>52</v>
      </c>
      <c r="I69" s="191" t="s">
        <v>52</v>
      </c>
      <c r="J69" s="191" t="s">
        <v>52</v>
      </c>
      <c r="K69" s="191" t="s">
        <v>52</v>
      </c>
      <c r="L69" s="191" t="s">
        <v>142</v>
      </c>
      <c r="M69" s="191" t="s">
        <v>142</v>
      </c>
      <c r="N69" s="191" t="s">
        <v>4</v>
      </c>
      <c r="O69" s="191" t="s">
        <v>4</v>
      </c>
      <c r="P69" s="191" t="s">
        <v>4</v>
      </c>
      <c r="Q69" s="191" t="s">
        <v>4</v>
      </c>
      <c r="R69" s="191" t="s">
        <v>4</v>
      </c>
      <c r="S69" s="191" t="s">
        <v>142</v>
      </c>
      <c r="T69" s="191" t="s">
        <v>142</v>
      </c>
      <c r="U69" s="191" t="s">
        <v>4</v>
      </c>
      <c r="V69" s="191" t="s">
        <v>4</v>
      </c>
      <c r="W69" s="191" t="s">
        <v>4</v>
      </c>
      <c r="X69" s="191" t="s">
        <v>4</v>
      </c>
      <c r="Y69" s="191" t="s">
        <v>4</v>
      </c>
      <c r="Z69" s="191" t="s">
        <v>142</v>
      </c>
      <c r="AA69" s="191" t="s">
        <v>142</v>
      </c>
      <c r="AB69" s="191" t="s">
        <v>4</v>
      </c>
      <c r="AC69" s="191" t="s">
        <v>4</v>
      </c>
      <c r="AD69" s="191" t="s">
        <v>4</v>
      </c>
      <c r="AE69" s="191" t="s">
        <v>4</v>
      </c>
      <c r="AF69" s="191" t="s">
        <v>4</v>
      </c>
      <c r="AG69" s="191" t="s">
        <v>142</v>
      </c>
      <c r="AH69" s="191" t="s">
        <v>142</v>
      </c>
      <c r="AI69" s="191" t="s">
        <v>4</v>
      </c>
      <c r="AJ69" s="332">
        <f>IFERROR(COUNTIF(E69:AI69,"=Р")+COUNTIF(E69:AI69,"=Р1")+COUNTIF(E69:AI69,"=ВЧ")+COUNTIF(E69:AI69,"=РН")+COUNTIF(E69:AI69,"=Р2")+COUNTIF(E69:AI69,"=Р1/РВ")+COUNTIF(E69:AI69,"=Р2/РВ")+COUNTIF(E69:AI69,"=ВЧ/РВ")+COUNTIF(E69:AI69,"=РН/РВ"),0)</f>
        <v>16</v>
      </c>
      <c r="AK69" s="333">
        <f>IFERROR(SUMIF(E69:AI69,"=Р2",E70:AI70)+SUMIF(E69:AI69,"=ВЧ/РВ",E70:AI70)+SUMIF(E69:AI69,"=РН/РВ",E70:AI70)+SUMIF(E69:AI69,"=Р1/РВ",E70:AI70)+SUMIF(E69:AI69,"=ВЧ2/РВ",E70:AI70)+SUMIF(E69:AI69,"=Р2/РВ",E70:AI70)+SUMIF(E69:AI69,"=Р",E70:AI70)+SUMIF(E69:AI69,"=Р1",E70:AI70)+SUMIF(E69:AI69,"=ВЧ1",E70:AI70)+SUMIF(E69:AI69,"=РН",E70:AI70)+SUMIF(E69:AI69,"=ВЧ",E70:AI70),0)+AL69</f>
        <v>128.20000000000002</v>
      </c>
      <c r="AL69" s="211">
        <f>IFERROR(SUMIF(E69:AI69,"=НУ",E70:AI70),0)</f>
        <v>0</v>
      </c>
      <c r="AM69" s="211">
        <f>IFERROR(SUMIF(E69:AI69,"=РН",E70:AI70)+SUMIF(E69:AI69,"=РН/РВ",E70:AI70)+SUMIFS(E70:AI70,E69:AI69,"=Р2",E70:AI70,"=8"),0)</f>
        <v>0</v>
      </c>
      <c r="AN69" s="211">
        <f>IFERROR(SUMIF(E69:AI69,"=ВЧ",E70:AI70)+SUMIF(E69:AI69,"=ВЧ/РВ",E70:AI70)+CEILING(COUNTIFS(E69:AI69,"=Р2",E70:AI70,"=7")*4,1)+CEILING(COUNTIFS(E69:AI69,"=Р2/РВ",E70:AI70,"=7")*4,1)+SUMIFS(E70:AI70,E69:AI69,"=Р1/РВ",E70:AI70,"=12")/6+SUMIFS(E70:AI70,E69:AI69,"=ВЧ2/РВ",E70:AI70,"=4")/2+SUMIFS(E70:AI70,E69:AI69,"=Р1",E70:AI70,"=12")/6+SUMIFS(E70:AI70,E69:AI69,"=Р1",E70:AI70,"=8")/4+SUMIF(E69:AI69,"=ВЧ1",E70:AI70)/2,0)+CEILING(SUMIFS(E70:AI70,E69:AI69,"=Р",E70:AI70,"=13")/4,4)+CEILING(SUMIFS(E70:AI70,E69:AI69,"=Р",E70:AI70,"=14")/4,4)+CEILING(SUMIFS(E70:AI70,E69:AI69,"=Р",E70:AI70,"=15")/4,4)+SUMIFS(E70:AI70,E69:AI69,"=Р",E70:AI70,"=16")/4+CEILING(SUMIFS(E70:AI70,E69:AI69,"=Р1",E70:AI70,"=13")/4,4)+CEILING(SUMIFS(E70:AI70,E69:AI69,"=Р1",E70:AI70,"=14")/4,4)+CEILING(SUMIFS(E70:AI70,E69:AI69,"=Р1",E70:AI70,"=15")/4,4)+SUMIFS(E70:AI70,E69:AI69,"=Р1",E70:AI70,"=16")/4</f>
        <v>0</v>
      </c>
      <c r="AO69" s="211">
        <f>IFERROR(SUMIF(E69:AI69,"=РВ",E70:AI70)+SUMIF(E69:AI69,"=ВЧ/РВ",E70:AI70)+SUMIF(E69:AI69,"=РН/РВ",E70:AI70)+SUMIF(E69:AI69,"=Р1/РВ",E70:AI70)+SUMIF(E69:AI69,"=ВЧ2/РВ",E70:AI70)+SUMIF(E69:AI69,"=Р2/РВ",E70:AI70),0)</f>
        <v>0</v>
      </c>
      <c r="AP69" s="211">
        <f>IFERROR(COUNTIF(E69:AI69,"=ВВ")+COUNTIF(E69:AI69,"=Р1/ВВ")+COUNTIF(E69:AI69,"=РН/ВВ")+COUNTIF(E69:AI69,"=ВЧ/ВВ"),0)</f>
        <v>10</v>
      </c>
      <c r="AQ69" s="211">
        <f>SUM(AR69:AZ69)</f>
        <v>39.799999999999997</v>
      </c>
      <c r="AR69" s="211">
        <f>IFERROR(SUMIF(E69:AI69,"=В",E70:AI70)+SUMIF(E69:AI69,"=Ч",E70:AI70)+SUMIF(E69:AI69,"=ВБ",E70:AI70),0)</f>
        <v>0</v>
      </c>
      <c r="AS69" s="211">
        <f>IFERROR(SUMIF(E69:AI69,"=Н",E70:AI70),0)</f>
        <v>0</v>
      </c>
      <c r="AT69" s="211">
        <f>IFERROR(SUMIF(E69:AI69,"=НА",E70:AI70),0)</f>
        <v>0</v>
      </c>
      <c r="AU69" s="211">
        <f>IFERROR(SUMIF(E69:AI69,"=ВП",E70:AI70),0)</f>
        <v>0</v>
      </c>
      <c r="AV69" s="211">
        <f>IFERROR(SUMIF(E69:AI69,"=ДД",E70:AI70),0)</f>
        <v>0</v>
      </c>
      <c r="AW69" s="202">
        <f>IFERROR(SUMIF(E69:AI69,"=ДО",E70:AI70),0)</f>
        <v>0</v>
      </c>
      <c r="AX69" s="211">
        <f>IFERROR(SUMIF(E69:AI69,"=ТН",E70:AI70),0)</f>
        <v>39.799999999999997</v>
      </c>
      <c r="AY69" s="211">
        <f>IFERROR(SUMIF(E69:AI69,"=ВД",E70:AI70),0)</f>
        <v>0</v>
      </c>
      <c r="AZ69" s="312">
        <f>IFERROR(SUMIF(E69:AI69,"=ІН",E70:AI70),0)+SUMIF(E69:AI69,"=НЗ",E70:AI70)</f>
        <v>0</v>
      </c>
    </row>
    <row r="70" spans="1:52" ht="20.100000000000001" customHeight="1" thickBot="1" x14ac:dyDescent="0.25">
      <c r="A70" s="331"/>
      <c r="B70" s="331"/>
      <c r="C70" s="229"/>
      <c r="D70" s="229"/>
      <c r="E70" s="192"/>
      <c r="F70" s="192"/>
      <c r="G70" s="192">
        <v>8.1999999999999993</v>
      </c>
      <c r="H70" s="192">
        <v>8.1999999999999993</v>
      </c>
      <c r="I70" s="192">
        <v>8.1999999999999993</v>
      </c>
      <c r="J70" s="192">
        <v>8.1999999999999993</v>
      </c>
      <c r="K70" s="192">
        <v>7</v>
      </c>
      <c r="L70" s="192"/>
      <c r="M70" s="192"/>
      <c r="N70" s="192">
        <v>8.1999999999999993</v>
      </c>
      <c r="O70" s="192">
        <v>8.1999999999999993</v>
      </c>
      <c r="P70" s="192">
        <v>8.1999999999999993</v>
      </c>
      <c r="Q70" s="192">
        <v>8.1999999999999993</v>
      </c>
      <c r="R70" s="192">
        <v>7.2</v>
      </c>
      <c r="S70" s="192"/>
      <c r="T70" s="192"/>
      <c r="U70" s="192">
        <v>8.1999999999999993</v>
      </c>
      <c r="V70" s="192">
        <v>8.1999999999999993</v>
      </c>
      <c r="W70" s="192">
        <v>8.1999999999999993</v>
      </c>
      <c r="X70" s="192">
        <v>8.1999999999999993</v>
      </c>
      <c r="Y70" s="192">
        <v>7.2</v>
      </c>
      <c r="Z70" s="192"/>
      <c r="AA70" s="192"/>
      <c r="AB70" s="192">
        <v>8.1999999999999993</v>
      </c>
      <c r="AC70" s="192">
        <v>8.1999999999999993</v>
      </c>
      <c r="AD70" s="192">
        <v>8.1999999999999993</v>
      </c>
      <c r="AE70" s="192">
        <v>8.1999999999999993</v>
      </c>
      <c r="AF70" s="192">
        <v>7.2</v>
      </c>
      <c r="AG70" s="192"/>
      <c r="AH70" s="192"/>
      <c r="AI70" s="192">
        <v>8.1999999999999993</v>
      </c>
      <c r="AJ70" s="335"/>
      <c r="AK70" s="334"/>
      <c r="AL70" s="286"/>
      <c r="AM70" s="286"/>
      <c r="AN70" s="212"/>
      <c r="AO70" s="286"/>
      <c r="AP70" s="212"/>
      <c r="AQ70" s="286"/>
      <c r="AR70" s="286"/>
      <c r="AS70" s="286"/>
      <c r="AT70" s="286"/>
      <c r="AU70" s="286"/>
      <c r="AV70" s="286"/>
      <c r="AW70" s="203"/>
      <c r="AX70" s="286"/>
      <c r="AY70" s="286"/>
      <c r="AZ70" s="329"/>
    </row>
    <row r="71" spans="1:52" s="163" customFormat="1" ht="24" customHeight="1" x14ac:dyDescent="0.2">
      <c r="A71" s="330">
        <f t="shared" ref="A71" si="25">A69+1</f>
        <v>28</v>
      </c>
      <c r="B71" s="336" t="s">
        <v>396</v>
      </c>
      <c r="C71" s="228">
        <v>1775</v>
      </c>
      <c r="D71" s="228" t="s">
        <v>72</v>
      </c>
      <c r="E71" s="191" t="s">
        <v>142</v>
      </c>
      <c r="F71" s="191" t="s">
        <v>142</v>
      </c>
      <c r="G71" s="191" t="s">
        <v>4</v>
      </c>
      <c r="H71" s="191" t="s">
        <v>43</v>
      </c>
      <c r="I71" s="191" t="s">
        <v>142</v>
      </c>
      <c r="J71" s="191" t="s">
        <v>142</v>
      </c>
      <c r="K71" s="191" t="s">
        <v>4</v>
      </c>
      <c r="L71" s="191" t="s">
        <v>43</v>
      </c>
      <c r="M71" s="191" t="s">
        <v>142</v>
      </c>
      <c r="N71" s="191" t="s">
        <v>142</v>
      </c>
      <c r="O71" s="191" t="s">
        <v>4</v>
      </c>
      <c r="P71" s="191" t="s">
        <v>43</v>
      </c>
      <c r="Q71" s="191" t="s">
        <v>142</v>
      </c>
      <c r="R71" s="191" t="s">
        <v>142</v>
      </c>
      <c r="S71" s="191" t="s">
        <v>4</v>
      </c>
      <c r="T71" s="191" t="s">
        <v>43</v>
      </c>
      <c r="U71" s="191" t="s">
        <v>142</v>
      </c>
      <c r="V71" s="191" t="s">
        <v>142</v>
      </c>
      <c r="W71" s="191" t="s">
        <v>4</v>
      </c>
      <c r="X71" s="191" t="s">
        <v>43</v>
      </c>
      <c r="Y71" s="191" t="s">
        <v>142</v>
      </c>
      <c r="Z71" s="191" t="s">
        <v>142</v>
      </c>
      <c r="AA71" s="191" t="s">
        <v>4</v>
      </c>
      <c r="AB71" s="191" t="s">
        <v>43</v>
      </c>
      <c r="AC71" s="191" t="s">
        <v>142</v>
      </c>
      <c r="AD71" s="191" t="s">
        <v>142</v>
      </c>
      <c r="AE71" s="191" t="s">
        <v>4</v>
      </c>
      <c r="AF71" s="191" t="s">
        <v>43</v>
      </c>
      <c r="AG71" s="191"/>
      <c r="AH71" s="191"/>
      <c r="AI71" s="191"/>
      <c r="AJ71" s="332">
        <f>IFERROR(COUNTIF(E71:AI71,"=Р")+COUNTIF(E71:AI71,"=Р1")+COUNTIF(E71:AI71,"=ВЧ")+COUNTIF(E71:AI71,"=РН")+COUNTIF(E71:AI71,"=Р2")+COUNTIF(E71:AI71,"=Р1/РВ")+COUNTIF(E71:AI71,"=Р2/РВ")+COUNTIF(E71:AI71,"=ВЧ/РВ")+COUNTIF(E71:AI71,"=РН/РВ"),0)</f>
        <v>14</v>
      </c>
      <c r="AK71" s="333">
        <f>IFERROR(SUMIF(E71:AI71,"=Р2",E72:AI72)+SUMIF(E71:AI71,"=ВЧ/РВ",E72:AI72)+SUMIF(E71:AI71,"=РН/РВ",E72:AI72)+SUMIF(E71:AI71,"=Р1/РВ",E72:AI72)+SUMIF(E71:AI71,"=ВЧ2/РВ",E72:AI72)+SUMIF(E71:AI71,"=Р2/РВ",E72:AI72)+SUMIF(E71:AI71,"=Р",E72:AI72)+SUMIF(E71:AI71,"=Р1",E72:AI72)+SUMIF(E71:AI71,"=ВЧ1",E72:AI72)+SUMIF(E71:AI71,"=РН",E72:AI72)+SUMIF(E71:AI71,"=ВЧ",E72:AI72),0)+AL71</f>
        <v>164</v>
      </c>
      <c r="AL71" s="211">
        <f>IFERROR(SUMIF(E71:AI71,"=НУ",E72:AI72),0)</f>
        <v>0</v>
      </c>
      <c r="AM71" s="211">
        <f>IFERROR(SUMIF(E71:AI71,"=РН",E72:AI72)+SUMIF(E71:AI71,"=РН/РВ",E72:AI72)+SUMIFS(E72:AI72,E71:AI71,"=Р2",E72:AI72,"=8"),0)</f>
        <v>56</v>
      </c>
      <c r="AN71" s="211">
        <f>IFERROR(SUMIF(E71:AI71,"=ВЧ",E72:AI72)+SUMIF(E71:AI71,"=ВЧ/РВ",E72:AI72)+CEILING(COUNTIFS(E71:AI71,"=Р2",E72:AI72,"=7")*4,1)+CEILING(COUNTIFS(E71:AI71,"=Р2/РВ",E72:AI72,"=7")*4,1)+SUMIFS(E72:AI72,E71:AI71,"=Р1/РВ",E72:AI72,"=12")/6+SUMIFS(E72:AI72,E71:AI71,"=ВЧ2/РВ",E72:AI72,"=4")/2+SUMIFS(E72:AI72,E71:AI71,"=Р1",E72:AI72,"=12")/6+SUMIFS(E72:AI72,E71:AI71,"=Р1",E72:AI72,"=8")/4+SUMIF(E71:AI71,"=ВЧ1",E72:AI72)/2,0)+CEILING(SUMIFS(E72:AI72,E71:AI71,"=Р",E72:AI72,"=13")/4,4)+CEILING(SUMIFS(E72:AI72,E71:AI71,"=Р",E72:AI72,"=14")/4,4)+CEILING(SUMIFS(E72:AI72,E71:AI71,"=Р",E72:AI72,"=15")/4,4)+SUMIFS(E72:AI72,E71:AI71,"=Р",E72:AI72,"=16")/4+CEILING(SUMIFS(E72:AI72,E71:AI71,"=Р1",E72:AI72,"=13")/4,4)+CEILING(SUMIFS(E72:AI72,E71:AI71,"=Р1",E72:AI72,"=14")/4,4)+CEILING(SUMIFS(E72:AI72,E71:AI71,"=Р1",E72:AI72,"=15")/4,4)+SUMIFS(E72:AI72,E71:AI71,"=Р1",E72:AI72,"=16")/4</f>
        <v>28</v>
      </c>
      <c r="AO71" s="211">
        <f>IFERROR(SUMIF(E71:AI71,"=РВ",E72:AI72)+SUMIF(E71:AI71,"=ВЧ/РВ",E72:AI72)+SUMIF(E71:AI71,"=РН/РВ",E72:AI72)+SUMIF(E71:AI71,"=Р1/РВ",E72:AI72)+SUMIF(E71:AI71,"=ВЧ2/РВ",E72:AI72)+SUMIF(E71:AI71,"=Р2/РВ",E72:AI72),0)</f>
        <v>0</v>
      </c>
      <c r="AP71" s="211">
        <f>IFERROR(COUNTIF(E71:AI71,"=ВВ")+COUNTIF(E71:AI71,"=Р1/ВВ")+COUNTIF(E71:AI71,"=РН/ВВ")+COUNTIF(E71:AI71,"=ВЧ/ВВ"),0)</f>
        <v>14</v>
      </c>
      <c r="AQ71" s="211">
        <f>SUM(AR71:AZ71)</f>
        <v>0</v>
      </c>
      <c r="AR71" s="211">
        <f>IFERROR(SUMIF(E71:AI71,"=В",E72:AI72)+SUMIF(E71:AI71,"=Ч",E72:AI72)+SUMIF(E71:AI71,"=ВБ",E72:AI72),0)</f>
        <v>0</v>
      </c>
      <c r="AS71" s="211">
        <f>IFERROR(SUMIF(E71:AI71,"=Н",E72:AI72),0)</f>
        <v>0</v>
      </c>
      <c r="AT71" s="211">
        <f>IFERROR(SUMIF(E71:AI71,"=НА",E72:AI72),0)</f>
        <v>0</v>
      </c>
      <c r="AU71" s="211">
        <f>IFERROR(SUMIF(E71:AI71,"=ВП",E72:AI72),0)</f>
        <v>0</v>
      </c>
      <c r="AV71" s="211">
        <f>IFERROR(SUMIF(E71:AI71,"=ДД",E72:AI72),0)</f>
        <v>0</v>
      </c>
      <c r="AW71" s="202">
        <f>IFERROR(SUMIF(E71:AI71,"=ДО",E72:AI72),0)</f>
        <v>0</v>
      </c>
      <c r="AX71" s="211">
        <f>IFERROR(SUMIF(E71:AI71,"=ТН",E72:AI72),0)</f>
        <v>0</v>
      </c>
      <c r="AY71" s="211">
        <f>IFERROR(SUMIF(E71:AI71,"=ВД",E72:AI72),0)</f>
        <v>0</v>
      </c>
      <c r="AZ71" s="312">
        <f>IFERROR(SUMIF(E71:AI71,"=ІН",E72:AI72),0)+SUMIF(E71:AI71,"=НЗ",E72:AI72)</f>
        <v>0</v>
      </c>
    </row>
    <row r="72" spans="1:52" s="163" customFormat="1" ht="19.5" customHeight="1" thickBot="1" x14ac:dyDescent="0.25">
      <c r="A72" s="331"/>
      <c r="B72" s="331"/>
      <c r="C72" s="337"/>
      <c r="D72" s="337"/>
      <c r="E72" s="192"/>
      <c r="F72" s="192"/>
      <c r="G72" s="192">
        <v>15</v>
      </c>
      <c r="H72" s="192">
        <v>8</v>
      </c>
      <c r="I72" s="192"/>
      <c r="J72" s="192"/>
      <c r="K72" s="192">
        <v>13</v>
      </c>
      <c r="L72" s="192">
        <v>8</v>
      </c>
      <c r="M72" s="192"/>
      <c r="N72" s="192"/>
      <c r="O72" s="192">
        <v>16</v>
      </c>
      <c r="P72" s="192">
        <v>8</v>
      </c>
      <c r="Q72" s="192"/>
      <c r="R72" s="192"/>
      <c r="S72" s="192">
        <v>16</v>
      </c>
      <c r="T72" s="192">
        <v>8</v>
      </c>
      <c r="U72" s="192"/>
      <c r="V72" s="192"/>
      <c r="W72" s="192">
        <v>16</v>
      </c>
      <c r="X72" s="192">
        <v>8</v>
      </c>
      <c r="Y72" s="192"/>
      <c r="Z72" s="192"/>
      <c r="AA72" s="192">
        <v>16</v>
      </c>
      <c r="AB72" s="192">
        <v>8</v>
      </c>
      <c r="AC72" s="192"/>
      <c r="AD72" s="192"/>
      <c r="AE72" s="192">
        <v>16</v>
      </c>
      <c r="AF72" s="192">
        <v>8</v>
      </c>
      <c r="AG72" s="192" t="s">
        <v>491</v>
      </c>
      <c r="AH72" s="192" t="s">
        <v>492</v>
      </c>
      <c r="AI72" s="192" t="s">
        <v>493</v>
      </c>
      <c r="AJ72" s="335"/>
      <c r="AK72" s="334"/>
      <c r="AL72" s="286"/>
      <c r="AM72" s="286"/>
      <c r="AN72" s="212"/>
      <c r="AO72" s="286"/>
      <c r="AP72" s="212"/>
      <c r="AQ72" s="286"/>
      <c r="AR72" s="286"/>
      <c r="AS72" s="286"/>
      <c r="AT72" s="286"/>
      <c r="AU72" s="286"/>
      <c r="AV72" s="286"/>
      <c r="AW72" s="203"/>
      <c r="AX72" s="286"/>
      <c r="AY72" s="286"/>
      <c r="AZ72" s="329"/>
    </row>
    <row r="73" spans="1:52" ht="20.25" customHeight="1" x14ac:dyDescent="0.2">
      <c r="A73" s="330">
        <f t="shared" ref="A73" si="26">A71+1</f>
        <v>29</v>
      </c>
      <c r="B73" s="330" t="s">
        <v>460</v>
      </c>
      <c r="C73" s="228">
        <v>2195</v>
      </c>
      <c r="D73" s="228" t="s">
        <v>65</v>
      </c>
      <c r="E73" s="191" t="s">
        <v>142</v>
      </c>
      <c r="F73" s="191" t="s">
        <v>142</v>
      </c>
      <c r="G73" s="191" t="s">
        <v>4</v>
      </c>
      <c r="H73" s="191" t="s">
        <v>4</v>
      </c>
      <c r="I73" s="191" t="s">
        <v>4</v>
      </c>
      <c r="J73" s="191" t="s">
        <v>4</v>
      </c>
      <c r="K73" s="191" t="s">
        <v>4</v>
      </c>
      <c r="L73" s="191" t="s">
        <v>142</v>
      </c>
      <c r="M73" s="191" t="s">
        <v>142</v>
      </c>
      <c r="N73" s="191" t="s">
        <v>4</v>
      </c>
      <c r="O73" s="191" t="s">
        <v>4</v>
      </c>
      <c r="P73" s="191" t="s">
        <v>4</v>
      </c>
      <c r="Q73" s="191" t="s">
        <v>4</v>
      </c>
      <c r="R73" s="191" t="s">
        <v>4</v>
      </c>
      <c r="S73" s="191" t="s">
        <v>142</v>
      </c>
      <c r="T73" s="191" t="s">
        <v>142</v>
      </c>
      <c r="U73" s="191" t="s">
        <v>4</v>
      </c>
      <c r="V73" s="191" t="s">
        <v>4</v>
      </c>
      <c r="W73" s="191" t="s">
        <v>4</v>
      </c>
      <c r="X73" s="191" t="s">
        <v>4</v>
      </c>
      <c r="Y73" s="191" t="s">
        <v>4</v>
      </c>
      <c r="Z73" s="191" t="s">
        <v>142</v>
      </c>
      <c r="AA73" s="191" t="s">
        <v>142</v>
      </c>
      <c r="AB73" s="191" t="s">
        <v>4</v>
      </c>
      <c r="AC73" s="191" t="s">
        <v>4</v>
      </c>
      <c r="AD73" s="191" t="s">
        <v>4</v>
      </c>
      <c r="AE73" s="191" t="s">
        <v>4</v>
      </c>
      <c r="AF73" s="191" t="s">
        <v>4</v>
      </c>
      <c r="AG73" s="191" t="s">
        <v>142</v>
      </c>
      <c r="AH73" s="191" t="s">
        <v>142</v>
      </c>
      <c r="AI73" s="191" t="s">
        <v>4</v>
      </c>
      <c r="AJ73" s="332">
        <f>IFERROR(COUNTIF(E73:AI73,"=Р")+COUNTIF(E73:AI73,"=Р1")+COUNTIF(E73:AI73,"=ВЧ")+COUNTIF(E73:AI73,"=РН")+COUNTIF(E73:AI73,"=Р2")+COUNTIF(E73:AI73,"=Р1/РВ")+COUNTIF(E73:AI73,"=Р2/РВ")+COUNTIF(E73:AI73,"=ВЧ/РВ")+COUNTIF(E73:AI73,"=РН/РВ"),0)</f>
        <v>21</v>
      </c>
      <c r="AK73" s="333">
        <f>IFERROR(SUMIF(E73:AI73,"=Р2",E74:AI74)+SUMIF(E73:AI73,"=ВЧ/РВ",E74:AI74)+SUMIF(E73:AI73,"=РН/РВ",E74:AI74)+SUMIF(E73:AI73,"=Р1/РВ",E74:AI74)+SUMIF(E73:AI73,"=ВЧ2/РВ",E74:AI74)+SUMIF(E73:AI73,"=Р2/РВ",E74:AI74)+SUMIF(E73:AI73,"=Р",E74:AI74)+SUMIF(E73:AI73,"=Р1",E74:AI74)+SUMIF(E73:AI73,"=ВЧ1",E74:AI74)+SUMIF(E73:AI73,"=РН",E74:AI74)+SUMIF(E73:AI73,"=ВЧ",E74:AI74),0)+AL73</f>
        <v>167.99999999999997</v>
      </c>
      <c r="AL73" s="211">
        <f>IFERROR(SUMIF(E73:AI73,"=НУ",E74:AI74),0)</f>
        <v>0</v>
      </c>
      <c r="AM73" s="211">
        <f>IFERROR(SUMIF(E73:AI73,"=РН",E74:AI74)+SUMIF(E73:AI73,"=РН/РВ",E74:AI74)+SUMIFS(E74:AI74,E73:AI73,"=Р2",E74:AI74,"=8"),0)</f>
        <v>0</v>
      </c>
      <c r="AN73" s="211">
        <f>IFERROR(SUMIF(E73:AI73,"=ВЧ",E74:AI74)+SUMIF(E73:AI73,"=ВЧ/РВ",E74:AI74)+CEILING(COUNTIFS(E73:AI73,"=Р2",E74:AI74,"=7")*4,1)+CEILING(COUNTIFS(E73:AI73,"=Р2/РВ",E74:AI74,"=7")*4,1)+SUMIFS(E74:AI74,E73:AI73,"=Р1/РВ",E74:AI74,"=12")/6+SUMIFS(E74:AI74,E73:AI73,"=ВЧ2/РВ",E74:AI74,"=4")/2+SUMIFS(E74:AI74,E73:AI73,"=Р1",E74:AI74,"=12")/6+SUMIFS(E74:AI74,E73:AI73,"=Р1",E74:AI74,"=8")/4+SUMIF(E73:AI73,"=ВЧ1",E74:AI74)/2,0)+CEILING(SUMIFS(E74:AI74,E73:AI73,"=Р",E74:AI74,"=13")/4,4)+CEILING(SUMIFS(E74:AI74,E73:AI73,"=Р",E74:AI74,"=14")/4,4)+CEILING(SUMIFS(E74:AI74,E73:AI73,"=Р",E74:AI74,"=15")/4,4)+SUMIFS(E74:AI74,E73:AI73,"=Р",E74:AI74,"=16")/4+CEILING(SUMIFS(E74:AI74,E73:AI73,"=Р1",E74:AI74,"=13")/4,4)+CEILING(SUMIFS(E74:AI74,E73:AI73,"=Р1",E74:AI74,"=14")/4,4)+CEILING(SUMIFS(E74:AI74,E73:AI73,"=Р1",E74:AI74,"=15")/4,4)+SUMIFS(E74:AI74,E73:AI73,"=Р1",E74:AI74,"=16")/4</f>
        <v>0</v>
      </c>
      <c r="AO73" s="211">
        <f>IFERROR(SUMIF(E73:AI73,"=РВ",E74:AI74)+SUMIF(E73:AI73,"=ВЧ/РВ",E74:AI74)+SUMIF(E73:AI73,"=РН/РВ",E74:AI74)+SUMIF(E73:AI73,"=Р1/РВ",E74:AI74)+SUMIF(E73:AI73,"=ВЧ2/РВ",E74:AI74)+SUMIF(E73:AI73,"=Р2/РВ",E74:AI74),0)</f>
        <v>0</v>
      </c>
      <c r="AP73" s="211">
        <f>IFERROR(COUNTIF(E73:AI73,"=ВВ")+COUNTIF(E73:AI73,"=Р1/ВВ")+COUNTIF(E73:AI73,"=РН/ВВ")+COUNTIF(E73:AI73,"=ВЧ/ВВ"),0)</f>
        <v>10</v>
      </c>
      <c r="AQ73" s="211">
        <f>SUM(AR73:AZ73)</f>
        <v>0</v>
      </c>
      <c r="AR73" s="211">
        <f>IFERROR(SUMIF(E73:AI73,"=В",E74:AI74)+SUMIF(E73:AI73,"=Ч",E74:AI74)+SUMIF(E73:AI73,"=ВБ",E74:AI74),0)</f>
        <v>0</v>
      </c>
      <c r="AS73" s="211">
        <f>IFERROR(SUMIF(E73:AI73,"=Н",E74:AI74),0)</f>
        <v>0</v>
      </c>
      <c r="AT73" s="211">
        <f>IFERROR(SUMIF(E73:AI73,"=НА",E74:AI74),0)</f>
        <v>0</v>
      </c>
      <c r="AU73" s="211">
        <f>IFERROR(SUMIF(E73:AI73,"=ВП",E74:AI74),0)</f>
        <v>0</v>
      </c>
      <c r="AV73" s="211">
        <f>IFERROR(SUMIF(E73:AI73,"=ДД",E74:AI74),0)</f>
        <v>0</v>
      </c>
      <c r="AW73" s="202">
        <f>IFERROR(SUMIF(E73:AI73,"=ДО",E74:AI74),0)</f>
        <v>0</v>
      </c>
      <c r="AX73" s="211">
        <f>IFERROR(SUMIF(E73:AI73,"=ТН",E74:AI74),0)</f>
        <v>0</v>
      </c>
      <c r="AY73" s="211">
        <f>IFERROR(SUMIF(E73:AI73,"=ВД",E74:AI74),0)</f>
        <v>0</v>
      </c>
      <c r="AZ73" s="312">
        <f>IFERROR(SUMIF(E73:AI73,"=ІН",E74:AI74),0)+SUMIF(E73:AI73,"=НЗ",E74:AI74)</f>
        <v>0</v>
      </c>
    </row>
    <row r="74" spans="1:52" ht="22.5" customHeight="1" thickBot="1" x14ac:dyDescent="0.25">
      <c r="A74" s="331"/>
      <c r="B74" s="331"/>
      <c r="C74" s="229"/>
      <c r="D74" s="229"/>
      <c r="E74" s="192"/>
      <c r="F74" s="192"/>
      <c r="G74" s="192">
        <v>8.1999999999999993</v>
      </c>
      <c r="H74" s="192">
        <v>8.1999999999999993</v>
      </c>
      <c r="I74" s="192">
        <v>8.1999999999999993</v>
      </c>
      <c r="J74" s="192">
        <v>8.1999999999999993</v>
      </c>
      <c r="K74" s="192">
        <v>7</v>
      </c>
      <c r="L74" s="192"/>
      <c r="M74" s="192"/>
      <c r="N74" s="192">
        <v>8.1999999999999993</v>
      </c>
      <c r="O74" s="192">
        <v>8.1999999999999993</v>
      </c>
      <c r="P74" s="192">
        <v>8.1999999999999993</v>
      </c>
      <c r="Q74" s="192">
        <v>8.1999999999999993</v>
      </c>
      <c r="R74" s="192">
        <v>7.2</v>
      </c>
      <c r="S74" s="192"/>
      <c r="T74" s="192"/>
      <c r="U74" s="192">
        <v>8.1999999999999993</v>
      </c>
      <c r="V74" s="192">
        <v>8.1999999999999993</v>
      </c>
      <c r="W74" s="192">
        <v>8.1999999999999993</v>
      </c>
      <c r="X74" s="192">
        <v>8.1999999999999993</v>
      </c>
      <c r="Y74" s="192">
        <v>7.2</v>
      </c>
      <c r="Z74" s="192"/>
      <c r="AA74" s="192"/>
      <c r="AB74" s="192">
        <v>8.1999999999999993</v>
      </c>
      <c r="AC74" s="192">
        <v>8.1999999999999993</v>
      </c>
      <c r="AD74" s="192">
        <v>8.1999999999999993</v>
      </c>
      <c r="AE74" s="192">
        <v>8.1999999999999993</v>
      </c>
      <c r="AF74" s="192">
        <v>7.2</v>
      </c>
      <c r="AG74" s="192"/>
      <c r="AH74" s="192"/>
      <c r="AI74" s="192">
        <v>8.1999999999999993</v>
      </c>
      <c r="AJ74" s="335"/>
      <c r="AK74" s="334"/>
      <c r="AL74" s="286"/>
      <c r="AM74" s="286"/>
      <c r="AN74" s="212"/>
      <c r="AO74" s="286"/>
      <c r="AP74" s="212"/>
      <c r="AQ74" s="286"/>
      <c r="AR74" s="286"/>
      <c r="AS74" s="286"/>
      <c r="AT74" s="286"/>
      <c r="AU74" s="286"/>
      <c r="AV74" s="286"/>
      <c r="AW74" s="203"/>
      <c r="AX74" s="286"/>
      <c r="AY74" s="286"/>
      <c r="AZ74" s="329"/>
    </row>
    <row r="75" spans="1:52" s="167" customFormat="1" ht="18" customHeight="1" x14ac:dyDescent="0.2">
      <c r="A75" s="330">
        <f t="shared" ref="A75" si="27">A73+1</f>
        <v>30</v>
      </c>
      <c r="B75" s="330" t="s">
        <v>158</v>
      </c>
      <c r="C75" s="228">
        <v>1667</v>
      </c>
      <c r="D75" s="279" t="s">
        <v>65</v>
      </c>
      <c r="E75" s="191" t="s">
        <v>142</v>
      </c>
      <c r="F75" s="191" t="s">
        <v>142</v>
      </c>
      <c r="G75" s="191" t="s">
        <v>4</v>
      </c>
      <c r="H75" s="191" t="s">
        <v>4</v>
      </c>
      <c r="I75" s="191" t="s">
        <v>4</v>
      </c>
      <c r="J75" s="191" t="s">
        <v>4</v>
      </c>
      <c r="K75" s="191" t="s">
        <v>4</v>
      </c>
      <c r="L75" s="191" t="s">
        <v>142</v>
      </c>
      <c r="M75" s="191" t="s">
        <v>142</v>
      </c>
      <c r="N75" s="191" t="s">
        <v>4</v>
      </c>
      <c r="O75" s="191" t="s">
        <v>4</v>
      </c>
      <c r="P75" s="191" t="s">
        <v>4</v>
      </c>
      <c r="Q75" s="191" t="s">
        <v>4</v>
      </c>
      <c r="R75" s="191" t="s">
        <v>4</v>
      </c>
      <c r="S75" s="191" t="s">
        <v>142</v>
      </c>
      <c r="T75" s="191" t="s">
        <v>142</v>
      </c>
      <c r="U75" s="191" t="s">
        <v>4</v>
      </c>
      <c r="V75" s="191" t="s">
        <v>4</v>
      </c>
      <c r="W75" s="191" t="s">
        <v>4</v>
      </c>
      <c r="X75" s="191" t="s">
        <v>4</v>
      </c>
      <c r="Y75" s="191" t="s">
        <v>4</v>
      </c>
      <c r="Z75" s="191" t="s">
        <v>142</v>
      </c>
      <c r="AA75" s="191" t="s">
        <v>142</v>
      </c>
      <c r="AB75" s="191" t="s">
        <v>4</v>
      </c>
      <c r="AC75" s="191" t="s">
        <v>4</v>
      </c>
      <c r="AD75" s="191" t="s">
        <v>4</v>
      </c>
      <c r="AE75" s="191" t="s">
        <v>4</v>
      </c>
      <c r="AF75" s="191" t="s">
        <v>4</v>
      </c>
      <c r="AG75" s="191" t="s">
        <v>142</v>
      </c>
      <c r="AH75" s="191" t="s">
        <v>142</v>
      </c>
      <c r="AI75" s="191" t="s">
        <v>4</v>
      </c>
      <c r="AJ75" s="294">
        <f>IFERROR(COUNTIF(E75:AI75,"=Р")+COUNTIF(E75:AI75,"=Р1")+COUNTIF(E75:AI75,"=ВЧ")+COUNTIF(E75:AI75,"=РН")+COUNTIF(E75:AI75,"=Р2")+COUNTIF(E75:AI75,"=Р1/РВ")+COUNTIF(E75:AI75,"=Р2/РВ")+COUNTIF(E75:AI75,"=ВЧ/РВ")+COUNTIF(E75:AI75,"=РН/РВ"),0)</f>
        <v>21</v>
      </c>
      <c r="AK75" s="211">
        <f>IFERROR(SUMIF(E75:AI75,"=Р2",E76:AI76)+SUMIF(E75:AI75,"=ВЧ/РВ",E76:AI76)+SUMIF(E75:AI75,"=РН/РВ",E76:AI76)+SUMIF(E75:AI75,"=Р1/РВ",E76:AI76)+SUMIF(E75:AI75,"=ВЧ2/РВ",E76:AI76)+SUMIF(E75:AI75,"=Р2/РВ",E76:AI76)+SUMIF(E75:AI75,"=Р",E76:AI76)+SUMIF(E75:AI75,"=Р1",E76:AI76)+SUMIF(E75:AI75,"=ВЧ1",E76:AI76)+SUMIF(E75:AI75,"=РН",E76:AI76)+SUMIF(E75:AI75,"=ВЧ",E76:AI76),0)+AL75</f>
        <v>167.99999999999997</v>
      </c>
      <c r="AL75" s="211">
        <f>IFERROR(SUMIF(E75:AI75,"=НУ",E76:AI76),0)</f>
        <v>0</v>
      </c>
      <c r="AM75" s="211">
        <f>IFERROR(SUMIF(E75:AI75,"=РН",E76:AI76)+SUMIF(E75:AI75,"=РН/РВ",E76:AI76)+SUMIFS(E76:AI76,E75:AI75,"=Р2",E76:AI76,"=8"),0)</f>
        <v>0</v>
      </c>
      <c r="AN75" s="211">
        <f>IFERROR(SUMIF(E75:AI75,"=ВЧ",E76:AI76)+SUMIF(E75:AI75,"=ВЧ/РВ",E76:AI76)+CEILING(COUNTIFS(E75:AI75,"=Р2",E76:AI76,"=7")*4,1)+CEILING(COUNTIFS(E75:AI75,"=Р2/РВ",E76:AI76,"=7")*4,1)+SUMIFS(E76:AI76,E75:AI75,"=Р1/РВ",E76:AI76,"=12")/6+SUMIFS(E76:AI76,E75:AI75,"=ВЧ2/РВ",E76:AI76,"=4")/2+SUMIFS(E76:AI76,E75:AI75,"=Р1",E76:AI76,"=12")/6+SUMIFS(E76:AI76,E75:AI75,"=Р1",E76:AI76,"=8")/4+SUMIF(E75:AI75,"=ВЧ1",E76:AI76)/2,0)</f>
        <v>0</v>
      </c>
      <c r="AO75" s="211">
        <f>IFERROR(SUMIF(E75:AI75,"=РВ",E76:AI76)+SUMIF(E75:AI75,"=ВЧ/РВ",E76:AI76)+SUMIF(E75:AI75,"=РН/РВ",E76:AI76)+SUMIF(E75:AI75,"=Р1/РВ",E76:AI76)+SUMIF(E75:AI75,"=ВЧ2/РВ",E76:AI76)+SUMIF(E75:AI75,"=Р2/РВ",E76:AI76),0)</f>
        <v>0</v>
      </c>
      <c r="AP75" s="211">
        <f>IFERROR(COUNTIF(E75:AI75,"=ВВ")+COUNTIF(E75:AI75,"=Р1/ВВ")+COUNTIF(E75:AI75,"=РН/ВВ")+COUNTIF(E75:AI75,"=ВЧ/ВВ"),0)</f>
        <v>10</v>
      </c>
      <c r="AQ75" s="211">
        <f>SUM(AR75:AZ75)</f>
        <v>0</v>
      </c>
      <c r="AR75" s="211">
        <f>IFERROR(SUMIF(E75:AI75,"=В",E76:AI76)+SUMIF(E75:AI75,"=Ч",E76:AI76)+SUMIF(E75:AI75,"=ВБ",E76:AI76),0)</f>
        <v>0</v>
      </c>
      <c r="AS75" s="211">
        <f>IFERROR(SUMIF(E75:AI75,"=Н",E76:AI76),0)</f>
        <v>0</v>
      </c>
      <c r="AT75" s="211">
        <f>IFERROR(SUMIF(E75:AI75,"=НА",E76:AI76),0)</f>
        <v>0</v>
      </c>
      <c r="AU75" s="211">
        <f>IFERROR(SUMIF(E75:AI75,"=ВП",E76:AI76),0)</f>
        <v>0</v>
      </c>
      <c r="AV75" s="211">
        <f>IFERROR(SUMIF(E75:AI75,"=ДД",E76:AI76),0)</f>
        <v>0</v>
      </c>
      <c r="AW75" s="202">
        <f>IFERROR(SUMIF(E75:AI75,"=ДО",E76:AI76),0)</f>
        <v>0</v>
      </c>
      <c r="AX75" s="211">
        <f>IFERROR(SUMIF(E75:AI75,"=ТН",E76:AI76),0)</f>
        <v>0</v>
      </c>
      <c r="AY75" s="211">
        <f>IFERROR(SUMIF(E75:AI75,"=ВД",E76:AI76),0)</f>
        <v>0</v>
      </c>
      <c r="AZ75" s="312">
        <f>IFERROR(SUMIF(E75:AI75,"=ІН",E76:AI76),0)+SUMIF(E75:AI75,"=НЗ",E76:AI76)</f>
        <v>0</v>
      </c>
    </row>
    <row r="76" spans="1:52" s="167" customFormat="1" ht="18.75" customHeight="1" thickBot="1" x14ac:dyDescent="0.25">
      <c r="A76" s="331"/>
      <c r="B76" s="331"/>
      <c r="C76" s="229"/>
      <c r="D76" s="280"/>
      <c r="E76" s="192"/>
      <c r="F76" s="192"/>
      <c r="G76" s="192">
        <v>8.1999999999999993</v>
      </c>
      <c r="H76" s="192">
        <v>8.1999999999999993</v>
      </c>
      <c r="I76" s="192">
        <v>8.1999999999999993</v>
      </c>
      <c r="J76" s="192">
        <v>8.1999999999999993</v>
      </c>
      <c r="K76" s="192">
        <v>7</v>
      </c>
      <c r="L76" s="192"/>
      <c r="M76" s="192"/>
      <c r="N76" s="192">
        <v>8.1999999999999993</v>
      </c>
      <c r="O76" s="192">
        <v>8.1999999999999993</v>
      </c>
      <c r="P76" s="192">
        <v>8.1999999999999993</v>
      </c>
      <c r="Q76" s="192">
        <v>8.1999999999999993</v>
      </c>
      <c r="R76" s="192">
        <v>7.2</v>
      </c>
      <c r="S76" s="192"/>
      <c r="T76" s="192"/>
      <c r="U76" s="192">
        <v>8.1999999999999993</v>
      </c>
      <c r="V76" s="192">
        <v>8.1999999999999993</v>
      </c>
      <c r="W76" s="192">
        <v>8.1999999999999993</v>
      </c>
      <c r="X76" s="192">
        <v>8.1999999999999993</v>
      </c>
      <c r="Y76" s="192">
        <v>7.2</v>
      </c>
      <c r="Z76" s="192"/>
      <c r="AA76" s="192"/>
      <c r="AB76" s="192">
        <v>8.1999999999999993</v>
      </c>
      <c r="AC76" s="192">
        <v>8.1999999999999993</v>
      </c>
      <c r="AD76" s="192">
        <v>8.1999999999999993</v>
      </c>
      <c r="AE76" s="192">
        <v>8.1999999999999993</v>
      </c>
      <c r="AF76" s="192">
        <v>7.2</v>
      </c>
      <c r="AG76" s="192"/>
      <c r="AH76" s="192"/>
      <c r="AI76" s="192">
        <v>8.1999999999999993</v>
      </c>
      <c r="AJ76" s="314"/>
      <c r="AK76" s="212"/>
      <c r="AL76" s="212"/>
      <c r="AM76" s="212"/>
      <c r="AN76" s="212"/>
      <c r="AO76" s="212"/>
      <c r="AP76" s="212"/>
      <c r="AQ76" s="311"/>
      <c r="AR76" s="311"/>
      <c r="AS76" s="311"/>
      <c r="AT76" s="311"/>
      <c r="AU76" s="311"/>
      <c r="AV76" s="311"/>
      <c r="AW76" s="203"/>
      <c r="AX76" s="311"/>
      <c r="AY76" s="311"/>
      <c r="AZ76" s="313"/>
    </row>
    <row r="77" spans="1:52" s="163" customFormat="1" ht="20.100000000000001" customHeight="1" x14ac:dyDescent="0.2">
      <c r="A77" s="330">
        <f t="shared" ref="A77" si="28">A75+1</f>
        <v>31</v>
      </c>
      <c r="B77" s="336" t="s">
        <v>399</v>
      </c>
      <c r="C77" s="293">
        <v>2154</v>
      </c>
      <c r="D77" s="293" t="s">
        <v>72</v>
      </c>
      <c r="E77" s="191" t="s">
        <v>43</v>
      </c>
      <c r="F77" s="191" t="s">
        <v>142</v>
      </c>
      <c r="G77" s="191" t="s">
        <v>142</v>
      </c>
      <c r="H77" s="191" t="s">
        <v>4</v>
      </c>
      <c r="I77" s="191" t="s">
        <v>43</v>
      </c>
      <c r="J77" s="191" t="s">
        <v>142</v>
      </c>
      <c r="K77" s="191" t="s">
        <v>142</v>
      </c>
      <c r="L77" s="191" t="s">
        <v>4</v>
      </c>
      <c r="M77" s="191" t="s">
        <v>43</v>
      </c>
      <c r="N77" s="191" t="s">
        <v>142</v>
      </c>
      <c r="O77" s="191" t="s">
        <v>142</v>
      </c>
      <c r="P77" s="191" t="s">
        <v>4</v>
      </c>
      <c r="Q77" s="191" t="s">
        <v>43</v>
      </c>
      <c r="R77" s="191" t="s">
        <v>142</v>
      </c>
      <c r="S77" s="191" t="s">
        <v>142</v>
      </c>
      <c r="T77" s="191" t="s">
        <v>4</v>
      </c>
      <c r="U77" s="191" t="s">
        <v>43</v>
      </c>
      <c r="V77" s="191" t="s">
        <v>142</v>
      </c>
      <c r="W77" s="191" t="s">
        <v>142</v>
      </c>
      <c r="X77" s="191" t="s">
        <v>4</v>
      </c>
      <c r="Y77" s="191" t="s">
        <v>43</v>
      </c>
      <c r="Z77" s="191" t="s">
        <v>142</v>
      </c>
      <c r="AA77" s="191" t="s">
        <v>142</v>
      </c>
      <c r="AB77" s="191" t="s">
        <v>4</v>
      </c>
      <c r="AC77" s="191" t="s">
        <v>43</v>
      </c>
      <c r="AD77" s="191" t="s">
        <v>142</v>
      </c>
      <c r="AE77" s="191" t="s">
        <v>142</v>
      </c>
      <c r="AF77" s="191" t="s">
        <v>4</v>
      </c>
      <c r="AG77" s="191"/>
      <c r="AH77" s="191"/>
      <c r="AI77" s="191"/>
      <c r="AJ77" s="332">
        <f>IFERROR(COUNTIF(E77:AI77,"=Р")+COUNTIF(E77:AI77,"=Р1")+COUNTIF(E77:AI77,"=ВЧ")+COUNTIF(E77:AI77,"=РН")+COUNTIF(E77:AI77,"=Р2")+COUNTIF(E77:AI77,"=Р1/РВ")+COUNTIF(E77:AI77,"=Р2/РВ")+COUNTIF(E77:AI77,"=ВЧ/РВ")+COUNTIF(E77:AI77,"=РН/РВ"),0)</f>
        <v>14</v>
      </c>
      <c r="AK77" s="333">
        <f>IFERROR(SUMIF(E77:AI77,"=Р2",E78:AI78)+SUMIF(E77:AI77,"=ВЧ/РВ",E78:AI78)+SUMIF(E77:AI77,"=РН/РВ",E78:AI78)+SUMIF(E77:AI77,"=Р1/РВ",E78:AI78)+SUMIF(E77:AI77,"=ВЧ2/РВ",E78:AI78)+SUMIF(E77:AI77,"=Р2/РВ",E78:AI78)+SUMIF(E77:AI77,"=Р",E78:AI78)+SUMIF(E77:AI77,"=Р1",E78:AI78)+SUMIF(E77:AI77,"=ВЧ1",E78:AI78)+SUMIF(E77:AI77,"=РН",E78:AI78)+SUMIF(E77:AI77,"=ВЧ",E78:AI78),0)+AL77</f>
        <v>164</v>
      </c>
      <c r="AL77" s="211">
        <f>IFERROR(SUMIF(E77:AI77,"=НУ",E78:AI78),0)</f>
        <v>0</v>
      </c>
      <c r="AM77" s="211">
        <f>IFERROR(SUMIF(E77:AI77,"=РН",E78:AI78)+SUMIF(E77:AI77,"=РН/РВ",E78:AI78)+SUMIFS(E78:AI78,E77:AI77,"=Р2",E78:AI78,"=8"),0)</f>
        <v>56</v>
      </c>
      <c r="AN77" s="211">
        <f>IFERROR(SUMIF(E77:AI77,"=ВЧ",E78:AI78)+SUMIF(E77:AI77,"=ВЧ/РВ",E78:AI78)+CEILING(COUNTIFS(E77:AI77,"=Р2",E78:AI78,"=7")*4,1)+CEILING(COUNTIFS(E77:AI77,"=Р2/РВ",E78:AI78,"=7")*4,1)+SUMIFS(E78:AI78,E77:AI77,"=Р1/РВ",E78:AI78,"=12")/6+SUMIFS(E78:AI78,E77:AI77,"=ВЧ2/РВ",E78:AI78,"=4")/2+SUMIFS(E78:AI78,E77:AI77,"=Р1",E78:AI78,"=12")/6+SUMIFS(E78:AI78,E77:AI77,"=Р1",E78:AI78,"=8")/4+SUMIF(E77:AI77,"=ВЧ1",E78:AI78)/2,0)+CEILING(SUMIFS(E78:AI78,E77:AI77,"=Р",E78:AI78,"=13")/4,4)+CEILING(SUMIFS(E78:AI78,E77:AI77,"=Р",E78:AI78,"=14")/4,4)+CEILING(SUMIFS(E78:AI78,E77:AI77,"=Р",E78:AI78,"=15")/4,4)+SUMIFS(E78:AI78,E77:AI77,"=Р",E78:AI78,"=16")/4+CEILING(SUMIFS(E78:AI78,E77:AI77,"=Р1",E78:AI78,"=13")/4,4)+CEILING(SUMIFS(E78:AI78,E77:AI77,"=Р1",E78:AI78,"=14")/4,4)+CEILING(SUMIFS(E78:AI78,E77:AI77,"=Р1",E78:AI78,"=15")/4,4)+SUMIFS(E78:AI78,E77:AI77,"=Р1",E78:AI78,"=16")/4</f>
        <v>28</v>
      </c>
      <c r="AO77" s="211">
        <f>IFERROR(SUMIF(E77:AI77,"=РВ",E78:AI78)+SUMIF(E77:AI77,"=ВЧ/РВ",E78:AI78)+SUMIF(E77:AI77,"=РН/РВ",E78:AI78)+SUMIF(E77:AI77,"=Р1/РВ",E78:AI78)+SUMIF(E77:AI77,"=ВЧ2/РВ",E78:AI78)+SUMIF(E77:AI77,"=Р2/РВ",E78:AI78),0)</f>
        <v>0</v>
      </c>
      <c r="AP77" s="211">
        <f>IFERROR(COUNTIF(E77:AI77,"=ВВ")+COUNTIF(E77:AI77,"=Р1/ВВ")+COUNTIF(E77:AI77,"=РН/ВВ")+COUNTIF(E77:AI77,"=ВЧ/ВВ"),0)</f>
        <v>14</v>
      </c>
      <c r="AQ77" s="211">
        <f>SUM(AR77:AZ77)</f>
        <v>0</v>
      </c>
      <c r="AR77" s="211">
        <f>IFERROR(SUMIF(E77:AI77,"=В",E78:AI78)+SUMIF(E77:AI77,"=Ч",E78:AI78)+SUMIF(E77:AI77,"=ВБ",E78:AI78),0)</f>
        <v>0</v>
      </c>
      <c r="AS77" s="211">
        <f>IFERROR(SUMIF(E77:AI77,"=Н",E78:AI78),0)</f>
        <v>0</v>
      </c>
      <c r="AT77" s="211">
        <f>IFERROR(SUMIF(E77:AI77,"=НА",E78:AI78),0)</f>
        <v>0</v>
      </c>
      <c r="AU77" s="211">
        <f>IFERROR(SUMIF(E77:AI77,"=ВП",E78:AI78),0)</f>
        <v>0</v>
      </c>
      <c r="AV77" s="211">
        <f>IFERROR(SUMIF(E77:AI77,"=ДД",E78:AI78),0)</f>
        <v>0</v>
      </c>
      <c r="AW77" s="202">
        <f>IFERROR(SUMIF(E77:AI77,"=ДО",E78:AI78),0)</f>
        <v>0</v>
      </c>
      <c r="AX77" s="211">
        <f>IFERROR(SUMIF(E77:AI77,"=ТН",E78:AI78),0)</f>
        <v>0</v>
      </c>
      <c r="AY77" s="211">
        <f>IFERROR(SUMIF(E77:AI77,"=ВД",E78:AI78),0)</f>
        <v>0</v>
      </c>
      <c r="AZ77" s="312">
        <f>IFERROR(SUMIF(E77:AI77,"=ІН",E78:AI78),0)+SUMIF(E77:AI77,"=НЗ",E78:AI78)</f>
        <v>0</v>
      </c>
    </row>
    <row r="78" spans="1:52" s="163" customFormat="1" ht="24" customHeight="1" thickBot="1" x14ac:dyDescent="0.25">
      <c r="A78" s="331"/>
      <c r="B78" s="331"/>
      <c r="C78" s="229"/>
      <c r="D78" s="229"/>
      <c r="E78" s="192">
        <v>8</v>
      </c>
      <c r="F78" s="192"/>
      <c r="G78" s="192"/>
      <c r="H78" s="192">
        <v>16</v>
      </c>
      <c r="I78" s="192">
        <v>8</v>
      </c>
      <c r="J78" s="192"/>
      <c r="K78" s="192"/>
      <c r="L78" s="192">
        <v>16</v>
      </c>
      <c r="M78" s="192">
        <v>8</v>
      </c>
      <c r="N78" s="192"/>
      <c r="O78" s="192"/>
      <c r="P78" s="192">
        <v>13</v>
      </c>
      <c r="Q78" s="192">
        <v>8</v>
      </c>
      <c r="R78" s="192"/>
      <c r="S78" s="192"/>
      <c r="T78" s="192">
        <v>15</v>
      </c>
      <c r="U78" s="192">
        <v>8</v>
      </c>
      <c r="V78" s="192"/>
      <c r="W78" s="192"/>
      <c r="X78" s="192">
        <v>16</v>
      </c>
      <c r="Y78" s="192">
        <v>8</v>
      </c>
      <c r="Z78" s="192"/>
      <c r="AA78" s="192"/>
      <c r="AB78" s="192">
        <v>16</v>
      </c>
      <c r="AC78" s="192">
        <v>8</v>
      </c>
      <c r="AD78" s="192"/>
      <c r="AE78" s="192"/>
      <c r="AF78" s="192">
        <v>16</v>
      </c>
      <c r="AG78" s="192" t="s">
        <v>491</v>
      </c>
      <c r="AH78" s="192" t="s">
        <v>492</v>
      </c>
      <c r="AI78" s="192" t="s">
        <v>493</v>
      </c>
      <c r="AJ78" s="325"/>
      <c r="AK78" s="334"/>
      <c r="AL78" s="286"/>
      <c r="AM78" s="286"/>
      <c r="AN78" s="212"/>
      <c r="AO78" s="286"/>
      <c r="AP78" s="212"/>
      <c r="AQ78" s="286"/>
      <c r="AR78" s="286"/>
      <c r="AS78" s="286"/>
      <c r="AT78" s="286"/>
      <c r="AU78" s="286"/>
      <c r="AV78" s="286"/>
      <c r="AW78" s="203"/>
      <c r="AX78" s="286"/>
      <c r="AY78" s="286"/>
      <c r="AZ78" s="329"/>
    </row>
    <row r="79" spans="1:52" ht="20.100000000000001" customHeight="1" x14ac:dyDescent="0.2">
      <c r="A79" s="330">
        <f t="shared" ref="A79" si="29">A77+1</f>
        <v>32</v>
      </c>
      <c r="B79" s="330" t="s">
        <v>248</v>
      </c>
      <c r="C79" s="228">
        <v>2099</v>
      </c>
      <c r="D79" s="228" t="s">
        <v>65</v>
      </c>
      <c r="E79" s="191" t="s">
        <v>68</v>
      </c>
      <c r="F79" s="191" t="s">
        <v>68</v>
      </c>
      <c r="G79" s="191" t="s">
        <v>68</v>
      </c>
      <c r="H79" s="191" t="s">
        <v>68</v>
      </c>
      <c r="I79" s="191" t="s">
        <v>68</v>
      </c>
      <c r="J79" s="191" t="s">
        <v>68</v>
      </c>
      <c r="K79" s="191" t="s">
        <v>68</v>
      </c>
      <c r="L79" s="191" t="s">
        <v>68</v>
      </c>
      <c r="M79" s="191" t="s">
        <v>68</v>
      </c>
      <c r="N79" s="191" t="s">
        <v>68</v>
      </c>
      <c r="O79" s="191" t="s">
        <v>68</v>
      </c>
      <c r="P79" s="191" t="s">
        <v>68</v>
      </c>
      <c r="Q79" s="191" t="s">
        <v>68</v>
      </c>
      <c r="R79" s="191" t="s">
        <v>68</v>
      </c>
      <c r="S79" s="191" t="s">
        <v>68</v>
      </c>
      <c r="T79" s="191" t="s">
        <v>68</v>
      </c>
      <c r="U79" s="191" t="s">
        <v>68</v>
      </c>
      <c r="V79" s="191" t="s">
        <v>68</v>
      </c>
      <c r="W79" s="191" t="s">
        <v>68</v>
      </c>
      <c r="X79" s="191" t="s">
        <v>68</v>
      </c>
      <c r="Y79" s="191" t="s">
        <v>68</v>
      </c>
      <c r="Z79" s="191" t="s">
        <v>68</v>
      </c>
      <c r="AA79" s="191" t="s">
        <v>68</v>
      </c>
      <c r="AB79" s="191" t="s">
        <v>68</v>
      </c>
      <c r="AC79" s="191" t="s">
        <v>68</v>
      </c>
      <c r="AD79" s="191" t="s">
        <v>68</v>
      </c>
      <c r="AE79" s="191" t="s">
        <v>68</v>
      </c>
      <c r="AF79" s="191" t="s">
        <v>68</v>
      </c>
      <c r="AG79" s="191" t="s">
        <v>68</v>
      </c>
      <c r="AH79" s="191" t="s">
        <v>68</v>
      </c>
      <c r="AI79" s="191" t="s">
        <v>68</v>
      </c>
      <c r="AJ79" s="332">
        <f>IFERROR(COUNTIF(E79:AI79,"=Р")+COUNTIF(E79:AI79,"=Р1")+COUNTIF(E79:AI79,"=ВЧ")+COUNTIF(E79:AI79,"=РН")+COUNTIF(E79:AI79,"=Р2")+COUNTIF(E79:AI79,"=Р1/РВ")+COUNTIF(E79:AI79,"=Р2/РВ")+COUNTIF(E79:AI79,"=ВЧ/РВ")+COUNTIF(E79:AI79,"=РН/РВ"),0)</f>
        <v>0</v>
      </c>
      <c r="AK79" s="333">
        <f>IFERROR(SUMIF(E79:AI79,"=Р2",E80:AI80)+SUMIF(E79:AI79,"=ВЧ/РВ",E80:AI80)+SUMIF(E79:AI79,"=РН/РВ",E80:AI80)+SUMIF(E79:AI79,"=Р1/РВ",E80:AI80)+SUMIF(E79:AI79,"=ВЧ2/РВ",E80:AI80)+SUMIF(E79:AI79,"=Р2/РВ",E80:AI80)+SUMIF(E79:AI79,"=Р",E80:AI80)+SUMIF(E79:AI79,"=Р1",E80:AI80)+SUMIF(E79:AI79,"=ВЧ1",E80:AI80)+SUMIF(E79:AI79,"=РН",E80:AI80)+SUMIF(E79:AI79,"=ВЧ",E80:AI80),0)+AL79</f>
        <v>0</v>
      </c>
      <c r="AL79" s="211">
        <f>IFERROR(SUMIF(E79:AI79,"=НУ",E80:AI80),0)</f>
        <v>0</v>
      </c>
      <c r="AM79" s="211">
        <f>IFERROR(SUMIF(E79:AI79,"=РН",E80:AI80)+SUMIF(E79:AI79,"=РН/РВ",E80:AI80)+SUMIFS(E80:AI80,E79:AI79,"=Р2",E80:AI80,"=8"),0)</f>
        <v>0</v>
      </c>
      <c r="AN79" s="211">
        <f>IFERROR(SUMIF(E79:AI79,"=ВЧ",E80:AI80)+SUMIF(E79:AI79,"=ВЧ/РВ",E80:AI80)+CEILING(COUNTIFS(E79:AI79,"=Р2",E80:AI80,"=7")*4,1)+CEILING(COUNTIFS(E79:AI79,"=Р2/РВ",E80:AI80,"=7")*4,1)+SUMIFS(E80:AI80,E79:AI79,"=Р1/РВ",E80:AI80,"=12")/6+SUMIFS(E80:AI80,E79:AI79,"=ВЧ2/РВ",E80:AI80,"=4")/2+SUMIFS(E80:AI80,E79:AI79,"=Р1",E80:AI80,"=12")/6+SUMIFS(E80:AI80,E79:AI79,"=Р1",E80:AI80,"=8")/4+SUMIF(E79:AI79,"=ВЧ1",E80:AI80)/2,0)+CEILING(SUMIFS(E80:AI80,E79:AI79,"=Р",E80:AI80,"=13")/4,4)+CEILING(SUMIFS(E80:AI80,E79:AI79,"=Р",E80:AI80,"=14")/4,4)+CEILING(SUMIFS(E80:AI80,E79:AI79,"=Р",E80:AI80,"=15")/4,4)+SUMIFS(E80:AI80,E79:AI79,"=Р",E80:AI80,"=16")/4+CEILING(SUMIFS(E80:AI80,E79:AI79,"=Р1",E80:AI80,"=13")/4,4)+CEILING(SUMIFS(E80:AI80,E79:AI79,"=Р1",E80:AI80,"=14")/4,4)+CEILING(SUMIFS(E80:AI80,E79:AI79,"=Р1",E80:AI80,"=15")/4,4)+SUMIFS(E80:AI80,E79:AI79,"=Р1",E80:AI80,"=16")/4</f>
        <v>0</v>
      </c>
      <c r="AO79" s="211">
        <f>IFERROR(SUMIF(E79:AI79,"=РВ",E80:AI80)+SUMIF(E79:AI79,"=ВЧ/РВ",E80:AI80)+SUMIF(E79:AI79,"=РН/РВ",E80:AI80)+SUMIF(E79:AI79,"=Р1/РВ",E80:AI80)+SUMIF(E79:AI79,"=ВЧ2/РВ",E80:AI80)+SUMIF(E79:AI79,"=Р2/РВ",E80:AI80),0)</f>
        <v>0</v>
      </c>
      <c r="AP79" s="211">
        <f t="shared" ref="AP79:AP107" si="30">IFERROR(COUNTIF(E79:AI79,"=ВВ")+COUNTIF(E79:AI79,"=Р1/ВВ")+COUNTIF(E79:AI79,"=РН/ВВ")+COUNTIF(E79:AI79,"=ВЧ/ВВ"),0)</f>
        <v>0</v>
      </c>
      <c r="AQ79" s="211">
        <f>SUM(AR79:AZ79)</f>
        <v>167.99999999999997</v>
      </c>
      <c r="AR79" s="211">
        <f>IFERROR(SUMIF(E79:AI79,"=В",E80:AI80)+SUMIF(E79:AI79,"=Ч",E80:AI80)+SUMIF(E79:AI79,"=ВБ",E80:AI80),0)</f>
        <v>0</v>
      </c>
      <c r="AS79" s="211">
        <f>IFERROR(SUMIF(E79:AI79,"=Н",E80:AI80),0)</f>
        <v>0</v>
      </c>
      <c r="AT79" s="211">
        <f>IFERROR(SUMIF(E79:AI79,"=НА",E80:AI80),0)</f>
        <v>0</v>
      </c>
      <c r="AU79" s="211">
        <f>IFERROR(SUMIF(E79:AI79,"=ВП",E80:AI80),0)</f>
        <v>0</v>
      </c>
      <c r="AV79" s="211">
        <f>IFERROR(SUMIF(E79:AI79,"=ДД",E80:AI80),0)</f>
        <v>0</v>
      </c>
      <c r="AW79" s="202">
        <f>IFERROR(SUMIF(E79:AI79,"=ДО",E80:AI80),0)</f>
        <v>0</v>
      </c>
      <c r="AX79" s="211">
        <f>IFERROR(SUMIF(E79:AI79,"=ТН",E80:AI80),0)</f>
        <v>0</v>
      </c>
      <c r="AY79" s="211">
        <f>IFERROR(SUMIF(E79:AI79,"=ВД",E80:AI80),0)</f>
        <v>0</v>
      </c>
      <c r="AZ79" s="312">
        <f>IFERROR(SUMIF(E79:AI79,"=ІН",E80:AI80),0)+SUMIF(E79:AI79,"=НЗ",E80:AI80)</f>
        <v>167.99999999999997</v>
      </c>
    </row>
    <row r="80" spans="1:52" ht="18.75" customHeight="1" thickBot="1" x14ac:dyDescent="0.25">
      <c r="A80" s="331"/>
      <c r="B80" s="331"/>
      <c r="C80" s="229"/>
      <c r="D80" s="229"/>
      <c r="E80" s="192"/>
      <c r="F80" s="192"/>
      <c r="G80" s="192">
        <v>8.1999999999999993</v>
      </c>
      <c r="H80" s="192">
        <v>8.1999999999999993</v>
      </c>
      <c r="I80" s="192">
        <v>8.1999999999999993</v>
      </c>
      <c r="J80" s="192">
        <v>8.1999999999999993</v>
      </c>
      <c r="K80" s="192">
        <v>7</v>
      </c>
      <c r="L80" s="192"/>
      <c r="M80" s="192"/>
      <c r="N80" s="192">
        <v>8.1999999999999993</v>
      </c>
      <c r="O80" s="192">
        <v>8.1999999999999993</v>
      </c>
      <c r="P80" s="192">
        <v>8.1999999999999993</v>
      </c>
      <c r="Q80" s="192">
        <v>8.1999999999999993</v>
      </c>
      <c r="R80" s="192">
        <v>7.2</v>
      </c>
      <c r="S80" s="192"/>
      <c r="T80" s="192"/>
      <c r="U80" s="192">
        <v>8.1999999999999993</v>
      </c>
      <c r="V80" s="192">
        <v>8.1999999999999993</v>
      </c>
      <c r="W80" s="192">
        <v>8.1999999999999993</v>
      </c>
      <c r="X80" s="192">
        <v>8.1999999999999993</v>
      </c>
      <c r="Y80" s="192">
        <v>7.2</v>
      </c>
      <c r="Z80" s="192"/>
      <c r="AA80" s="192"/>
      <c r="AB80" s="192">
        <v>8.1999999999999993</v>
      </c>
      <c r="AC80" s="192">
        <v>8.1999999999999993</v>
      </c>
      <c r="AD80" s="192">
        <v>8.1999999999999993</v>
      </c>
      <c r="AE80" s="192">
        <v>8.1999999999999993</v>
      </c>
      <c r="AF80" s="192">
        <v>7.2</v>
      </c>
      <c r="AG80" s="192"/>
      <c r="AH80" s="192"/>
      <c r="AI80" s="192">
        <v>8.1999999999999993</v>
      </c>
      <c r="AJ80" s="335"/>
      <c r="AK80" s="334"/>
      <c r="AL80" s="286"/>
      <c r="AM80" s="286"/>
      <c r="AN80" s="212"/>
      <c r="AO80" s="286"/>
      <c r="AP80" s="212"/>
      <c r="AQ80" s="286"/>
      <c r="AR80" s="286"/>
      <c r="AS80" s="286"/>
      <c r="AT80" s="286"/>
      <c r="AU80" s="286"/>
      <c r="AV80" s="286"/>
      <c r="AW80" s="203"/>
      <c r="AX80" s="286"/>
      <c r="AY80" s="286"/>
      <c r="AZ80" s="329"/>
    </row>
    <row r="81" spans="1:52" s="175" customFormat="1" ht="18" customHeight="1" x14ac:dyDescent="0.2">
      <c r="A81" s="330">
        <f t="shared" ref="A81" si="31">A79+1</f>
        <v>33</v>
      </c>
      <c r="B81" s="330" t="s">
        <v>352</v>
      </c>
      <c r="C81" s="228">
        <v>1149</v>
      </c>
      <c r="D81" s="279" t="s">
        <v>72</v>
      </c>
      <c r="E81" s="191" t="s">
        <v>142</v>
      </c>
      <c r="F81" s="191" t="s">
        <v>142</v>
      </c>
      <c r="G81" s="191" t="s">
        <v>4</v>
      </c>
      <c r="H81" s="191" t="s">
        <v>4</v>
      </c>
      <c r="I81" s="191" t="s">
        <v>4</v>
      </c>
      <c r="J81" s="191" t="s">
        <v>4</v>
      </c>
      <c r="K81" s="191" t="s">
        <v>4</v>
      </c>
      <c r="L81" s="191" t="s">
        <v>142</v>
      </c>
      <c r="M81" s="191" t="s">
        <v>142</v>
      </c>
      <c r="N81" s="191" t="s">
        <v>4</v>
      </c>
      <c r="O81" s="191" t="s">
        <v>4</v>
      </c>
      <c r="P81" s="191" t="s">
        <v>4</v>
      </c>
      <c r="Q81" s="191" t="s">
        <v>4</v>
      </c>
      <c r="R81" s="191" t="s">
        <v>4</v>
      </c>
      <c r="S81" s="191"/>
      <c r="T81" s="191"/>
      <c r="U81" s="191"/>
      <c r="V81" s="191"/>
      <c r="W81" s="191"/>
      <c r="X81" s="191"/>
      <c r="Y81" s="191"/>
      <c r="Z81" s="191"/>
      <c r="AA81" s="191"/>
      <c r="AB81" s="191"/>
      <c r="AC81" s="191"/>
      <c r="AD81" s="191"/>
      <c r="AE81" s="191"/>
      <c r="AF81" s="191"/>
      <c r="AG81" s="191"/>
      <c r="AH81" s="191"/>
      <c r="AI81" s="191"/>
      <c r="AJ81" s="332">
        <f>IFERROR(COUNTIF(E81:AI81,"=Р")+COUNTIF(E81:AI81,"=Р1")+COUNTIF(E81:AI81,"=ВЧ")+COUNTIF(E81:AI81,"=РН")+COUNTIF(E81:AI81,"=Р2")+COUNTIF(E81:AI81,"=Р1/РВ")+COUNTIF(E81:AI81,"=Р2/РВ")+COUNTIF(E81:AI81,"=ВЧ/РВ")+COUNTIF(E81:AI81,"=РН/РВ"),0)</f>
        <v>10</v>
      </c>
      <c r="AK81" s="333">
        <f>IFERROR(SUMIF(E81:AI81,"=Р2",E82:AI82)+SUMIF(E81:AI81,"=ВЧ/РВ",E82:AI82)+SUMIF(E81:AI81,"=РН/РВ",E82:AI82)+SUMIF(E81:AI81,"=Р1/РВ",E82:AI82)+SUMIF(E81:AI81,"=ВЧ2/РВ",E82:AI82)+SUMIF(E81:AI81,"=Р2/РВ",E82:AI82)+SUMIF(E81:AI81,"=Р",E82:AI82)+SUMIF(E81:AI81,"=Р1",E82:AI82)+SUMIF(E81:AI81,"=ВЧ1",E82:AI82)+SUMIF(E81:AI81,"=РН",E82:AI82)+SUMIF(E81:AI81,"=ВЧ",E82:AI82),0)+AL81</f>
        <v>79.800000000000011</v>
      </c>
      <c r="AL81" s="211">
        <f>IFERROR(SUMIF(E81:AI81,"=НУ",E82:AI82),0)</f>
        <v>0</v>
      </c>
      <c r="AM81" s="211">
        <f>IFERROR(SUMIF(E81:AI81,"=РН",E82:AI82)+SUMIF(E81:AI81,"=РН/РВ",E82:AI82)+SUMIFS(E82:AI82,E81:AI81,"=Р2",E82:AI82,"=8"),0)</f>
        <v>0</v>
      </c>
      <c r="AN81" s="211">
        <f>IFERROR(SUMIF(E81:AI81,"=ВЧ",E82:AI82)+SUMIF(E81:AI81,"=ВЧ/РВ",E82:AI82)+CEILING(COUNTIFS(E81:AI81,"=Р2",E82:AI82,"=7")*4,1)+CEILING(COUNTIFS(E81:AI81,"=Р2/РВ",E82:AI82,"=7")*4,1)+SUMIFS(E82:AI82,E81:AI81,"=Р1/РВ",E82:AI82,"=12")/6+SUMIFS(E82:AI82,E81:AI81,"=ВЧ2/РВ",E82:AI82,"=4")/2+SUMIFS(E82:AI82,E81:AI81,"=Р1",E82:AI82,"=12")/6+SUMIFS(E82:AI82,E81:AI81,"=Р1",E82:AI82,"=8")/4+SUMIF(E81:AI81,"=ВЧ1",E82:AI82)/2,0)</f>
        <v>0</v>
      </c>
      <c r="AO81" s="211">
        <f>IFERROR(SUMIF(E81:AI81,"=РВ",E82:AI82)+SUMIF(E81:AI81,"=ВЧ/РВ",E82:AI82)+SUMIF(E81:AI81,"=РН/РВ",E82:AI82)+SUMIF(E81:AI81,"=Р1/РВ",E82:AI82)+SUMIF(E81:AI81,"=ВЧ2/РВ",E82:AI82)+SUMIF(E81:AI81,"=Р2/РВ",E82:AI82),0)</f>
        <v>0</v>
      </c>
      <c r="AP81" s="211">
        <f>IFERROR(COUNTIF(E81:AI81,"=ВВ")+COUNTIF(E81:AI81,"=Р1/ВВ")+COUNTIF(E81:AI81,"=РН/ВВ")+COUNTIF(E81:AI81,"=ВЧ/ВВ"),0)</f>
        <v>4</v>
      </c>
      <c r="AQ81" s="211">
        <f>SUM(AR81:AZ81)</f>
        <v>0</v>
      </c>
      <c r="AR81" s="211">
        <f>IFERROR(SUMIF(E81:AI81,"=В",E82:AI82)+SUMIF(E81:AI81,"=Ч",E82:AI82)+SUMIF(E81:AI81,"=ВБ",E82:AI82),0)</f>
        <v>0</v>
      </c>
      <c r="AS81" s="211">
        <f>IFERROR(SUMIF(E81:AI81,"=Н",E82:AI82),0)</f>
        <v>0</v>
      </c>
      <c r="AT81" s="211">
        <f>IFERROR(SUMIF(E81:AI81,"=НА",E82:AI82),0)</f>
        <v>0</v>
      </c>
      <c r="AU81" s="211">
        <f>IFERROR(SUMIF(E81:AI81,"=ВП",E82:AI82),0)</f>
        <v>0</v>
      </c>
      <c r="AV81" s="211">
        <f>IFERROR(SUMIF(E81:AI81,"=ДД",E82:AI82),0)</f>
        <v>0</v>
      </c>
      <c r="AW81" s="202">
        <f>IFERROR(SUMIF(E81:AI81,"=ДО",E82:AI82),0)</f>
        <v>0</v>
      </c>
      <c r="AX81" s="211">
        <f>IFERROR(SUMIF(E81:AI81,"=ТН",E82:AI82),0)</f>
        <v>0</v>
      </c>
      <c r="AY81" s="211">
        <f>IFERROR(SUMIF(E81:AI81,"=ВД",E82:AI82),0)</f>
        <v>0</v>
      </c>
      <c r="AZ81" s="312">
        <f>IFERROR(SUMIF(E81:AI81,"=ІН",E82:AI82),0)+SUMIF(E81:AI81,"=НЗ",E82:AI82)</f>
        <v>0</v>
      </c>
    </row>
    <row r="82" spans="1:52" s="175" customFormat="1" ht="18.75" customHeight="1" thickBot="1" x14ac:dyDescent="0.25">
      <c r="A82" s="331"/>
      <c r="B82" s="331"/>
      <c r="C82" s="229"/>
      <c r="D82" s="280"/>
      <c r="E82" s="192"/>
      <c r="F82" s="192"/>
      <c r="G82" s="192">
        <v>8.1999999999999993</v>
      </c>
      <c r="H82" s="192">
        <v>8.1999999999999993</v>
      </c>
      <c r="I82" s="192">
        <v>8.1999999999999993</v>
      </c>
      <c r="J82" s="192">
        <v>8.1999999999999993</v>
      </c>
      <c r="K82" s="192">
        <v>7</v>
      </c>
      <c r="L82" s="192"/>
      <c r="M82" s="192"/>
      <c r="N82" s="192">
        <v>8.1999999999999993</v>
      </c>
      <c r="O82" s="192">
        <v>8.1999999999999993</v>
      </c>
      <c r="P82" s="192">
        <v>8.1999999999999993</v>
      </c>
      <c r="Q82" s="192">
        <v>8.1999999999999993</v>
      </c>
      <c r="R82" s="192">
        <v>7.2</v>
      </c>
      <c r="S82" s="192" t="s">
        <v>9</v>
      </c>
      <c r="T82" s="192" t="s">
        <v>469</v>
      </c>
      <c r="U82" s="192" t="s">
        <v>481</v>
      </c>
      <c r="V82" s="192" t="s">
        <v>472</v>
      </c>
      <c r="W82" s="192" t="s">
        <v>482</v>
      </c>
      <c r="X82" s="192" t="s">
        <v>476</v>
      </c>
      <c r="Y82" s="192" t="s">
        <v>475</v>
      </c>
      <c r="Z82" s="192" t="s">
        <v>476</v>
      </c>
      <c r="AA82" s="192" t="s">
        <v>484</v>
      </c>
      <c r="AB82" s="192"/>
      <c r="AC82" s="192"/>
      <c r="AD82" s="192"/>
      <c r="AE82" s="192"/>
      <c r="AF82" s="192"/>
      <c r="AG82" s="192"/>
      <c r="AH82" s="192"/>
      <c r="AI82" s="192"/>
      <c r="AJ82" s="337"/>
      <c r="AK82" s="355"/>
      <c r="AL82" s="212"/>
      <c r="AM82" s="212"/>
      <c r="AN82" s="212"/>
      <c r="AO82" s="212"/>
      <c r="AP82" s="212"/>
      <c r="AQ82" s="311"/>
      <c r="AR82" s="311"/>
      <c r="AS82" s="311"/>
      <c r="AT82" s="311"/>
      <c r="AU82" s="311"/>
      <c r="AV82" s="311"/>
      <c r="AW82" s="203"/>
      <c r="AX82" s="311"/>
      <c r="AY82" s="311"/>
      <c r="AZ82" s="313"/>
    </row>
    <row r="83" spans="1:52" s="163" customFormat="1" ht="24" customHeight="1" x14ac:dyDescent="0.2">
      <c r="A83" s="330">
        <f t="shared" ref="A83" si="32">A81+1</f>
        <v>34</v>
      </c>
      <c r="B83" s="336" t="s">
        <v>402</v>
      </c>
      <c r="C83" s="228">
        <v>1345</v>
      </c>
      <c r="D83" s="228" t="s">
        <v>72</v>
      </c>
      <c r="E83" s="191" t="s">
        <v>142</v>
      </c>
      <c r="F83" s="191" t="s">
        <v>142</v>
      </c>
      <c r="G83" s="191" t="s">
        <v>4</v>
      </c>
      <c r="H83" s="191" t="s">
        <v>43</v>
      </c>
      <c r="I83" s="191" t="s">
        <v>142</v>
      </c>
      <c r="J83" s="191" t="s">
        <v>142</v>
      </c>
      <c r="K83" s="191" t="s">
        <v>4</v>
      </c>
      <c r="L83" s="191" t="s">
        <v>43</v>
      </c>
      <c r="M83" s="191" t="s">
        <v>142</v>
      </c>
      <c r="N83" s="191" t="s">
        <v>142</v>
      </c>
      <c r="O83" s="191" t="s">
        <v>4</v>
      </c>
      <c r="P83" s="191" t="s">
        <v>43</v>
      </c>
      <c r="Q83" s="191" t="s">
        <v>142</v>
      </c>
      <c r="R83" s="191" t="s">
        <v>142</v>
      </c>
      <c r="S83" s="191" t="s">
        <v>4</v>
      </c>
      <c r="T83" s="191" t="s">
        <v>43</v>
      </c>
      <c r="U83" s="191" t="s">
        <v>142</v>
      </c>
      <c r="V83" s="191" t="s">
        <v>142</v>
      </c>
      <c r="W83" s="191" t="s">
        <v>4</v>
      </c>
      <c r="X83" s="191" t="s">
        <v>43</v>
      </c>
      <c r="Y83" s="191" t="s">
        <v>142</v>
      </c>
      <c r="Z83" s="191" t="s">
        <v>142</v>
      </c>
      <c r="AA83" s="191" t="s">
        <v>4</v>
      </c>
      <c r="AB83" s="191" t="s">
        <v>43</v>
      </c>
      <c r="AC83" s="191" t="s">
        <v>142</v>
      </c>
      <c r="AD83" s="191" t="s">
        <v>142</v>
      </c>
      <c r="AE83" s="191" t="s">
        <v>4</v>
      </c>
      <c r="AF83" s="191" t="s">
        <v>43</v>
      </c>
      <c r="AG83" s="191"/>
      <c r="AH83" s="191"/>
      <c r="AI83" s="191"/>
      <c r="AJ83" s="332">
        <f>IFERROR(COUNTIF(E83:AI83,"=Р")+COUNTIF(E83:AI83,"=Р1")+COUNTIF(E83:AI83,"=ВЧ")+COUNTIF(E83:AI83,"=РН")+COUNTIF(E83:AI83,"=Р2")+COUNTIF(E83:AI83,"=Р1/РВ")+COUNTIF(E83:AI83,"=Р2/РВ")+COUNTIF(E83:AI83,"=ВЧ/РВ")+COUNTIF(E83:AI83,"=РН/РВ"),0)</f>
        <v>14</v>
      </c>
      <c r="AK83" s="333">
        <f>IFERROR(SUMIF(E83:AI83,"=Р2",E84:AI84)+SUMIF(E83:AI83,"=ВЧ/РВ",E84:AI84)+SUMIF(E83:AI83,"=РН/РВ",E84:AI84)+SUMIF(E83:AI83,"=Р1/РВ",E84:AI84)+SUMIF(E83:AI83,"=ВЧ2/РВ",E84:AI84)+SUMIF(E83:AI83,"=Р2/РВ",E84:AI84)+SUMIF(E83:AI83,"=Р",E84:AI84)+SUMIF(E83:AI83,"=Р1",E84:AI84)+SUMIF(E83:AI83,"=ВЧ1",E84:AI84)+SUMIF(E83:AI83,"=РН",E84:AI84)+SUMIF(E83:AI83,"=ВЧ",E84:AI84),0)+AL83</f>
        <v>164</v>
      </c>
      <c r="AL83" s="211">
        <f>IFERROR(SUMIF(E83:AI83,"=НУ",E84:AI84),0)</f>
        <v>0</v>
      </c>
      <c r="AM83" s="211">
        <f>IFERROR(SUMIF(E83:AI83,"=РН",E84:AI84)+SUMIF(E83:AI83,"=РН/РВ",E84:AI84)+SUMIFS(E84:AI84,E83:AI83,"=Р2",E84:AI84,"=8"),0)</f>
        <v>56</v>
      </c>
      <c r="AN83" s="211">
        <f>IFERROR(SUMIF(E83:AI83,"=ВЧ",E84:AI84)+SUMIF(E83:AI83,"=ВЧ/РВ",E84:AI84)+CEILING(COUNTIFS(E83:AI83,"=Р2",E84:AI84,"=7")*4,1)+CEILING(COUNTIFS(E83:AI83,"=Р2/РВ",E84:AI84,"=7")*4,1)+SUMIFS(E84:AI84,E83:AI83,"=Р1/РВ",E84:AI84,"=12")/6+SUMIFS(E84:AI84,E83:AI83,"=ВЧ2/РВ",E84:AI84,"=4")/2+SUMIFS(E84:AI84,E83:AI83,"=Р1",E84:AI84,"=12")/6+SUMIFS(E84:AI84,E83:AI83,"=Р1",E84:AI84,"=8")/4+SUMIF(E83:AI83,"=ВЧ1",E84:AI84)/2,0)+CEILING(SUMIFS(E84:AI84,E83:AI83,"=Р",E84:AI84,"=13")/4,4)+CEILING(SUMIFS(E84:AI84,E83:AI83,"=Р",E84:AI84,"=14")/4,4)+CEILING(SUMIFS(E84:AI84,E83:AI83,"=Р",E84:AI84,"=15")/4,4)+SUMIFS(E84:AI84,E83:AI83,"=Р",E84:AI84,"=16")/4+CEILING(SUMIFS(E84:AI84,E83:AI83,"=Р1",E84:AI84,"=13")/4,4)+CEILING(SUMIFS(E84:AI84,E83:AI83,"=Р1",E84:AI84,"=14")/4,4)+CEILING(SUMIFS(E84:AI84,E83:AI83,"=Р1",E84:AI84,"=15")/4,4)+SUMIFS(E84:AI84,E83:AI83,"=Р1",E84:AI84,"=16")/4</f>
        <v>28</v>
      </c>
      <c r="AO83" s="211">
        <f>IFERROR(SUMIF(E83:AI83,"=РВ",E84:AI84)+SUMIF(E83:AI83,"=ВЧ/РВ",E84:AI84)+SUMIF(E83:AI83,"=РН/РВ",E84:AI84)+SUMIF(E83:AI83,"=Р1/РВ",E84:AI84)+SUMIF(E83:AI83,"=ВЧ2/РВ",E84:AI84)+SUMIF(E83:AI83,"=Р2/РВ",E84:AI84),0)</f>
        <v>0</v>
      </c>
      <c r="AP83" s="211">
        <f>IFERROR(COUNTIF(E83:AI83,"=ВВ")+COUNTIF(E83:AI83,"=Р1/ВВ")+COUNTIF(E83:AI83,"=РН/ВВ")+COUNTIF(E83:AI83,"=ВЧ/ВВ"),0)</f>
        <v>14</v>
      </c>
      <c r="AQ83" s="211">
        <f>SUM(AR83:AZ83)</f>
        <v>0</v>
      </c>
      <c r="AR83" s="211">
        <f>IFERROR(SUMIF(E83:AI83,"=В",E84:AI84)+SUMIF(E83:AI83,"=Ч",E84:AI84)+SUMIF(E83:AI83,"=ВБ",E84:AI84),0)</f>
        <v>0</v>
      </c>
      <c r="AS83" s="211">
        <f>IFERROR(SUMIF(E83:AI83,"=Н",E84:AI84),0)</f>
        <v>0</v>
      </c>
      <c r="AT83" s="211">
        <f>IFERROR(SUMIF(E83:AI83,"=НА",E84:AI84),0)</f>
        <v>0</v>
      </c>
      <c r="AU83" s="211">
        <f>IFERROR(SUMIF(E83:AI83,"=ВП",E84:AI84),0)</f>
        <v>0</v>
      </c>
      <c r="AV83" s="211">
        <f>IFERROR(SUMIF(E83:AI83,"=ДД",E84:AI84),0)</f>
        <v>0</v>
      </c>
      <c r="AW83" s="202">
        <f>IFERROR(SUMIF(E83:AI83,"=ДО",E84:AI84),0)</f>
        <v>0</v>
      </c>
      <c r="AX83" s="211">
        <f>IFERROR(SUMIF(E83:AI83,"=ТН",E84:AI84),0)</f>
        <v>0</v>
      </c>
      <c r="AY83" s="211">
        <f>IFERROR(SUMIF(E83:AI83,"=ВД",E84:AI84),0)</f>
        <v>0</v>
      </c>
      <c r="AZ83" s="312">
        <f>IFERROR(SUMIF(E83:AI83,"=ІН",E84:AI84),0)+SUMIF(E83:AI83,"=НЗ",E84:AI84)</f>
        <v>0</v>
      </c>
    </row>
    <row r="84" spans="1:52" s="163" customFormat="1" ht="19.5" customHeight="1" thickBot="1" x14ac:dyDescent="0.25">
      <c r="A84" s="331"/>
      <c r="B84" s="331"/>
      <c r="C84" s="337"/>
      <c r="D84" s="337"/>
      <c r="E84" s="192"/>
      <c r="F84" s="192"/>
      <c r="G84" s="192">
        <v>15</v>
      </c>
      <c r="H84" s="192">
        <v>8</v>
      </c>
      <c r="I84" s="192"/>
      <c r="J84" s="192"/>
      <c r="K84" s="192">
        <v>13</v>
      </c>
      <c r="L84" s="192">
        <v>8</v>
      </c>
      <c r="M84" s="192"/>
      <c r="N84" s="192"/>
      <c r="O84" s="192">
        <v>16</v>
      </c>
      <c r="P84" s="192">
        <v>8</v>
      </c>
      <c r="Q84" s="192"/>
      <c r="R84" s="192"/>
      <c r="S84" s="192">
        <v>16</v>
      </c>
      <c r="T84" s="192">
        <v>8</v>
      </c>
      <c r="U84" s="192"/>
      <c r="V84" s="192"/>
      <c r="W84" s="192">
        <v>16</v>
      </c>
      <c r="X84" s="192">
        <v>8</v>
      </c>
      <c r="Y84" s="192"/>
      <c r="Z84" s="192"/>
      <c r="AA84" s="192">
        <v>16</v>
      </c>
      <c r="AB84" s="192">
        <v>8</v>
      </c>
      <c r="AC84" s="192"/>
      <c r="AD84" s="192"/>
      <c r="AE84" s="192">
        <v>16</v>
      </c>
      <c r="AF84" s="192">
        <v>8</v>
      </c>
      <c r="AG84" s="192" t="s">
        <v>491</v>
      </c>
      <c r="AH84" s="192" t="s">
        <v>492</v>
      </c>
      <c r="AI84" s="192" t="s">
        <v>493</v>
      </c>
      <c r="AJ84" s="335"/>
      <c r="AK84" s="334"/>
      <c r="AL84" s="286"/>
      <c r="AM84" s="286"/>
      <c r="AN84" s="212"/>
      <c r="AO84" s="286"/>
      <c r="AP84" s="212"/>
      <c r="AQ84" s="286"/>
      <c r="AR84" s="286"/>
      <c r="AS84" s="286"/>
      <c r="AT84" s="286"/>
      <c r="AU84" s="286"/>
      <c r="AV84" s="286"/>
      <c r="AW84" s="203"/>
      <c r="AX84" s="286"/>
      <c r="AY84" s="286"/>
      <c r="AZ84" s="329"/>
    </row>
    <row r="85" spans="1:52" ht="18" customHeight="1" x14ac:dyDescent="0.2">
      <c r="A85" s="330">
        <f t="shared" ref="A85" si="33">A83+1</f>
        <v>35</v>
      </c>
      <c r="B85" s="336" t="s">
        <v>249</v>
      </c>
      <c r="C85" s="293">
        <v>1895</v>
      </c>
      <c r="D85" s="293" t="s">
        <v>65</v>
      </c>
      <c r="E85" s="191" t="s">
        <v>68</v>
      </c>
      <c r="F85" s="191" t="s">
        <v>68</v>
      </c>
      <c r="G85" s="191" t="s">
        <v>68</v>
      </c>
      <c r="H85" s="191" t="s">
        <v>68</v>
      </c>
      <c r="I85" s="191" t="s">
        <v>68</v>
      </c>
      <c r="J85" s="191" t="s">
        <v>68</v>
      </c>
      <c r="K85" s="191" t="s">
        <v>68</v>
      </c>
      <c r="L85" s="191" t="s">
        <v>68</v>
      </c>
      <c r="M85" s="191" t="s">
        <v>68</v>
      </c>
      <c r="N85" s="191" t="s">
        <v>68</v>
      </c>
      <c r="O85" s="191" t="s">
        <v>68</v>
      </c>
      <c r="P85" s="191" t="s">
        <v>68</v>
      </c>
      <c r="Q85" s="191" t="s">
        <v>68</v>
      </c>
      <c r="R85" s="191" t="s">
        <v>68</v>
      </c>
      <c r="S85" s="191" t="s">
        <v>68</v>
      </c>
      <c r="T85" s="191" t="s">
        <v>68</v>
      </c>
      <c r="U85" s="191" t="s">
        <v>68</v>
      </c>
      <c r="V85" s="191" t="s">
        <v>68</v>
      </c>
      <c r="W85" s="191" t="s">
        <v>68</v>
      </c>
      <c r="X85" s="191" t="s">
        <v>68</v>
      </c>
      <c r="Y85" s="191" t="s">
        <v>68</v>
      </c>
      <c r="Z85" s="191" t="s">
        <v>68</v>
      </c>
      <c r="AA85" s="191" t="s">
        <v>68</v>
      </c>
      <c r="AB85" s="191" t="s">
        <v>68</v>
      </c>
      <c r="AC85" s="191" t="s">
        <v>68</v>
      </c>
      <c r="AD85" s="191" t="s">
        <v>68</v>
      </c>
      <c r="AE85" s="191" t="s">
        <v>68</v>
      </c>
      <c r="AF85" s="191" t="s">
        <v>68</v>
      </c>
      <c r="AG85" s="191" t="s">
        <v>68</v>
      </c>
      <c r="AH85" s="191" t="s">
        <v>68</v>
      </c>
      <c r="AI85" s="191" t="s">
        <v>68</v>
      </c>
      <c r="AJ85" s="332">
        <f>IFERROR(COUNTIF(E85:AI85,"=Р")+COUNTIF(E85:AI85,"=Р1")+COUNTIF(E85:AI85,"=ВЧ")+COUNTIF(E85:AI85,"=РН")+COUNTIF(E85:AI85,"=Р2")+COUNTIF(E85:AI85,"=Р1/РВ")+COUNTIF(E85:AI85,"=Р2/РВ")+COUNTIF(E85:AI85,"=ВЧ/РВ")+COUNTIF(E85:AI85,"=РН/РВ"),0)</f>
        <v>0</v>
      </c>
      <c r="AK85" s="333">
        <f>IFERROR(SUMIF(E85:AI85,"=Р2",E86:AI86)+SUMIF(E85:AI85,"=ВЧ/РВ",E86:AI86)+SUMIF(E85:AI85,"=РН/РВ",E86:AI86)+SUMIF(E85:AI85,"=Р1/РВ",E86:AI86)+SUMIF(E85:AI85,"=ВЧ2/РВ",E86:AI86)+SUMIF(E85:AI85,"=Р2/РВ",E86:AI86)+SUMIF(E85:AI85,"=Р",E86:AI86)+SUMIF(E85:AI85,"=Р1",E86:AI86)+SUMIF(E85:AI85,"=ВЧ1",E86:AI86)+SUMIF(E85:AI85,"=РН",E86:AI86)+SUMIF(E85:AI85,"=ВЧ",E86:AI86),0)+AL85</f>
        <v>0</v>
      </c>
      <c r="AL85" s="211">
        <f>IFERROR(SUMIF(E85:AI85,"=НУ",E86:AI86),0)</f>
        <v>0</v>
      </c>
      <c r="AM85" s="211">
        <f>IFERROR(SUMIF(E85:AI85,"=РН",E86:AI86)+SUMIF(E85:AI85,"=РН/РВ",E86:AI86)+SUMIFS(E86:AI86,E85:AI85,"=Р2",E86:AI86,"=8"),0)</f>
        <v>0</v>
      </c>
      <c r="AN85" s="211">
        <f>IFERROR(SUMIF(E85:AI85,"=ВЧ",E86:AI86)+SUMIF(E85:AI85,"=ВЧ/РВ",E86:AI86)+CEILING(COUNTIFS(E85:AI85,"=Р2",E86:AI86,"=7")*4,1)+CEILING(COUNTIFS(E85:AI85,"=Р2/РВ",E86:AI86,"=7")*4,1)+SUMIFS(E86:AI86,E85:AI85,"=Р1/РВ",E86:AI86,"=12")/6+SUMIFS(E86:AI86,E85:AI85,"=ВЧ2/РВ",E86:AI86,"=4")/2+SUMIFS(E86:AI86,E85:AI85,"=Р1",E86:AI86,"=12")/6+SUMIFS(E86:AI86,E85:AI85,"=Р1",E86:AI86,"=8")/4+SUMIF(E85:AI85,"=ВЧ1",E86:AI86)/2,0)+CEILING(SUMIFS(E86:AI86,E85:AI85,"=Р",E86:AI86,"=13")/4,4)+CEILING(SUMIFS(E86:AI86,E85:AI85,"=Р",E86:AI86,"=14")/4,4)+CEILING(SUMIFS(E86:AI86,E85:AI85,"=Р",E86:AI86,"=15")/4,4)+SUMIFS(E86:AI86,E85:AI85,"=Р",E86:AI86,"=16")/4+CEILING(SUMIFS(E86:AI86,E85:AI85,"=Р1",E86:AI86,"=13")/4,4)+CEILING(SUMIFS(E86:AI86,E85:AI85,"=Р1",E86:AI86,"=14")/4,4)+CEILING(SUMIFS(E86:AI86,E85:AI85,"=Р1",E86:AI86,"=15")/4,4)+SUMIFS(E86:AI86,E85:AI85,"=Р1",E86:AI86,"=16")/4</f>
        <v>0</v>
      </c>
      <c r="AO85" s="211">
        <f>IFERROR(SUMIF(E85:AI85,"=РВ",E86:AI86)+SUMIF(E85:AI85,"=ВЧ/РВ",E86:AI86)+SUMIF(E85:AI85,"=РН/РВ",E86:AI86)+SUMIF(E85:AI85,"=Р1/РВ",E86:AI86)+SUMIF(E85:AI85,"=ВЧ2/РВ",E86:AI86)+SUMIF(E85:AI85,"=Р2/РВ",E86:AI86),0)</f>
        <v>0</v>
      </c>
      <c r="AP85" s="211">
        <f t="shared" si="30"/>
        <v>0</v>
      </c>
      <c r="AQ85" s="211">
        <f>SUM(AR85:AZ85)</f>
        <v>167.99999999999997</v>
      </c>
      <c r="AR85" s="211">
        <f>IFERROR(SUMIF(E85:AI85,"=В",E86:AI86)+SUMIF(E85:AI85,"=Ч",E86:AI86)+SUMIF(E85:AI85,"=ВБ",E86:AI86),0)</f>
        <v>0</v>
      </c>
      <c r="AS85" s="211">
        <f>IFERROR(SUMIF(E85:AI85,"=Н",E86:AI86),0)</f>
        <v>0</v>
      </c>
      <c r="AT85" s="211">
        <f>IFERROR(SUMIF(E85:AI85,"=НА",E86:AI86),0)</f>
        <v>0</v>
      </c>
      <c r="AU85" s="211">
        <f>IFERROR(SUMIF(E85:AI85,"=ВП",E86:AI86),0)</f>
        <v>0</v>
      </c>
      <c r="AV85" s="211">
        <f>IFERROR(SUMIF(E85:AI85,"=ДД",E86:AI86),0)</f>
        <v>0</v>
      </c>
      <c r="AW85" s="202">
        <f>IFERROR(SUMIF(E85:AI85,"=ДО",E86:AI86),0)</f>
        <v>0</v>
      </c>
      <c r="AX85" s="211">
        <f>IFERROR(SUMIF(E85:AI85,"=ТН",E86:AI86),0)</f>
        <v>0</v>
      </c>
      <c r="AY85" s="211">
        <f>IFERROR(SUMIF(E85:AI85,"=ВД",E86:AI86),0)</f>
        <v>0</v>
      </c>
      <c r="AZ85" s="312">
        <f>IFERROR(SUMIF(E85:AI85,"=ІН",E86:AI86),0)+SUMIF(E85:AI85,"=НЗ",E86:AI86)</f>
        <v>167.99999999999997</v>
      </c>
    </row>
    <row r="86" spans="1:52" ht="20.100000000000001" customHeight="1" thickBot="1" x14ac:dyDescent="0.25">
      <c r="A86" s="331"/>
      <c r="B86" s="352"/>
      <c r="C86" s="338"/>
      <c r="D86" s="338"/>
      <c r="E86" s="192"/>
      <c r="F86" s="192"/>
      <c r="G86" s="192">
        <v>8.1999999999999993</v>
      </c>
      <c r="H86" s="192">
        <v>8.1999999999999993</v>
      </c>
      <c r="I86" s="192">
        <v>8.1999999999999993</v>
      </c>
      <c r="J86" s="192">
        <v>8.1999999999999993</v>
      </c>
      <c r="K86" s="192">
        <v>7</v>
      </c>
      <c r="L86" s="192"/>
      <c r="M86" s="192"/>
      <c r="N86" s="192">
        <v>8.1999999999999993</v>
      </c>
      <c r="O86" s="192">
        <v>8.1999999999999993</v>
      </c>
      <c r="P86" s="192">
        <v>8.1999999999999993</v>
      </c>
      <c r="Q86" s="192">
        <v>8.1999999999999993</v>
      </c>
      <c r="R86" s="192">
        <v>7.2</v>
      </c>
      <c r="S86" s="192"/>
      <c r="T86" s="192"/>
      <c r="U86" s="192">
        <v>8.1999999999999993</v>
      </c>
      <c r="V86" s="192">
        <v>8.1999999999999993</v>
      </c>
      <c r="W86" s="192">
        <v>8.1999999999999993</v>
      </c>
      <c r="X86" s="192">
        <v>8.1999999999999993</v>
      </c>
      <c r="Y86" s="192">
        <v>7.2</v>
      </c>
      <c r="Z86" s="192"/>
      <c r="AA86" s="192"/>
      <c r="AB86" s="192">
        <v>8.1999999999999993</v>
      </c>
      <c r="AC86" s="192">
        <v>8.1999999999999993</v>
      </c>
      <c r="AD86" s="192">
        <v>8.1999999999999993</v>
      </c>
      <c r="AE86" s="192">
        <v>8.1999999999999993</v>
      </c>
      <c r="AF86" s="192">
        <v>7.2</v>
      </c>
      <c r="AG86" s="192"/>
      <c r="AH86" s="192"/>
      <c r="AI86" s="192">
        <v>8.1999999999999993</v>
      </c>
      <c r="AJ86" s="335"/>
      <c r="AK86" s="334"/>
      <c r="AL86" s="286"/>
      <c r="AM86" s="286"/>
      <c r="AN86" s="212"/>
      <c r="AO86" s="286"/>
      <c r="AP86" s="212"/>
      <c r="AQ86" s="286"/>
      <c r="AR86" s="286"/>
      <c r="AS86" s="286"/>
      <c r="AT86" s="286"/>
      <c r="AU86" s="286"/>
      <c r="AV86" s="286"/>
      <c r="AW86" s="203"/>
      <c r="AX86" s="286"/>
      <c r="AY86" s="286"/>
      <c r="AZ86" s="329"/>
    </row>
    <row r="87" spans="1:52" ht="20.100000000000001" customHeight="1" x14ac:dyDescent="0.2">
      <c r="A87" s="330">
        <f t="shared" ref="A87" si="34">A85+1</f>
        <v>36</v>
      </c>
      <c r="B87" s="330" t="s">
        <v>304</v>
      </c>
      <c r="C87" s="228">
        <v>2177</v>
      </c>
      <c r="D87" s="228" t="s">
        <v>65</v>
      </c>
      <c r="E87" s="191" t="s">
        <v>142</v>
      </c>
      <c r="F87" s="191" t="s">
        <v>4</v>
      </c>
      <c r="G87" s="191" t="s">
        <v>43</v>
      </c>
      <c r="H87" s="191" t="s">
        <v>142</v>
      </c>
      <c r="I87" s="191" t="s">
        <v>142</v>
      </c>
      <c r="J87" s="191" t="s">
        <v>4</v>
      </c>
      <c r="K87" s="191" t="s">
        <v>43</v>
      </c>
      <c r="L87" s="191" t="s">
        <v>142</v>
      </c>
      <c r="M87" s="191" t="s">
        <v>142</v>
      </c>
      <c r="N87" s="191" t="s">
        <v>4</v>
      </c>
      <c r="O87" s="191" t="s">
        <v>43</v>
      </c>
      <c r="P87" s="191" t="s">
        <v>142</v>
      </c>
      <c r="Q87" s="191" t="s">
        <v>142</v>
      </c>
      <c r="R87" s="191" t="s">
        <v>4</v>
      </c>
      <c r="S87" s="191" t="s">
        <v>43</v>
      </c>
      <c r="T87" s="191" t="s">
        <v>142</v>
      </c>
      <c r="U87" s="191" t="s">
        <v>142</v>
      </c>
      <c r="V87" s="191" t="s">
        <v>4</v>
      </c>
      <c r="W87" s="191" t="s">
        <v>43</v>
      </c>
      <c r="X87" s="191" t="s">
        <v>142</v>
      </c>
      <c r="Y87" s="191" t="s">
        <v>142</v>
      </c>
      <c r="Z87" s="191" t="s">
        <v>4</v>
      </c>
      <c r="AA87" s="191" t="s">
        <v>43</v>
      </c>
      <c r="AB87" s="191" t="s">
        <v>142</v>
      </c>
      <c r="AC87" s="191" t="s">
        <v>142</v>
      </c>
      <c r="AD87" s="191" t="s">
        <v>4</v>
      </c>
      <c r="AE87" s="191" t="s">
        <v>43</v>
      </c>
      <c r="AF87" s="191" t="s">
        <v>142</v>
      </c>
      <c r="AG87" s="191" t="s">
        <v>142</v>
      </c>
      <c r="AH87" s="191" t="s">
        <v>4</v>
      </c>
      <c r="AI87" s="191" t="s">
        <v>43</v>
      </c>
      <c r="AJ87" s="332">
        <f>IFERROR(COUNTIF(E87:AI87,"=Р")+COUNTIF(E87:AI87,"=Р1")+COUNTIF(E87:AI87,"=ВЧ")+COUNTIF(E87:AI87,"=РН")+COUNTIF(E87:AI87,"=Р2")+COUNTIF(E87:AI87,"=Р1/РВ")+COUNTIF(E87:AI87,"=Р2/РВ")+COUNTIF(E87:AI87,"=ВЧ/РВ")+COUNTIF(E87:AI87,"=РН/РВ"),0)</f>
        <v>16</v>
      </c>
      <c r="AK87" s="333">
        <f>IFERROR(SUMIF(E87:AI87,"=Р2",E88:AI88)+SUMIF(E87:AI87,"=ВЧ/РВ",E88:AI88)+SUMIF(E87:AI87,"=РН/РВ",E88:AI88)+SUMIF(E87:AI87,"=Р1/РВ",E88:AI88)+SUMIF(E87:AI87,"=ВЧ2/РВ",E88:AI88)+SUMIF(E87:AI87,"=Р2/РВ",E88:AI88)+SUMIF(E87:AI87,"=Р",E88:AI88)+SUMIF(E87:AI87,"=Р1",E88:AI88)+SUMIF(E87:AI87,"=ВЧ1",E88:AI88)+SUMIF(E87:AI87,"=РН",E88:AI88)+SUMIF(E87:AI87,"=ВЧ",E88:AI88),0)+AL87</f>
        <v>168</v>
      </c>
      <c r="AL87" s="211">
        <f>IFERROR(SUMIF(E87:AI87,"=НУ",E88:AI88),0)</f>
        <v>0</v>
      </c>
      <c r="AM87" s="211">
        <f>IFERROR(SUMIF(E87:AI87,"=РН",E88:AI88)+SUMIF(E87:AI87,"=РН/РВ",E88:AI88)+SUMIFS(E88:AI88,E87:AI87,"=Р2",E88:AI88,"=8"),0)</f>
        <v>64</v>
      </c>
      <c r="AN87" s="211">
        <f>IFERROR(SUMIF(E87:AI87,"=ВЧ",E88:AI88)+SUMIF(E87:AI87,"=ВЧ/РВ",E88:AI88)+CEILING(COUNTIFS(E87:AI87,"=Р2",E88:AI88,"=7")*4,1)+CEILING(COUNTIFS(E87:AI87,"=Р2/РВ",E88:AI88,"=7")*4,1)+SUMIFS(E88:AI88,E87:AI87,"=Р1/РВ",E88:AI88,"=12")/6+SUMIFS(E88:AI88,E87:AI87,"=ВЧ2/РВ",E88:AI88,"=4")/2+SUMIFS(E88:AI88,E87:AI87,"=Р1",E88:AI88,"=12")/6+SUMIFS(E88:AI88,E87:AI87,"=Р1",E88:AI88,"=8")/4+SUMIF(E87:AI87,"=ВЧ1",E88:AI88)/2,0)+CEILING(SUMIFS(E88:AI88,E87:AI87,"=Р",E88:AI88,"=13")/4,8)+CEILING(SUMIFS(E88:AI88,E87:AI87,"=Р",E88:AI88,"=14")/4,4)+CEILING(SUMIFS(E88:AI88,E87:AI87,"=Р",E88:AI88,"=15")/4,4)+SUMIFS(E88:AI88,E87:AI87,"=Р",E88:AI88,"=16")/4+CEILING(SUMIFS(E88:AI88,E87:AI87,"=Р1",E88:AI88,"=13")/4,4)+CEILING(SUMIFS(E88:AI88,E87:AI87,"=Р1",E88:AI88,"=14")/4,4)+CEILING(SUMIFS(E88:AI88,E87:AI87,"=Р1",E88:AI88,"=15")/4,4)+SUMIFS(E88:AI88,E87:AI87,"=Р1",E88:AI88,"=16")/4</f>
        <v>32</v>
      </c>
      <c r="AO87" s="211">
        <f>IFERROR(SUMIF(E87:AI87,"=РВ",E88:AI88)+SUMIF(E87:AI87,"=ВЧ/РВ",E88:AI88)+SUMIF(E87:AI87,"=РН/РВ",E88:AI88)+SUMIF(E87:AI87,"=Р1/РВ",E88:AI88)+SUMIF(E87:AI87,"=ВЧ2/РВ",E88:AI88)+SUMIF(E87:AI87,"=Р2/РВ",E88:AI88),0)</f>
        <v>0</v>
      </c>
      <c r="AP87" s="211">
        <f>IFERROR(COUNTIF(E87:AI87,"=ВВ")+COUNTIF(E87:AI87,"=Р1/ВВ")+COUNTIF(E87:AI87,"=РН/ВВ")+COUNTIF(E87:AI87,"=ВЧ/ВВ"),0)</f>
        <v>15</v>
      </c>
      <c r="AQ87" s="211">
        <f>SUM(AR87:AZ87)</f>
        <v>0</v>
      </c>
      <c r="AR87" s="211">
        <f>IFERROR(SUMIF(E87:AI87,"=В",E88:AI88)+SUMIF(E87:AI87,"=Ч",E88:AI88)+SUMIF(E87:AI87,"=ВБ",E88:AI88),0)</f>
        <v>0</v>
      </c>
      <c r="AS87" s="211">
        <f>IFERROR(SUMIF(E87:AI87,"=Н",E88:AI88),0)</f>
        <v>0</v>
      </c>
      <c r="AT87" s="211">
        <f>IFERROR(SUMIF(E87:AI87,"=НА",E88:AI88),0)</f>
        <v>0</v>
      </c>
      <c r="AU87" s="211">
        <f>IFERROR(SUMIF(E87:AI87,"=ВП",E88:AI88),0)</f>
        <v>0</v>
      </c>
      <c r="AV87" s="211">
        <f>IFERROR(SUMIF(E87:AI87,"=ДД",E88:AI88),0)</f>
        <v>0</v>
      </c>
      <c r="AW87" s="202">
        <f>IFERROR(SUMIF(E87:AI87,"=ДО",E88:AI88),0)</f>
        <v>0</v>
      </c>
      <c r="AX87" s="211">
        <f>IFERROR(SUMIF(E87:AI87,"=ТН",E88:AI88),0)</f>
        <v>0</v>
      </c>
      <c r="AY87" s="211">
        <f>IFERROR(SUMIF(E87:AI87,"=ВД",E88:AI88),0)</f>
        <v>0</v>
      </c>
      <c r="AZ87" s="312">
        <f>IFERROR(SUMIF(E87:AI87,"=ІН",E88:AI88),0)+SUMIF(E87:AI87,"=НЗ",E88:AI88)</f>
        <v>0</v>
      </c>
    </row>
    <row r="88" spans="1:52" ht="17.25" customHeight="1" thickBot="1" x14ac:dyDescent="0.25">
      <c r="A88" s="331"/>
      <c r="B88" s="331"/>
      <c r="C88" s="229"/>
      <c r="D88" s="229"/>
      <c r="E88" s="192"/>
      <c r="F88" s="192">
        <v>13</v>
      </c>
      <c r="G88" s="192">
        <v>8</v>
      </c>
      <c r="H88" s="192"/>
      <c r="I88" s="192"/>
      <c r="J88" s="192">
        <v>13</v>
      </c>
      <c r="K88" s="192">
        <v>8</v>
      </c>
      <c r="L88" s="192"/>
      <c r="M88" s="192"/>
      <c r="N88" s="192">
        <v>13</v>
      </c>
      <c r="O88" s="192">
        <v>8</v>
      </c>
      <c r="P88" s="192"/>
      <c r="Q88" s="192"/>
      <c r="R88" s="192">
        <v>13</v>
      </c>
      <c r="S88" s="192">
        <v>8</v>
      </c>
      <c r="T88" s="192"/>
      <c r="U88" s="192"/>
      <c r="V88" s="192">
        <v>13</v>
      </c>
      <c r="W88" s="192">
        <v>8</v>
      </c>
      <c r="X88" s="192"/>
      <c r="Y88" s="192"/>
      <c r="Z88" s="192">
        <v>13</v>
      </c>
      <c r="AA88" s="192">
        <v>8</v>
      </c>
      <c r="AB88" s="192"/>
      <c r="AC88" s="192"/>
      <c r="AD88" s="192">
        <v>13</v>
      </c>
      <c r="AE88" s="192">
        <v>8</v>
      </c>
      <c r="AF88" s="192"/>
      <c r="AG88" s="192"/>
      <c r="AH88" s="192">
        <v>13</v>
      </c>
      <c r="AI88" s="192">
        <v>8</v>
      </c>
      <c r="AJ88" s="335"/>
      <c r="AK88" s="334"/>
      <c r="AL88" s="286"/>
      <c r="AM88" s="286"/>
      <c r="AN88" s="212"/>
      <c r="AO88" s="286"/>
      <c r="AP88" s="212"/>
      <c r="AQ88" s="286"/>
      <c r="AR88" s="286"/>
      <c r="AS88" s="286"/>
      <c r="AT88" s="286"/>
      <c r="AU88" s="286"/>
      <c r="AV88" s="286"/>
      <c r="AW88" s="203"/>
      <c r="AX88" s="286"/>
      <c r="AY88" s="286"/>
      <c r="AZ88" s="329"/>
    </row>
    <row r="89" spans="1:52" s="163" customFormat="1" ht="24" customHeight="1" x14ac:dyDescent="0.2">
      <c r="A89" s="330">
        <f t="shared" ref="A89" si="35">A87+1</f>
        <v>37</v>
      </c>
      <c r="B89" s="336" t="s">
        <v>403</v>
      </c>
      <c r="C89" s="228">
        <v>1884</v>
      </c>
      <c r="D89" s="228" t="s">
        <v>72</v>
      </c>
      <c r="E89" s="191" t="s">
        <v>43</v>
      </c>
      <c r="F89" s="191" t="s">
        <v>142</v>
      </c>
      <c r="G89" s="191" t="s">
        <v>142</v>
      </c>
      <c r="H89" s="191" t="s">
        <v>4</v>
      </c>
      <c r="I89" s="191" t="s">
        <v>43</v>
      </c>
      <c r="J89" s="191" t="s">
        <v>142</v>
      </c>
      <c r="K89" s="191" t="s">
        <v>142</v>
      </c>
      <c r="L89" s="191" t="s">
        <v>4</v>
      </c>
      <c r="M89" s="191" t="s">
        <v>43</v>
      </c>
      <c r="N89" s="191" t="s">
        <v>142</v>
      </c>
      <c r="O89" s="191" t="s">
        <v>142</v>
      </c>
      <c r="P89" s="191" t="s">
        <v>4</v>
      </c>
      <c r="Q89" s="191" t="s">
        <v>43</v>
      </c>
      <c r="R89" s="191" t="s">
        <v>142</v>
      </c>
      <c r="S89" s="191" t="s">
        <v>142</v>
      </c>
      <c r="T89" s="191" t="s">
        <v>4</v>
      </c>
      <c r="U89" s="191" t="s">
        <v>43</v>
      </c>
      <c r="V89" s="191" t="s">
        <v>142</v>
      </c>
      <c r="W89" s="191" t="s">
        <v>142</v>
      </c>
      <c r="X89" s="191" t="s">
        <v>4</v>
      </c>
      <c r="Y89" s="191" t="s">
        <v>43</v>
      </c>
      <c r="Z89" s="191" t="s">
        <v>142</v>
      </c>
      <c r="AA89" s="191" t="s">
        <v>142</v>
      </c>
      <c r="AB89" s="191" t="s">
        <v>4</v>
      </c>
      <c r="AC89" s="191" t="s">
        <v>43</v>
      </c>
      <c r="AD89" s="191" t="s">
        <v>142</v>
      </c>
      <c r="AE89" s="191" t="s">
        <v>142</v>
      </c>
      <c r="AF89" s="191" t="s">
        <v>4</v>
      </c>
      <c r="AG89" s="191"/>
      <c r="AH89" s="191"/>
      <c r="AI89" s="191"/>
      <c r="AJ89" s="332">
        <f>IFERROR(COUNTIF(E89:AI89,"=Р")+COUNTIF(E89:AI89,"=Р1")+COUNTIF(E89:AI89,"=ВЧ")+COUNTIF(E89:AI89,"=РН")+COUNTIF(E89:AI89,"=Р2")+COUNTIF(E89:AI89,"=Р1/РВ")+COUNTIF(E89:AI89,"=Р2/РВ")+COUNTIF(E89:AI89,"=ВЧ/РВ")+COUNTIF(E89:AI89,"=РН/РВ"),0)</f>
        <v>14</v>
      </c>
      <c r="AK89" s="333">
        <f>IFERROR(SUMIF(E89:AI89,"=Р2",E90:AI90)+SUMIF(E89:AI89,"=ВЧ/РВ",E90:AI90)+SUMIF(E89:AI89,"=РН/РВ",E90:AI90)+SUMIF(E89:AI89,"=Р1/РВ",E90:AI90)+SUMIF(E89:AI89,"=ВЧ2/РВ",E90:AI90)+SUMIF(E89:AI89,"=Р2/РВ",E90:AI90)+SUMIF(E89:AI89,"=Р",E90:AI90)+SUMIF(E89:AI89,"=Р1",E90:AI90)+SUMIF(E89:AI89,"=ВЧ1",E90:AI90)+SUMIF(E89:AI89,"=РН",E90:AI90)+SUMIF(E89:AI89,"=ВЧ",E90:AI90),0)+AL89</f>
        <v>164</v>
      </c>
      <c r="AL89" s="211">
        <f>IFERROR(SUMIF(E89:AI89,"=НУ",E90:AI90),0)</f>
        <v>0</v>
      </c>
      <c r="AM89" s="211">
        <f>IFERROR(SUMIF(E89:AI89,"=РН",E90:AI90)+SUMIF(E89:AI89,"=РН/РВ",E90:AI90)+SUMIFS(E90:AI90,E89:AI89,"=Р2",E90:AI90,"=8"),0)</f>
        <v>56</v>
      </c>
      <c r="AN89" s="211">
        <f>IFERROR(SUMIF(E89:AI89,"=ВЧ",E90:AI90)+SUMIF(E89:AI89,"=ВЧ/РВ",E90:AI90)+CEILING(COUNTIFS(E89:AI89,"=Р2",E90:AI90,"=7")*4,1)+CEILING(COUNTIFS(E89:AI89,"=Р2/РВ",E90:AI90,"=7")*4,1)+SUMIFS(E90:AI90,E89:AI89,"=Р1/РВ",E90:AI90,"=12")/6+SUMIFS(E90:AI90,E89:AI89,"=ВЧ2/РВ",E90:AI90,"=4")/2+SUMIFS(E90:AI90,E89:AI89,"=Р1",E90:AI90,"=12")/6+SUMIFS(E90:AI90,E89:AI89,"=Р1",E90:AI90,"=8")/4+SUMIF(E89:AI89,"=ВЧ1",E90:AI90)/2,0)+CEILING(SUMIFS(E90:AI90,E89:AI89,"=Р",E90:AI90,"=13")/4,4)+CEILING(SUMIFS(E90:AI90,E89:AI89,"=Р",E90:AI90,"=14")/4,4)+CEILING(SUMIFS(E90:AI90,E89:AI89,"=Р",E90:AI90,"=15")/4,4)+SUMIFS(E90:AI90,E89:AI89,"=Р",E90:AI90,"=16")/4+CEILING(SUMIFS(E90:AI90,E89:AI89,"=Р1",E90:AI90,"=13")/4,4)+CEILING(SUMIFS(E90:AI90,E89:AI89,"=Р1",E90:AI90,"=14")/4,4)+CEILING(SUMIFS(E90:AI90,E89:AI89,"=Р1",E90:AI90,"=15")/4,4)+SUMIFS(E90:AI90,E89:AI89,"=Р1",E90:AI90,"=16")/4</f>
        <v>28</v>
      </c>
      <c r="AO89" s="211">
        <f>IFERROR(SUMIF(E89:AI89,"=РВ",E90:AI90)+SUMIF(E89:AI89,"=ВЧ/РВ",E90:AI90)+SUMIF(E89:AI89,"=РН/РВ",E90:AI90)+SUMIF(E89:AI89,"=Р1/РВ",E90:AI90)+SUMIF(E89:AI89,"=ВЧ2/РВ",E90:AI90)+SUMIF(E89:AI89,"=Р2/РВ",E90:AI90),0)</f>
        <v>0</v>
      </c>
      <c r="AP89" s="211">
        <f>IFERROR(COUNTIF(E89:AI89,"=ВВ")+COUNTIF(E89:AI89,"=Р1/ВВ")+COUNTIF(E89:AI89,"=РН/ВВ")+COUNTIF(E89:AI89,"=ВЧ/ВВ"),0)</f>
        <v>14</v>
      </c>
      <c r="AQ89" s="211">
        <f>SUM(AR89:AZ89)</f>
        <v>0</v>
      </c>
      <c r="AR89" s="211">
        <f>IFERROR(SUMIF(E89:AI89,"=В",E90:AI90)+SUMIF(E89:AI89,"=Ч",E90:AI90)+SUMIF(E89:AI89,"=ВБ",E90:AI90),0)</f>
        <v>0</v>
      </c>
      <c r="AS89" s="211">
        <f>IFERROR(SUMIF(E89:AI89,"=Н",E90:AI90),0)</f>
        <v>0</v>
      </c>
      <c r="AT89" s="211">
        <f>IFERROR(SUMIF(E89:AI89,"=НА",E90:AI90),0)</f>
        <v>0</v>
      </c>
      <c r="AU89" s="211">
        <f>IFERROR(SUMIF(E89:AI89,"=ВП",E90:AI90),0)</f>
        <v>0</v>
      </c>
      <c r="AV89" s="211">
        <f>IFERROR(SUMIF(E89:AI89,"=ДД",E90:AI90),0)</f>
        <v>0</v>
      </c>
      <c r="AW89" s="202">
        <f>IFERROR(SUMIF(E89:AI89,"=ДО",E90:AI90),0)</f>
        <v>0</v>
      </c>
      <c r="AX89" s="211">
        <f>IFERROR(SUMIF(E89:AI89,"=ТН",E90:AI90),0)</f>
        <v>0</v>
      </c>
      <c r="AY89" s="211">
        <f>IFERROR(SUMIF(E89:AI89,"=ВД",E90:AI90),0)</f>
        <v>0</v>
      </c>
      <c r="AZ89" s="312">
        <f>IFERROR(SUMIF(E89:AI89,"=ІН",E90:AI90),0)+SUMIF(E89:AI89,"=НЗ",E90:AI90)</f>
        <v>0</v>
      </c>
    </row>
    <row r="90" spans="1:52" s="163" customFormat="1" ht="19.5" customHeight="1" thickBot="1" x14ac:dyDescent="0.25">
      <c r="A90" s="331"/>
      <c r="B90" s="331"/>
      <c r="C90" s="337"/>
      <c r="D90" s="337"/>
      <c r="E90" s="192">
        <v>8</v>
      </c>
      <c r="F90" s="192"/>
      <c r="G90" s="192"/>
      <c r="H90" s="192">
        <v>16</v>
      </c>
      <c r="I90" s="192">
        <v>8</v>
      </c>
      <c r="J90" s="192"/>
      <c r="K90" s="192"/>
      <c r="L90" s="192">
        <v>16</v>
      </c>
      <c r="M90" s="192">
        <v>8</v>
      </c>
      <c r="N90" s="192"/>
      <c r="O90" s="192"/>
      <c r="P90" s="192">
        <v>14</v>
      </c>
      <c r="Q90" s="192">
        <v>8</v>
      </c>
      <c r="R90" s="192"/>
      <c r="S90" s="192"/>
      <c r="T90" s="192">
        <v>16</v>
      </c>
      <c r="U90" s="192">
        <v>8</v>
      </c>
      <c r="V90" s="192"/>
      <c r="W90" s="192"/>
      <c r="X90" s="192">
        <v>14</v>
      </c>
      <c r="Y90" s="192">
        <v>8</v>
      </c>
      <c r="Z90" s="192"/>
      <c r="AA90" s="192"/>
      <c r="AB90" s="192">
        <v>16</v>
      </c>
      <c r="AC90" s="192">
        <v>8</v>
      </c>
      <c r="AD90" s="192"/>
      <c r="AE90" s="192"/>
      <c r="AF90" s="192">
        <v>16</v>
      </c>
      <c r="AG90" s="192" t="s">
        <v>491</v>
      </c>
      <c r="AH90" s="192" t="s">
        <v>492</v>
      </c>
      <c r="AI90" s="192" t="s">
        <v>493</v>
      </c>
      <c r="AJ90" s="335"/>
      <c r="AK90" s="334"/>
      <c r="AL90" s="286"/>
      <c r="AM90" s="286"/>
      <c r="AN90" s="212"/>
      <c r="AO90" s="286"/>
      <c r="AP90" s="212"/>
      <c r="AQ90" s="286"/>
      <c r="AR90" s="286"/>
      <c r="AS90" s="286"/>
      <c r="AT90" s="286"/>
      <c r="AU90" s="286"/>
      <c r="AV90" s="286"/>
      <c r="AW90" s="203"/>
      <c r="AX90" s="286"/>
      <c r="AY90" s="286"/>
      <c r="AZ90" s="329"/>
    </row>
    <row r="91" spans="1:52" ht="20.100000000000001" customHeight="1" x14ac:dyDescent="0.2">
      <c r="A91" s="330">
        <f t="shared" ref="A91" si="36">A89+1</f>
        <v>38</v>
      </c>
      <c r="B91" s="330" t="s">
        <v>250</v>
      </c>
      <c r="C91" s="228">
        <v>1154</v>
      </c>
      <c r="D91" s="228" t="s">
        <v>65</v>
      </c>
      <c r="E91" s="191" t="s">
        <v>43</v>
      </c>
      <c r="F91" s="191" t="s">
        <v>142</v>
      </c>
      <c r="G91" s="191" t="s">
        <v>142</v>
      </c>
      <c r="H91" s="191" t="s">
        <v>4</v>
      </c>
      <c r="I91" s="191" t="s">
        <v>43</v>
      </c>
      <c r="J91" s="191" t="s">
        <v>142</v>
      </c>
      <c r="K91" s="191" t="s">
        <v>142</v>
      </c>
      <c r="L91" s="191" t="s">
        <v>4</v>
      </c>
      <c r="M91" s="191" t="s">
        <v>43</v>
      </c>
      <c r="N91" s="191" t="s">
        <v>142</v>
      </c>
      <c r="O91" s="191" t="s">
        <v>142</v>
      </c>
      <c r="P91" s="191" t="s">
        <v>4</v>
      </c>
      <c r="Q91" s="191" t="s">
        <v>43</v>
      </c>
      <c r="R91" s="191" t="s">
        <v>142</v>
      </c>
      <c r="S91" s="191" t="s">
        <v>142</v>
      </c>
      <c r="T91" s="191" t="s">
        <v>4</v>
      </c>
      <c r="U91" s="191" t="s">
        <v>43</v>
      </c>
      <c r="V91" s="191" t="s">
        <v>142</v>
      </c>
      <c r="W91" s="191" t="s">
        <v>142</v>
      </c>
      <c r="X91" s="191" t="s">
        <v>4</v>
      </c>
      <c r="Y91" s="191" t="s">
        <v>43</v>
      </c>
      <c r="Z91" s="191" t="s">
        <v>142</v>
      </c>
      <c r="AA91" s="191" t="s">
        <v>142</v>
      </c>
      <c r="AB91" s="191" t="s">
        <v>4</v>
      </c>
      <c r="AC91" s="191" t="s">
        <v>43</v>
      </c>
      <c r="AD91" s="191" t="s">
        <v>142</v>
      </c>
      <c r="AE91" s="191" t="s">
        <v>142</v>
      </c>
      <c r="AF91" s="191" t="s">
        <v>4</v>
      </c>
      <c r="AG91" s="191" t="s">
        <v>43</v>
      </c>
      <c r="AH91" s="191" t="s">
        <v>142</v>
      </c>
      <c r="AI91" s="191" t="s">
        <v>142</v>
      </c>
      <c r="AJ91" s="332">
        <f>IFERROR(COUNTIF(E91:AI91,"=Р")+COUNTIF(E91:AI91,"=Р1")+COUNTIF(E91:AI91,"=ВЧ")+COUNTIF(E91:AI91,"=РН")+COUNTIF(E91:AI91,"=Р2")+COUNTIF(E91:AI91,"=Р1/РВ")+COUNTIF(E91:AI91,"=Р2/РВ")+COUNTIF(E91:AI91,"=ВЧ/РВ")+COUNTIF(E91:AI91,"=РН/РВ"),0)</f>
        <v>15</v>
      </c>
      <c r="AK91" s="333">
        <f>IFERROR(SUMIF(E91:AI91,"=Р2",E92:AI92)+SUMIF(E91:AI91,"=ВЧ/РВ",E92:AI92)+SUMIF(E91:AI91,"=РН/РВ",E92:AI92)+SUMIF(E91:AI91,"=Р1/РВ",E92:AI92)+SUMIF(E91:AI91,"=ВЧ2/РВ",E92:AI92)+SUMIF(E91:AI91,"=Р2/РВ",E92:AI92)+SUMIF(E91:AI91,"=Р",E92:AI92)+SUMIF(E91:AI91,"=Р1",E92:AI92)+SUMIF(E91:AI91,"=ВЧ1",E92:AI92)+SUMIF(E91:AI91,"=РН",E92:AI92)+SUMIF(E91:AI91,"=ВЧ",E92:AI92),0)+AL91</f>
        <v>168</v>
      </c>
      <c r="AL91" s="211">
        <f>IFERROR(SUMIF(E91:AI91,"=НУ",E92:AI92),0)</f>
        <v>0</v>
      </c>
      <c r="AM91" s="211">
        <f>IFERROR(SUMIF(E91:AI91,"=РН",E92:AI92)+SUMIF(E91:AI91,"=РН/РВ",E92:AI92)+SUMIFS(E92:AI92,E91:AI91,"=Р2",E92:AI92,"=8"),0)</f>
        <v>64</v>
      </c>
      <c r="AN91" s="211">
        <f>IFERROR(SUMIF(E91:AI91,"=ВЧ",E92:AI92)+SUMIF(E91:AI91,"=ВЧ/РВ",E92:AI92)+CEILING(COUNTIFS(E91:AI91,"=Р2",E92:AI92,"=7")*4,1)+CEILING(COUNTIFS(E91:AI91,"=Р2/РВ",E92:AI92,"=7")*4,1)+SUMIFS(E92:AI92,E91:AI91,"=Р1/РВ",E92:AI92,"=12")/6+SUMIFS(E92:AI92,E91:AI91,"=ВЧ2/РВ",E92:AI92,"=4")/2+SUMIFS(E92:AI92,E91:AI91,"=Р1",E92:AI92,"=12")/6+SUMIFS(E92:AI92,E91:AI91,"=Р1",E92:AI92,"=8")/4+SUMIF(E91:AI91,"=ВЧ1",E92:AI92)/2,0)+CEILING(SUMIFS(E92:AI92,E91:AI91,"=Р",E92:AI92,"=13")/4,4)+CEILING(SUMIFS(E92:AI92,E91:AI91,"=Р",E92:AI92,"=14")/4,4)+CEILING(SUMIFS(E92:AI92,E91:AI91,"=Р",E92:AI92,"=15")/4,4)+SUMIFS(E92:AI92,E91:AI91,"=Р",E92:AI92,"=16")/4+CEILING(SUMIFS(E92:AI92,E91:AI91,"=Р1",E92:AI92,"=13")/4,4)+CEILING(SUMIFS(E92:AI92,E91:AI91,"=Р1",E92:AI92,"=14")/4,4)+CEILING(SUMIFS(E92:AI92,E91:AI91,"=Р1",E92:AI92,"=15")/4,4)+SUMIFS(E92:AI92,E91:AI91,"=Р1",E92:AI92,"=16")/4</f>
        <v>28</v>
      </c>
      <c r="AO91" s="211">
        <f>IFERROR(SUMIF(E91:AI91,"=РВ",E92:AI92)+SUMIF(E91:AI91,"=ВЧ/РВ",E92:AI92)+SUMIF(E91:AI91,"=РН/РВ",E92:AI92)+SUMIF(E91:AI91,"=Р1/РВ",E92:AI92)+SUMIF(E91:AI91,"=ВЧ2/РВ",E92:AI92)+SUMIF(E91:AI91,"=Р2/РВ",E92:AI92),0)</f>
        <v>0</v>
      </c>
      <c r="AP91" s="211">
        <f t="shared" si="30"/>
        <v>16</v>
      </c>
      <c r="AQ91" s="211">
        <f>SUM(AR91:AZ91)</f>
        <v>0</v>
      </c>
      <c r="AR91" s="211">
        <f>IFERROR(SUMIF(E91:AI91,"=В",E92:AI92)+SUMIF(E91:AI91,"=Ч",E92:AI92)+SUMIF(E91:AI91,"=ВБ",E92:AI92),0)</f>
        <v>0</v>
      </c>
      <c r="AS91" s="211">
        <f>IFERROR(SUMIF(E91:AI91,"=Н",E92:AI92),0)</f>
        <v>0</v>
      </c>
      <c r="AT91" s="211">
        <f>IFERROR(SUMIF(E91:AI91,"=НА",E92:AI92),0)</f>
        <v>0</v>
      </c>
      <c r="AU91" s="211">
        <f>IFERROR(SUMIF(E91:AI91,"=ВП",E92:AI92),0)</f>
        <v>0</v>
      </c>
      <c r="AV91" s="211">
        <f>IFERROR(SUMIF(E91:AI91,"=ДД",E92:AI92),0)</f>
        <v>0</v>
      </c>
      <c r="AW91" s="202">
        <f>IFERROR(SUMIF(E91:AI91,"=ДО",E92:AI92),0)</f>
        <v>0</v>
      </c>
      <c r="AX91" s="211">
        <f>IFERROR(SUMIF(E91:AI91,"=ТН",E92:AI92),0)</f>
        <v>0</v>
      </c>
      <c r="AY91" s="211">
        <f>IFERROR(SUMIF(E91:AI91,"=ВД",E92:AI92),0)</f>
        <v>0</v>
      </c>
      <c r="AZ91" s="312">
        <f>IFERROR(SUMIF(E91:AI91,"=ІН",E92:AI92),0)+SUMIF(E91:AI91,"=НЗ",E92:AI92)</f>
        <v>0</v>
      </c>
    </row>
    <row r="92" spans="1:52" ht="20.100000000000001" customHeight="1" thickBot="1" x14ac:dyDescent="0.25">
      <c r="A92" s="331"/>
      <c r="B92" s="331"/>
      <c r="C92" s="229"/>
      <c r="D92" s="229"/>
      <c r="E92" s="192">
        <v>8</v>
      </c>
      <c r="F92" s="192"/>
      <c r="G92" s="192"/>
      <c r="H92" s="192">
        <v>16</v>
      </c>
      <c r="I92" s="192">
        <v>8</v>
      </c>
      <c r="J92" s="192"/>
      <c r="K92" s="192"/>
      <c r="L92" s="192">
        <v>16</v>
      </c>
      <c r="M92" s="192">
        <v>8</v>
      </c>
      <c r="N92" s="192"/>
      <c r="O92" s="192"/>
      <c r="P92" s="192">
        <v>13</v>
      </c>
      <c r="Q92" s="192">
        <v>8</v>
      </c>
      <c r="R92" s="192"/>
      <c r="S92" s="192"/>
      <c r="T92" s="192">
        <v>13</v>
      </c>
      <c r="U92" s="192">
        <v>8</v>
      </c>
      <c r="V92" s="192"/>
      <c r="W92" s="192"/>
      <c r="X92" s="192">
        <v>14</v>
      </c>
      <c r="Y92" s="192">
        <v>8</v>
      </c>
      <c r="Z92" s="192"/>
      <c r="AA92" s="192"/>
      <c r="AB92" s="192">
        <v>16</v>
      </c>
      <c r="AC92" s="192">
        <v>8</v>
      </c>
      <c r="AD92" s="192"/>
      <c r="AE92" s="192"/>
      <c r="AF92" s="192">
        <v>16</v>
      </c>
      <c r="AG92" s="192">
        <v>8</v>
      </c>
      <c r="AH92" s="192"/>
      <c r="AI92" s="192"/>
      <c r="AJ92" s="335"/>
      <c r="AK92" s="334"/>
      <c r="AL92" s="286"/>
      <c r="AM92" s="286"/>
      <c r="AN92" s="212"/>
      <c r="AO92" s="286"/>
      <c r="AP92" s="212"/>
      <c r="AQ92" s="286"/>
      <c r="AR92" s="286"/>
      <c r="AS92" s="286"/>
      <c r="AT92" s="286"/>
      <c r="AU92" s="286"/>
      <c r="AV92" s="286"/>
      <c r="AW92" s="203"/>
      <c r="AX92" s="286"/>
      <c r="AY92" s="286"/>
      <c r="AZ92" s="329"/>
    </row>
    <row r="93" spans="1:52" ht="20.100000000000001" customHeight="1" x14ac:dyDescent="0.2">
      <c r="A93" s="330">
        <f t="shared" ref="A93" si="37">A91+1</f>
        <v>39</v>
      </c>
      <c r="B93" s="336" t="s">
        <v>251</v>
      </c>
      <c r="C93" s="293">
        <v>1683</v>
      </c>
      <c r="D93" s="293" t="s">
        <v>65</v>
      </c>
      <c r="E93" s="191" t="s">
        <v>142</v>
      </c>
      <c r="F93" s="191" t="s">
        <v>142</v>
      </c>
      <c r="G93" s="191" t="s">
        <v>4</v>
      </c>
      <c r="H93" s="191" t="s">
        <v>43</v>
      </c>
      <c r="I93" s="191" t="s">
        <v>142</v>
      </c>
      <c r="J93" s="191" t="s">
        <v>142</v>
      </c>
      <c r="K93" s="191" t="s">
        <v>4</v>
      </c>
      <c r="L93" s="191" t="s">
        <v>43</v>
      </c>
      <c r="M93" s="191" t="s">
        <v>142</v>
      </c>
      <c r="N93" s="191" t="s">
        <v>142</v>
      </c>
      <c r="O93" s="191" t="s">
        <v>4</v>
      </c>
      <c r="P93" s="191" t="s">
        <v>43</v>
      </c>
      <c r="Q93" s="191" t="s">
        <v>142</v>
      </c>
      <c r="R93" s="191" t="s">
        <v>142</v>
      </c>
      <c r="S93" s="191" t="s">
        <v>4</v>
      </c>
      <c r="T93" s="191" t="s">
        <v>43</v>
      </c>
      <c r="U93" s="191" t="s">
        <v>142</v>
      </c>
      <c r="V93" s="191" t="s">
        <v>142</v>
      </c>
      <c r="W93" s="191" t="s">
        <v>4</v>
      </c>
      <c r="X93" s="191" t="s">
        <v>43</v>
      </c>
      <c r="Y93" s="191" t="s">
        <v>142</v>
      </c>
      <c r="Z93" s="191" t="s">
        <v>142</v>
      </c>
      <c r="AA93" s="191" t="s">
        <v>4</v>
      </c>
      <c r="AB93" s="191" t="s">
        <v>43</v>
      </c>
      <c r="AC93" s="191" t="s">
        <v>142</v>
      </c>
      <c r="AD93" s="191" t="s">
        <v>142</v>
      </c>
      <c r="AE93" s="191" t="s">
        <v>4</v>
      </c>
      <c r="AF93" s="191" t="s">
        <v>43</v>
      </c>
      <c r="AG93" s="191" t="s">
        <v>142</v>
      </c>
      <c r="AH93" s="191" t="s">
        <v>142</v>
      </c>
      <c r="AI93" s="191" t="s">
        <v>263</v>
      </c>
      <c r="AJ93" s="332">
        <f>IFERROR(COUNTIF(E93:AI93,"=Р")+COUNTIF(E93:AI93,"=Р1")+COUNTIF(E93:AI93,"=ВЧ")+COUNTIF(E93:AI93,"=РН")+COUNTIF(E93:AI93,"=Р2")+COUNTIF(E93:AI93,"=Р1/РВ")+COUNTIF(E93:AI93,"=Р2/РВ")+COUNTIF(E93:AI93,"=ВЧ/РВ")+COUNTIF(E93:AI93,"=РН/РВ"),0)</f>
        <v>15</v>
      </c>
      <c r="AK93" s="333">
        <f>IFERROR(SUMIF(E93:AI93,"=Р2",E94:AI94)+SUMIF(E93:AI93,"=ВЧ/РВ",E94:AI94)+SUMIF(E93:AI93,"=РН/РВ",E94:AI94)+SUMIF(E93:AI93,"=Р1/РВ",E94:AI94)+SUMIF(E93:AI93,"=ВЧ2/РВ",E94:AI94)+SUMIF(E93:AI93,"=Р2/РВ",E94:AI94)+SUMIF(E93:AI93,"=Р",E94:AI94)+SUMIF(E93:AI93,"=Р1",E94:AI94)+SUMIF(E93:AI93,"=ВЧ1",E94:AI94)+SUMIF(E93:AI93,"=РН",E94:AI94)+SUMIF(E93:AI93,"=ВЧ",E94:AI94),0)+AL93</f>
        <v>168</v>
      </c>
      <c r="AL93" s="211">
        <f>IFERROR(SUMIF(E93:AI93,"=НУ",E94:AI94),0)</f>
        <v>0</v>
      </c>
      <c r="AM93" s="211">
        <f>IFERROR(SUMIF(E93:AI93,"=РН",E94:AI94)+SUMIF(E93:AI93,"=РН/РВ",E94:AI94)+SUMIFS(E94:AI94,E93:AI93,"=Р2",E94:AI94,"=8"),0)</f>
        <v>56</v>
      </c>
      <c r="AN93" s="211">
        <f>IFERROR(SUMIF(E93:AI93,"=ВЧ",E94:AI94)+SUMIF(E93:AI93,"=ВЧ/РВ",E94:AI94)+CEILING(COUNTIFS(E93:AI93,"=Р2",E94:AI94,"=7")*4,1)+CEILING(COUNTIFS(E93:AI93,"=Р2/РВ",E94:AI94,"=7")*4,1)+SUMIFS(E94:AI94,E93:AI93,"=Р1/РВ",E94:AI94,"=12")/6+SUMIFS(E94:AI94,E93:AI93,"=ВЧ2/РВ",E94:AI94,"=4")/2+SUMIFS(E94:AI94,E93:AI93,"=Р1",E94:AI94,"=12")/6+SUMIFS(E94:AI94,E93:AI93,"=Р1",E94:AI94,"=8")/4+SUMIF(E93:AI93,"=ВЧ1",E94:AI94)/2,0)+CEILING(SUMIFS(E94:AI94,E93:AI93,"=Р",E94:AI94,"=13")/4,4)+CEILING(SUMIFS(E94:AI94,E93:AI93,"=Р",E94:AI94,"=14")/4,4)+CEILING(SUMIFS(E94:AI94,E93:AI93,"=Р",E94:AI94,"=15")/4,4)+SUMIFS(E94:AI94,E93:AI93,"=Р",E94:AI94,"=16")/4+CEILING(SUMIFS(E94:AI94,E93:AI93,"=Р1",E94:AI94,"=13")/4,4)+CEILING(SUMIFS(E94:AI94,E93:AI93,"=Р1",E94:AI94,"=14")/4,4)+CEILING(SUMIFS(E94:AI94,E93:AI93,"=Р1",E94:AI94,"=15")/4,4)+SUMIFS(E94:AI94,E93:AI93,"=Р1",E94:AI94,"=16")/4</f>
        <v>32</v>
      </c>
      <c r="AO93" s="211">
        <f>IFERROR(SUMIF(E93:AI93,"=РВ",E94:AI94)+SUMIF(E93:AI93,"=ВЧ/РВ",E94:AI94)+SUMIF(E93:AI93,"=РН/РВ",E94:AI94)+SUMIF(E93:AI93,"=Р1/РВ",E94:AI94)+SUMIF(E93:AI93,"=ВЧ2/РВ",E94:AI94)+SUMIF(E93:AI93,"=Р2/РВ",E94:AI94),0)</f>
        <v>0</v>
      </c>
      <c r="AP93" s="211">
        <f t="shared" si="30"/>
        <v>16</v>
      </c>
      <c r="AQ93" s="211">
        <f>SUM(AR93:AZ93)</f>
        <v>0</v>
      </c>
      <c r="AR93" s="211">
        <f>IFERROR(SUMIF(E93:AI93,"=В",E94:AI94)+SUMIF(E93:AI93,"=Ч",E94:AI94)+SUMIF(E93:AI93,"=ВБ",E94:AI94),0)</f>
        <v>0</v>
      </c>
      <c r="AS93" s="211">
        <f>IFERROR(SUMIF(E93:AI93,"=Н",E94:AI94),0)</f>
        <v>0</v>
      </c>
      <c r="AT93" s="211">
        <f>IFERROR(SUMIF(E93:AI93,"=НА",E94:AI94),0)</f>
        <v>0</v>
      </c>
      <c r="AU93" s="211">
        <f>IFERROR(SUMIF(E93:AI93,"=ВП",E94:AI94),0)</f>
        <v>0</v>
      </c>
      <c r="AV93" s="211">
        <f>IFERROR(SUMIF(E93:AI93,"=ДД",E94:AI94),0)</f>
        <v>0</v>
      </c>
      <c r="AW93" s="202">
        <f>IFERROR(SUMIF(E93:AI93,"=ДО",E94:AI94),0)</f>
        <v>0</v>
      </c>
      <c r="AX93" s="211">
        <f>IFERROR(SUMIF(E93:AI93,"=ТН",E94:AI94),0)</f>
        <v>0</v>
      </c>
      <c r="AY93" s="211">
        <f>IFERROR(SUMIF(E93:AI93,"=ВД",E94:AI94),0)</f>
        <v>0</v>
      </c>
      <c r="AZ93" s="312">
        <f>IFERROR(SUMIF(E93:AI93,"=ІН",E94:AI94),0)+SUMIF(E93:AI93,"=НЗ",E94:AI94)</f>
        <v>0</v>
      </c>
    </row>
    <row r="94" spans="1:52" ht="20.100000000000001" customHeight="1" thickBot="1" x14ac:dyDescent="0.25">
      <c r="A94" s="331"/>
      <c r="B94" s="352"/>
      <c r="C94" s="338"/>
      <c r="D94" s="338"/>
      <c r="E94" s="192"/>
      <c r="F94" s="192"/>
      <c r="G94" s="192">
        <v>16</v>
      </c>
      <c r="H94" s="192">
        <v>8</v>
      </c>
      <c r="I94" s="192"/>
      <c r="J94" s="192"/>
      <c r="K94" s="192">
        <v>13</v>
      </c>
      <c r="L94" s="192">
        <v>8</v>
      </c>
      <c r="M94" s="192"/>
      <c r="N94" s="192"/>
      <c r="O94" s="192">
        <v>13</v>
      </c>
      <c r="P94" s="192">
        <v>8</v>
      </c>
      <c r="Q94" s="192"/>
      <c r="R94" s="192"/>
      <c r="S94" s="192">
        <v>13</v>
      </c>
      <c r="T94" s="192">
        <v>8</v>
      </c>
      <c r="U94" s="192"/>
      <c r="V94" s="192"/>
      <c r="W94" s="192">
        <v>13</v>
      </c>
      <c r="X94" s="192">
        <v>8</v>
      </c>
      <c r="Y94" s="192"/>
      <c r="Z94" s="192"/>
      <c r="AA94" s="192">
        <v>13</v>
      </c>
      <c r="AB94" s="192">
        <v>8</v>
      </c>
      <c r="AC94" s="192"/>
      <c r="AD94" s="192"/>
      <c r="AE94" s="192">
        <v>15</v>
      </c>
      <c r="AF94" s="192">
        <v>8</v>
      </c>
      <c r="AG94" s="192"/>
      <c r="AH94" s="192"/>
      <c r="AI94" s="192">
        <v>16</v>
      </c>
      <c r="AJ94" s="335"/>
      <c r="AK94" s="334"/>
      <c r="AL94" s="286"/>
      <c r="AM94" s="286"/>
      <c r="AN94" s="212"/>
      <c r="AO94" s="286"/>
      <c r="AP94" s="212"/>
      <c r="AQ94" s="286"/>
      <c r="AR94" s="286"/>
      <c r="AS94" s="286"/>
      <c r="AT94" s="286"/>
      <c r="AU94" s="286"/>
      <c r="AV94" s="286"/>
      <c r="AW94" s="203"/>
      <c r="AX94" s="286"/>
      <c r="AY94" s="286"/>
      <c r="AZ94" s="329"/>
    </row>
    <row r="95" spans="1:52" s="163" customFormat="1" ht="24" customHeight="1" x14ac:dyDescent="0.2">
      <c r="A95" s="330">
        <f t="shared" ref="A95" si="38">A93+1</f>
        <v>40</v>
      </c>
      <c r="B95" s="336" t="s">
        <v>401</v>
      </c>
      <c r="C95" s="228">
        <v>1727</v>
      </c>
      <c r="D95" s="228" t="s">
        <v>72</v>
      </c>
      <c r="E95" s="191" t="s">
        <v>4</v>
      </c>
      <c r="F95" s="191" t="s">
        <v>43</v>
      </c>
      <c r="G95" s="191" t="s">
        <v>142</v>
      </c>
      <c r="H95" s="191" t="s">
        <v>142</v>
      </c>
      <c r="I95" s="191" t="s">
        <v>4</v>
      </c>
      <c r="J95" s="191" t="s">
        <v>43</v>
      </c>
      <c r="K95" s="191" t="s">
        <v>142</v>
      </c>
      <c r="L95" s="191" t="s">
        <v>142</v>
      </c>
      <c r="M95" s="191" t="s">
        <v>4</v>
      </c>
      <c r="N95" s="191" t="s">
        <v>43</v>
      </c>
      <c r="O95" s="191" t="s">
        <v>142</v>
      </c>
      <c r="P95" s="191" t="s">
        <v>142</v>
      </c>
      <c r="Q95" s="191" t="s">
        <v>4</v>
      </c>
      <c r="R95" s="191" t="s">
        <v>43</v>
      </c>
      <c r="S95" s="191" t="s">
        <v>142</v>
      </c>
      <c r="T95" s="191" t="s">
        <v>142</v>
      </c>
      <c r="U95" s="191" t="s">
        <v>4</v>
      </c>
      <c r="V95" s="191" t="s">
        <v>43</v>
      </c>
      <c r="W95" s="191" t="s">
        <v>142</v>
      </c>
      <c r="X95" s="191" t="s">
        <v>142</v>
      </c>
      <c r="Y95" s="191" t="s">
        <v>4</v>
      </c>
      <c r="Z95" s="191" t="s">
        <v>43</v>
      </c>
      <c r="AA95" s="191" t="s">
        <v>142</v>
      </c>
      <c r="AB95" s="191" t="s">
        <v>142</v>
      </c>
      <c r="AC95" s="191" t="s">
        <v>4</v>
      </c>
      <c r="AD95" s="191" t="s">
        <v>43</v>
      </c>
      <c r="AE95" s="191" t="s">
        <v>142</v>
      </c>
      <c r="AF95" s="191" t="s">
        <v>142</v>
      </c>
      <c r="AG95" s="191"/>
      <c r="AH95" s="191"/>
      <c r="AI95" s="191"/>
      <c r="AJ95" s="332">
        <f>IFERROR(COUNTIF(E95:AI95,"=Р")+COUNTIF(E95:AI95,"=Р1")+COUNTIF(E95:AI95,"=ВЧ")+COUNTIF(E95:AI95,"=РН")+COUNTIF(E95:AI95,"=Р2")+COUNTIF(E95:AI95,"=Р1/РВ")+COUNTIF(E95:AI95,"=Р2/РВ")+COUNTIF(E95:AI95,"=ВЧ/РВ")+COUNTIF(E95:AI95,"=РН/РВ"),0)</f>
        <v>14</v>
      </c>
      <c r="AK95" s="333">
        <f>IFERROR(SUMIF(E95:AI95,"=Р2",E96:AI96)+SUMIF(E95:AI95,"=ВЧ/РВ",E96:AI96)+SUMIF(E95:AI95,"=РН/РВ",E96:AI96)+SUMIF(E95:AI95,"=Р1/РВ",E96:AI96)+SUMIF(E95:AI95,"=ВЧ2/РВ",E96:AI96)+SUMIF(E95:AI95,"=Р2/РВ",E96:AI96)+SUMIF(E95:AI95,"=Р",E96:AI96)+SUMIF(E95:AI95,"=Р1",E96:AI96)+SUMIF(E95:AI95,"=ВЧ1",E96:AI96)+SUMIF(E95:AI95,"=РН",E96:AI96)+SUMIF(E95:AI95,"=ВЧ",E96:AI96),0)+AL95</f>
        <v>164</v>
      </c>
      <c r="AL95" s="211">
        <f>IFERROR(SUMIF(E95:AI95,"=НУ",E96:AI96),0)</f>
        <v>0</v>
      </c>
      <c r="AM95" s="211">
        <f>IFERROR(SUMIF(E95:AI95,"=РН",E96:AI96)+SUMIF(E95:AI95,"=РН/РВ",E96:AI96)+SUMIFS(E96:AI96,E95:AI95,"=Р2",E96:AI96,"=8"),0)</f>
        <v>56</v>
      </c>
      <c r="AN95" s="211">
        <f>IFERROR(SUMIF(E95:AI95,"=ВЧ",E96:AI96)+SUMIF(E95:AI95,"=ВЧ/РВ",E96:AI96)+CEILING(COUNTIFS(E95:AI95,"=Р2",E96:AI96,"=7")*4,1)+CEILING(COUNTIFS(E95:AI95,"=Р2/РВ",E96:AI96,"=7")*4,1)+SUMIFS(E96:AI96,E95:AI95,"=Р1/РВ",E96:AI96,"=12")/6+SUMIFS(E96:AI96,E95:AI95,"=ВЧ2/РВ",E96:AI96,"=4")/2+SUMIFS(E96:AI96,E95:AI95,"=Р1",E96:AI96,"=12")/6+SUMIFS(E96:AI96,E95:AI95,"=Р1",E96:AI96,"=8")/4+SUMIF(E95:AI95,"=ВЧ1",E96:AI96)/2,0)+CEILING(SUMIFS(E96:AI96,E95:AI95,"=Р",E96:AI96,"=13")/4,4)+CEILING(SUMIFS(E96:AI96,E95:AI95,"=Р",E96:AI96,"=14")/4,4)+CEILING(SUMIFS(E96:AI96,E95:AI95,"=Р",E96:AI96,"=15")/4,4)+SUMIFS(E96:AI96,E95:AI95,"=Р",E96:AI96,"=16")/4+CEILING(SUMIFS(E96:AI96,E95:AI95,"=Р1",E96:AI96,"=13")/4,4)+CEILING(SUMIFS(E96:AI96,E95:AI95,"=Р1",E96:AI96,"=14")/4,4)+CEILING(SUMIFS(E96:AI96,E95:AI95,"=Р1",E96:AI96,"=15")/4,4)+SUMIFS(E96:AI96,E95:AI95,"=Р1",E96:AI96,"=16")/4</f>
        <v>28</v>
      </c>
      <c r="AO95" s="211">
        <f>IFERROR(SUMIF(E95:AI95,"=РВ",E96:AI96)+SUMIF(E95:AI95,"=ВЧ/РВ",E96:AI96)+SUMIF(E95:AI95,"=РН/РВ",E96:AI96)+SUMIF(E95:AI95,"=Р1/РВ",E96:AI96)+SUMIF(E95:AI95,"=ВЧ2/РВ",E96:AI96)+SUMIF(E95:AI95,"=Р2/РВ",E96:AI96),0)</f>
        <v>0</v>
      </c>
      <c r="AP95" s="211">
        <f>IFERROR(COUNTIF(E95:AI95,"=ВВ")+COUNTIF(E95:AI95,"=Р1/ВВ")+COUNTIF(E95:AI95,"=РН/ВВ")+COUNTIF(E95:AI95,"=ВЧ/ВВ"),0)</f>
        <v>14</v>
      </c>
      <c r="AQ95" s="211">
        <f>SUM(AR95:AZ95)</f>
        <v>0</v>
      </c>
      <c r="AR95" s="211">
        <f>IFERROR(SUMIF(E95:AI95,"=В",E96:AI96)+SUMIF(E95:AI95,"=Ч",E96:AI96)+SUMIF(E95:AI95,"=ВБ",E96:AI96),0)</f>
        <v>0</v>
      </c>
      <c r="AS95" s="211">
        <f>IFERROR(SUMIF(E95:AI95,"=Н",E96:AI96),0)</f>
        <v>0</v>
      </c>
      <c r="AT95" s="211">
        <f>IFERROR(SUMIF(E95:AI95,"=НА",E96:AI96),0)</f>
        <v>0</v>
      </c>
      <c r="AU95" s="211">
        <f>IFERROR(SUMIF(E95:AI95,"=ВП",E96:AI96),0)</f>
        <v>0</v>
      </c>
      <c r="AV95" s="211">
        <f>IFERROR(SUMIF(E95:AI95,"=ДД",E96:AI96),0)</f>
        <v>0</v>
      </c>
      <c r="AW95" s="202">
        <f>IFERROR(SUMIF(E95:AI95,"=ДО",E96:AI96),0)</f>
        <v>0</v>
      </c>
      <c r="AX95" s="211">
        <f>IFERROR(SUMIF(E95:AI95,"=ТН",E96:AI96),0)</f>
        <v>0</v>
      </c>
      <c r="AY95" s="211">
        <f>IFERROR(SUMIF(E95:AI95,"=ВД",E96:AI96),0)</f>
        <v>0</v>
      </c>
      <c r="AZ95" s="312">
        <f>IFERROR(SUMIF(E95:AI95,"=ІН",E96:AI96),0)+SUMIF(E95:AI95,"=НЗ",E96:AI96)</f>
        <v>0</v>
      </c>
    </row>
    <row r="96" spans="1:52" s="163" customFormat="1" ht="19.5" customHeight="1" thickBot="1" x14ac:dyDescent="0.25">
      <c r="A96" s="331"/>
      <c r="B96" s="331"/>
      <c r="C96" s="337"/>
      <c r="D96" s="337"/>
      <c r="E96" s="192">
        <v>13</v>
      </c>
      <c r="F96" s="192">
        <v>8</v>
      </c>
      <c r="G96" s="192"/>
      <c r="H96" s="192"/>
      <c r="I96" s="192">
        <v>15</v>
      </c>
      <c r="J96" s="192">
        <v>8</v>
      </c>
      <c r="K96" s="192"/>
      <c r="L96" s="192"/>
      <c r="M96" s="192">
        <v>16</v>
      </c>
      <c r="N96" s="192">
        <v>8</v>
      </c>
      <c r="O96" s="192"/>
      <c r="P96" s="192"/>
      <c r="Q96" s="192">
        <v>16</v>
      </c>
      <c r="R96" s="192">
        <v>8</v>
      </c>
      <c r="S96" s="192"/>
      <c r="T96" s="192"/>
      <c r="U96" s="192">
        <v>16</v>
      </c>
      <c r="V96" s="192">
        <v>8</v>
      </c>
      <c r="W96" s="192"/>
      <c r="X96" s="192"/>
      <c r="Y96" s="192">
        <v>16</v>
      </c>
      <c r="Z96" s="192">
        <v>8</v>
      </c>
      <c r="AA96" s="192"/>
      <c r="AB96" s="192"/>
      <c r="AC96" s="192">
        <v>16</v>
      </c>
      <c r="AD96" s="192">
        <v>8</v>
      </c>
      <c r="AE96" s="192"/>
      <c r="AF96" s="192"/>
      <c r="AG96" s="192" t="s">
        <v>491</v>
      </c>
      <c r="AH96" s="192" t="s">
        <v>492</v>
      </c>
      <c r="AI96" s="192" t="s">
        <v>493</v>
      </c>
      <c r="AJ96" s="335"/>
      <c r="AK96" s="334"/>
      <c r="AL96" s="286"/>
      <c r="AM96" s="286"/>
      <c r="AN96" s="212"/>
      <c r="AO96" s="286"/>
      <c r="AP96" s="212"/>
      <c r="AQ96" s="286"/>
      <c r="AR96" s="286"/>
      <c r="AS96" s="286"/>
      <c r="AT96" s="286"/>
      <c r="AU96" s="286"/>
      <c r="AV96" s="286"/>
      <c r="AW96" s="203"/>
      <c r="AX96" s="286"/>
      <c r="AY96" s="286"/>
      <c r="AZ96" s="329"/>
    </row>
    <row r="97" spans="1:52" ht="20.100000000000001" customHeight="1" x14ac:dyDescent="0.2">
      <c r="A97" s="330">
        <f t="shared" ref="A97" si="39">A95+1</f>
        <v>41</v>
      </c>
      <c r="B97" s="330" t="s">
        <v>252</v>
      </c>
      <c r="C97" s="228">
        <v>1156</v>
      </c>
      <c r="D97" s="228" t="s">
        <v>65</v>
      </c>
      <c r="E97" s="191" t="s">
        <v>142</v>
      </c>
      <c r="F97" s="191" t="s">
        <v>142</v>
      </c>
      <c r="G97" s="191" t="s">
        <v>4</v>
      </c>
      <c r="H97" s="191" t="s">
        <v>4</v>
      </c>
      <c r="I97" s="191" t="s">
        <v>4</v>
      </c>
      <c r="J97" s="191" t="s">
        <v>4</v>
      </c>
      <c r="K97" s="191" t="s">
        <v>4</v>
      </c>
      <c r="L97" s="191" t="s">
        <v>142</v>
      </c>
      <c r="M97" s="191" t="s">
        <v>142</v>
      </c>
      <c r="N97" s="191" t="s">
        <v>4</v>
      </c>
      <c r="O97" s="191" t="s">
        <v>4</v>
      </c>
      <c r="P97" s="191" t="s">
        <v>4</v>
      </c>
      <c r="Q97" s="191" t="s">
        <v>4</v>
      </c>
      <c r="R97" s="191" t="s">
        <v>4</v>
      </c>
      <c r="S97" s="191" t="s">
        <v>142</v>
      </c>
      <c r="T97" s="191" t="s">
        <v>142</v>
      </c>
      <c r="U97" s="191" t="s">
        <v>4</v>
      </c>
      <c r="V97" s="191" t="s">
        <v>4</v>
      </c>
      <c r="W97" s="191" t="s">
        <v>4</v>
      </c>
      <c r="X97" s="191" t="s">
        <v>4</v>
      </c>
      <c r="Y97" s="191" t="s">
        <v>4</v>
      </c>
      <c r="Z97" s="191" t="s">
        <v>142</v>
      </c>
      <c r="AA97" s="191" t="s">
        <v>142</v>
      </c>
      <c r="AB97" s="191" t="s">
        <v>4</v>
      </c>
      <c r="AC97" s="191" t="s">
        <v>4</v>
      </c>
      <c r="AD97" s="191" t="s">
        <v>4</v>
      </c>
      <c r="AE97" s="191" t="s">
        <v>4</v>
      </c>
      <c r="AF97" s="191" t="s">
        <v>4</v>
      </c>
      <c r="AG97" s="191" t="s">
        <v>142</v>
      </c>
      <c r="AH97" s="191" t="s">
        <v>142</v>
      </c>
      <c r="AI97" s="191" t="s">
        <v>4</v>
      </c>
      <c r="AJ97" s="332">
        <f>IFERROR(COUNTIF(E97:AI97,"=Р")+COUNTIF(E97:AI97,"=Р1")+COUNTIF(E97:AI97,"=ВЧ")+COUNTIF(E97:AI97,"=РН")+COUNTIF(E97:AI97,"=Р2")+COUNTIF(E97:AI97,"=Р1/РВ")+COUNTIF(E97:AI97,"=Р2/РВ")+COUNTIF(E97:AI97,"=ВЧ/РВ")+COUNTIF(E97:AI97,"=РН/РВ"),0)</f>
        <v>21</v>
      </c>
      <c r="AK97" s="333">
        <f>IFERROR(SUMIF(E97:AI97,"=Р2",E98:AI98)+SUMIF(E97:AI97,"=ВЧ/РВ",E98:AI98)+SUMIF(E97:AI97,"=РН/РВ",E98:AI98)+SUMIF(E97:AI97,"=Р1/РВ",E98:AI98)+SUMIF(E97:AI97,"=ВЧ2/РВ",E98:AI98)+SUMIF(E97:AI97,"=Р2/РВ",E98:AI98)+SUMIF(E97:AI97,"=Р",E98:AI98)+SUMIF(E97:AI97,"=Р1",E98:AI98)+SUMIF(E97:AI97,"=ВЧ1",E98:AI98)+SUMIF(E97:AI97,"=РН",E98:AI98)+SUMIF(E97:AI97,"=ВЧ",E98:AI98),0)+AL97</f>
        <v>167.99999999999997</v>
      </c>
      <c r="AL97" s="211">
        <f>IFERROR(SUMIF(E97:AI97,"=НУ",E98:AI98),0)</f>
        <v>0</v>
      </c>
      <c r="AM97" s="211">
        <f>IFERROR(SUMIF(E97:AI97,"=РН",E98:AI98)+SUMIF(E97:AI97,"=РН/РВ",E98:AI98)+SUMIFS(E98:AI98,E97:AI97,"=Р2",E98:AI98,"=8"),0)</f>
        <v>0</v>
      </c>
      <c r="AN97" s="211">
        <f>IFERROR(SUMIF(E97:AI97,"=ВЧ",E98:AI98)+SUMIF(E97:AI97,"=ВЧ/РВ",E98:AI98)+CEILING(COUNTIFS(E97:AI97,"=Р2",E98:AI98,"=7")*4,1)+CEILING(COUNTIFS(E97:AI97,"=Р2/РВ",E98:AI98,"=7")*4,1)+SUMIFS(E98:AI98,E97:AI97,"=Р1/РВ",E98:AI98,"=12")/6+SUMIFS(E98:AI98,E97:AI97,"=ВЧ2/РВ",E98:AI98,"=4")/2+SUMIFS(E98:AI98,E97:AI97,"=Р1",E98:AI98,"=12")/6+SUMIFS(E98:AI98,E97:AI97,"=Р1",E98:AI98,"=8")/4+SUMIF(E97:AI97,"=ВЧ1",E98:AI98)/2,0)+CEILING(SUMIFS(E98:AI98,E97:AI97,"=Р",E98:AI98,"=13")/4,4)+CEILING(SUMIFS(E98:AI98,E97:AI97,"=Р",E98:AI98,"=14")/4,4)+CEILING(SUMIFS(E98:AI98,E97:AI97,"=Р",E98:AI98,"=15")/4,4)+SUMIFS(E98:AI98,E97:AI97,"=Р",E98:AI98,"=16")/4+CEILING(SUMIFS(E98:AI98,E97:AI97,"=Р1",E98:AI98,"=13")/4,4)+CEILING(SUMIFS(E98:AI98,E97:AI97,"=Р1",E98:AI98,"=14")/4,4)+CEILING(SUMIFS(E98:AI98,E97:AI97,"=Р1",E98:AI98,"=15")/4,4)+SUMIFS(E98:AI98,E97:AI97,"=Р1",E98:AI98,"=16")/4</f>
        <v>0</v>
      </c>
      <c r="AO97" s="211">
        <f>IFERROR(SUMIF(E97:AI97,"=РВ",E98:AI98)+SUMIF(E97:AI97,"=ВЧ/РВ",E98:AI98)+SUMIF(E97:AI97,"=РН/РВ",E98:AI98)+SUMIF(E97:AI97,"=Р1/РВ",E98:AI98)+SUMIF(E97:AI97,"=ВЧ2/РВ",E98:AI98)+SUMIF(E97:AI97,"=Р2/РВ",E98:AI98),0)</f>
        <v>0</v>
      </c>
      <c r="AP97" s="211">
        <f t="shared" si="30"/>
        <v>10</v>
      </c>
      <c r="AQ97" s="211">
        <f>SUM(AR97:AZ97)</f>
        <v>0</v>
      </c>
      <c r="AR97" s="211">
        <f>IFERROR(SUMIF(E97:AI97,"=В",E98:AI98)+SUMIF(E97:AI97,"=Ч",E98:AI98)+SUMIF(E97:AI97,"=ВБ",E98:AI98),0)</f>
        <v>0</v>
      </c>
      <c r="AS97" s="211">
        <f>IFERROR(SUMIF(E97:AI97,"=Н",E98:AI98),0)</f>
        <v>0</v>
      </c>
      <c r="AT97" s="211">
        <f>IFERROR(SUMIF(E97:AI97,"=НА",E98:AI98),0)</f>
        <v>0</v>
      </c>
      <c r="AU97" s="211">
        <f>IFERROR(SUMIF(E97:AI97,"=ВП",E98:AI98),0)</f>
        <v>0</v>
      </c>
      <c r="AV97" s="211">
        <f>IFERROR(SUMIF(E97:AI97,"=ДД",E98:AI98),0)</f>
        <v>0</v>
      </c>
      <c r="AW97" s="202">
        <f>IFERROR(SUMIF(E97:AI97,"=ДО",E98:AI98),0)</f>
        <v>0</v>
      </c>
      <c r="AX97" s="211">
        <f>IFERROR(SUMIF(E97:AI97,"=ТН",E98:AI98),0)</f>
        <v>0</v>
      </c>
      <c r="AY97" s="211">
        <f>IFERROR(SUMIF(E97:AI97,"=ВД",E98:AI98),0)</f>
        <v>0</v>
      </c>
      <c r="AZ97" s="312">
        <f>IFERROR(SUMIF(E97:AI97,"=ІН",E98:AI98),0)+SUMIF(E97:AI97,"=НЗ",E98:AI98)</f>
        <v>0</v>
      </c>
    </row>
    <row r="98" spans="1:52" ht="20.100000000000001" customHeight="1" thickBot="1" x14ac:dyDescent="0.25">
      <c r="A98" s="331"/>
      <c r="B98" s="331"/>
      <c r="C98" s="229"/>
      <c r="D98" s="229"/>
      <c r="E98" s="192"/>
      <c r="F98" s="192"/>
      <c r="G98" s="192">
        <v>8.1999999999999993</v>
      </c>
      <c r="H98" s="192">
        <v>8.1999999999999993</v>
      </c>
      <c r="I98" s="192">
        <v>8.1999999999999993</v>
      </c>
      <c r="J98" s="192">
        <v>8.1999999999999993</v>
      </c>
      <c r="K98" s="192">
        <v>7</v>
      </c>
      <c r="L98" s="192"/>
      <c r="M98" s="192"/>
      <c r="N98" s="192">
        <v>8.1999999999999993</v>
      </c>
      <c r="O98" s="192">
        <v>8.1999999999999993</v>
      </c>
      <c r="P98" s="192">
        <v>8.1999999999999993</v>
      </c>
      <c r="Q98" s="192">
        <v>8.1999999999999993</v>
      </c>
      <c r="R98" s="192">
        <v>7.2</v>
      </c>
      <c r="S98" s="192"/>
      <c r="T98" s="192"/>
      <c r="U98" s="192">
        <v>8.1999999999999993</v>
      </c>
      <c r="V98" s="192">
        <v>8.1999999999999993</v>
      </c>
      <c r="W98" s="192">
        <v>8.1999999999999993</v>
      </c>
      <c r="X98" s="192">
        <v>8.1999999999999993</v>
      </c>
      <c r="Y98" s="192">
        <v>7.2</v>
      </c>
      <c r="Z98" s="192"/>
      <c r="AA98" s="192"/>
      <c r="AB98" s="192">
        <v>8.1999999999999993</v>
      </c>
      <c r="AC98" s="192">
        <v>8.1999999999999993</v>
      </c>
      <c r="AD98" s="192">
        <v>8.1999999999999993</v>
      </c>
      <c r="AE98" s="192">
        <v>8.1999999999999993</v>
      </c>
      <c r="AF98" s="192">
        <v>7.2</v>
      </c>
      <c r="AG98" s="192"/>
      <c r="AH98" s="192"/>
      <c r="AI98" s="192">
        <v>8.1999999999999993</v>
      </c>
      <c r="AJ98" s="325"/>
      <c r="AK98" s="334"/>
      <c r="AL98" s="286"/>
      <c r="AM98" s="286"/>
      <c r="AN98" s="212"/>
      <c r="AO98" s="286"/>
      <c r="AP98" s="212"/>
      <c r="AQ98" s="286"/>
      <c r="AR98" s="286"/>
      <c r="AS98" s="286"/>
      <c r="AT98" s="286"/>
      <c r="AU98" s="286"/>
      <c r="AV98" s="286"/>
      <c r="AW98" s="203"/>
      <c r="AX98" s="286"/>
      <c r="AY98" s="286"/>
      <c r="AZ98" s="329"/>
    </row>
    <row r="99" spans="1:52" s="163" customFormat="1" ht="21.75" customHeight="1" x14ac:dyDescent="0.2">
      <c r="A99" s="330">
        <f t="shared" ref="A99" si="40">A97+1</f>
        <v>42</v>
      </c>
      <c r="B99" s="330" t="s">
        <v>361</v>
      </c>
      <c r="C99" s="228">
        <v>2219</v>
      </c>
      <c r="D99" s="228" t="s">
        <v>72</v>
      </c>
      <c r="E99" s="191" t="s">
        <v>309</v>
      </c>
      <c r="F99" s="191" t="s">
        <v>43</v>
      </c>
      <c r="G99" s="191" t="s">
        <v>142</v>
      </c>
      <c r="H99" s="191" t="s">
        <v>4</v>
      </c>
      <c r="I99" s="191" t="s">
        <v>41</v>
      </c>
      <c r="J99" s="191" t="s">
        <v>43</v>
      </c>
      <c r="K99" s="191" t="s">
        <v>142</v>
      </c>
      <c r="L99" s="191" t="s">
        <v>4</v>
      </c>
      <c r="M99" s="191" t="s">
        <v>41</v>
      </c>
      <c r="N99" s="191" t="s">
        <v>43</v>
      </c>
      <c r="O99" s="191" t="s">
        <v>142</v>
      </c>
      <c r="P99" s="191" t="s">
        <v>4</v>
      </c>
      <c r="Q99" s="191" t="s">
        <v>41</v>
      </c>
      <c r="R99" s="191" t="s">
        <v>43</v>
      </c>
      <c r="S99" s="191" t="s">
        <v>142</v>
      </c>
      <c r="T99" s="191" t="s">
        <v>4</v>
      </c>
      <c r="U99" s="191" t="s">
        <v>41</v>
      </c>
      <c r="V99" s="191" t="s">
        <v>43</v>
      </c>
      <c r="W99" s="191" t="s">
        <v>142</v>
      </c>
      <c r="X99" s="191" t="s">
        <v>4</v>
      </c>
      <c r="Y99" s="191" t="s">
        <v>41</v>
      </c>
      <c r="Z99" s="191" t="s">
        <v>43</v>
      </c>
      <c r="AA99" s="191" t="s">
        <v>142</v>
      </c>
      <c r="AB99" s="191" t="s">
        <v>4</v>
      </c>
      <c r="AC99" s="191" t="s">
        <v>41</v>
      </c>
      <c r="AD99" s="191" t="s">
        <v>43</v>
      </c>
      <c r="AE99" s="191" t="s">
        <v>142</v>
      </c>
      <c r="AF99" s="191" t="s">
        <v>4</v>
      </c>
      <c r="AG99" s="191" t="s">
        <v>41</v>
      </c>
      <c r="AH99" s="191" t="s">
        <v>43</v>
      </c>
      <c r="AI99" s="191" t="s">
        <v>142</v>
      </c>
      <c r="AJ99" s="324">
        <f>IFERROR(COUNTIF(E99:AI99,"=Р")+COUNTIF(E99:AI99,"=Р1")+COUNTIF(E99:AI99,"=ВЧ")+COUNTIF(E99:AI99,"=РН")+COUNTIF(E99:AI99,"=Р2")+COUNTIF(E99:AI99,"=Р1/РВ")+COUNTIF(E99:AI99,"=Р2/РВ")+COUNTIF(E99:AI99,"=ВЧ/РВ")+COUNTIF(E99:AI99,"=РН/РВ"),0)</f>
        <v>22</v>
      </c>
      <c r="AK99" s="333">
        <f>IFERROR(SUMIF(E99:AI99,"=Р2",E100:AI100)+SUMIF(E99:AI99,"=ВЧ/РВ",E100:AI100)+SUMIF(E99:AI99,"=РН/РВ",E100:AI100)+SUMIF(E99:AI99,"=Р1/РВ",E100:AI100)+SUMIF(E99:AI99,"=ВЧ2/РВ",E100:AI100)+SUMIF(E99:AI99,"=Р2/РВ",E100:AI100)+SUMIF(E99:AI99,"=Р",E100:AI100)+SUMIF(E99:AI99,"=Р1",E100:AI100)+SUMIF(E99:AI99,"=ВЧ1",E100:AI100)+SUMIF(E99:AI99,"=РН",E100:AI100)+SUMIF(E99:AI99,"=ВЧ",E100:AI100),0)+AL99</f>
        <v>168</v>
      </c>
      <c r="AL99" s="211">
        <f>IFERROR(SUMIF(E99:AI99,"=НУ",E100:AI100),0)</f>
        <v>0</v>
      </c>
      <c r="AM99" s="211">
        <f>IFERROR(SUMIF(E99:AI99,"=РН",E100:AI100)+SUMIF(E99:AI99,"=РН/РВ",E100:AI100)+SUMIFS(E100:AI100,E99:AI99,"=Р2",E100:AI100,"=8"),0)</f>
        <v>64</v>
      </c>
      <c r="AN99" s="211">
        <f>IFERROR(SUMIF(E99:AI99,"=ВЧ",E100:AI100)+SUMIF(E99:AI99,"=ВЧ/РВ",E100:AI100)+CEILING(COUNTIFS(E99:AI99,"=Р2",E100:AI100,"=7")*4,1)+CEILING(COUNTIFS(E99:AI99,"=Р2/РВ",E100:AI100,"=7")*4,1)+SUMIFS(E100:AI100,E99:AI99,"=Р1/РВ",E100:AI100,"=12")/6+SUMIFS(E100:AI100,E99:AI99,"=ВЧ2/РВ",E100:AI100,"=4")/2+SUMIFS(E100:AI100,E99:AI99,"=Р1",E100:AI100,"=12")/6+SUMIFS(E100:AI100,E99:AI99,"=Р1",E100:AI100,"=8")/4+SUMIF(E99:AI99,"=ВЧ1",E100:AI100)/2,0)+CEILING(SUMIFS(E100:AI100,E99:AI99,"=Р",E100:AI100,"=13")/4,4)+CEILING(SUMIFS(E100:AI100,E99:AI99,"=Р",E100:AI100,"=14")/4,4)+CEILING(SUMIFS(E100:AI100,E99:AI99,"=Р",E100:AI100,"=15")/4,4)+SUMIFS(E100:AI100,E99:AI99,"=Р",E100:AI100,"=16")/4+CEILING(SUMIFS(E100:AI100,E99:AI99,"=Р1",E100:AI100,"=13")/4,4)+CEILING(SUMIFS(E100:AI100,E99:AI99,"=Р1",E100:AI100,"=14")/4,4)+CEILING(SUMIFS(E100:AI100,E99:AI99,"=Р1",E100:AI100,"=15")/4,4)+SUMIFS(E100:AI100,E99:AI99,"=Р1",E100:AI100,"=16")/4</f>
        <v>30</v>
      </c>
      <c r="AO99" s="211">
        <f>IFERROR(SUMIF(E99:AI99,"=РВ",E100:AI100)+SUMIF(E99:AI99,"=ВЧ/РВ",E100:AI100)+SUMIF(E99:AI99,"=РН/РВ",E100:AI100)+SUMIF(E99:AI99,"=Р1/РВ",E100:AI100)+SUMIF(E99:AI99,"=ВЧ2/РВ",E100:AI100)+SUMIF(E99:AI99,"=Р2/РВ",E100:AI100),0)</f>
        <v>0</v>
      </c>
      <c r="AP99" s="211">
        <f>IFERROR(COUNTIF(E99:AI99,"=ВВ")+COUNTIF(E99:AI99,"=Р1/ВВ")+COUNTIF(E99:AI99,"=РН/ВВ")+COUNTIF(E99:AI99,"=ВЧ/ВВ"),0)</f>
        <v>8</v>
      </c>
      <c r="AQ99" s="211">
        <f>SUM(AR99:AZ99)</f>
        <v>0</v>
      </c>
      <c r="AR99" s="211">
        <f>IFERROR(SUMIF(E99:AI99,"=В",E100:AI100)+SUMIF(E99:AI99,"=Ч",E100:AI100)+SUMIF(E99:AI99,"=ВБ",E100:AI100),0)</f>
        <v>0</v>
      </c>
      <c r="AS99" s="211">
        <f>IFERROR(SUMIF(E99:AI99,"=Н",E100:AI100),0)</f>
        <v>0</v>
      </c>
      <c r="AT99" s="211">
        <f>IFERROR(SUMIF(E99:AI99,"=НА",E100:AI100),0)</f>
        <v>0</v>
      </c>
      <c r="AU99" s="211">
        <f>IFERROR(SUMIF(E99:AI99,"=ВП",E100:AI100),0)</f>
        <v>0</v>
      </c>
      <c r="AV99" s="211">
        <f>IFERROR(SUMIF(E99:AI99,"=ДД",E100:AI100),0)</f>
        <v>0</v>
      </c>
      <c r="AW99" s="202">
        <f>IFERROR(SUMIF(E99:AI99,"=ДО",E100:AI100),0)</f>
        <v>0</v>
      </c>
      <c r="AX99" s="211">
        <f>IFERROR(SUMIF(E99:AI99,"=ТН",E100:AI100),0)</f>
        <v>0</v>
      </c>
      <c r="AY99" s="211">
        <f>IFERROR(SUMIF(E99:AI99,"=ВД",E100:AI100),0)</f>
        <v>0</v>
      </c>
      <c r="AZ99" s="312">
        <f>IFERROR(SUMIF(E99:AI99,"=ІН",E100:AI100),0)+SUMIF(E99:AI99,"=НЗ",E100:AI100)</f>
        <v>0</v>
      </c>
    </row>
    <row r="100" spans="1:52" s="163" customFormat="1" ht="21.75" customHeight="1" thickBot="1" x14ac:dyDescent="0.25">
      <c r="A100" s="331"/>
      <c r="B100" s="331"/>
      <c r="C100" s="229"/>
      <c r="D100" s="229"/>
      <c r="E100" s="192">
        <v>4</v>
      </c>
      <c r="F100" s="192">
        <v>8</v>
      </c>
      <c r="G100" s="192"/>
      <c r="H100" s="192">
        <v>4</v>
      </c>
      <c r="I100" s="192">
        <v>4</v>
      </c>
      <c r="J100" s="192">
        <v>8</v>
      </c>
      <c r="K100" s="192"/>
      <c r="L100" s="192">
        <v>12</v>
      </c>
      <c r="M100" s="192">
        <v>4</v>
      </c>
      <c r="N100" s="192">
        <v>8</v>
      </c>
      <c r="O100" s="192"/>
      <c r="P100" s="192">
        <v>8</v>
      </c>
      <c r="Q100" s="192">
        <v>4</v>
      </c>
      <c r="R100" s="192">
        <v>8</v>
      </c>
      <c r="S100" s="192"/>
      <c r="T100" s="192">
        <v>12</v>
      </c>
      <c r="U100" s="192">
        <v>4</v>
      </c>
      <c r="V100" s="192">
        <v>8</v>
      </c>
      <c r="W100" s="192"/>
      <c r="X100" s="192">
        <v>12</v>
      </c>
      <c r="Y100" s="192">
        <v>4</v>
      </c>
      <c r="Z100" s="192">
        <v>8</v>
      </c>
      <c r="AA100" s="192"/>
      <c r="AB100" s="192">
        <v>12</v>
      </c>
      <c r="AC100" s="192">
        <v>4</v>
      </c>
      <c r="AD100" s="192">
        <v>8</v>
      </c>
      <c r="AE100" s="192"/>
      <c r="AF100" s="192">
        <v>12</v>
      </c>
      <c r="AG100" s="192">
        <v>4</v>
      </c>
      <c r="AH100" s="192">
        <v>8</v>
      </c>
      <c r="AI100" s="192"/>
      <c r="AJ100" s="335"/>
      <c r="AK100" s="334"/>
      <c r="AL100" s="286"/>
      <c r="AM100" s="286"/>
      <c r="AN100" s="212"/>
      <c r="AO100" s="286"/>
      <c r="AP100" s="212"/>
      <c r="AQ100" s="286"/>
      <c r="AR100" s="286"/>
      <c r="AS100" s="286"/>
      <c r="AT100" s="286"/>
      <c r="AU100" s="286"/>
      <c r="AV100" s="286"/>
      <c r="AW100" s="203"/>
      <c r="AX100" s="286"/>
      <c r="AY100" s="286"/>
      <c r="AZ100" s="329"/>
    </row>
    <row r="101" spans="1:52" s="163" customFormat="1" ht="20.100000000000001" customHeight="1" x14ac:dyDescent="0.2">
      <c r="A101" s="330">
        <f t="shared" ref="A101" si="41">A99+1</f>
        <v>43</v>
      </c>
      <c r="B101" s="336" t="s">
        <v>407</v>
      </c>
      <c r="C101" s="293">
        <v>2130</v>
      </c>
      <c r="D101" s="293" t="s">
        <v>72</v>
      </c>
      <c r="E101" s="191" t="s">
        <v>4</v>
      </c>
      <c r="F101" s="191" t="s">
        <v>43</v>
      </c>
      <c r="G101" s="191" t="s">
        <v>142</v>
      </c>
      <c r="H101" s="191" t="s">
        <v>142</v>
      </c>
      <c r="I101" s="191" t="s">
        <v>4</v>
      </c>
      <c r="J101" s="191" t="s">
        <v>43</v>
      </c>
      <c r="K101" s="191" t="s">
        <v>142</v>
      </c>
      <c r="L101" s="191" t="s">
        <v>142</v>
      </c>
      <c r="M101" s="191" t="s">
        <v>4</v>
      </c>
      <c r="N101" s="191" t="s">
        <v>43</v>
      </c>
      <c r="O101" s="191" t="s">
        <v>142</v>
      </c>
      <c r="P101" s="191" t="s">
        <v>142</v>
      </c>
      <c r="Q101" s="191" t="s">
        <v>4</v>
      </c>
      <c r="R101" s="191" t="s">
        <v>43</v>
      </c>
      <c r="S101" s="191" t="s">
        <v>142</v>
      </c>
      <c r="T101" s="191" t="s">
        <v>142</v>
      </c>
      <c r="U101" s="191" t="s">
        <v>4</v>
      </c>
      <c r="V101" s="191" t="s">
        <v>43</v>
      </c>
      <c r="W101" s="191" t="s">
        <v>142</v>
      </c>
      <c r="X101" s="191" t="s">
        <v>142</v>
      </c>
      <c r="Y101" s="191" t="s">
        <v>4</v>
      </c>
      <c r="Z101" s="191" t="s">
        <v>43</v>
      </c>
      <c r="AA101" s="191" t="s">
        <v>142</v>
      </c>
      <c r="AB101" s="191" t="s">
        <v>142</v>
      </c>
      <c r="AC101" s="191" t="s">
        <v>4</v>
      </c>
      <c r="AD101" s="191" t="s">
        <v>43</v>
      </c>
      <c r="AE101" s="191" t="s">
        <v>142</v>
      </c>
      <c r="AF101" s="191" t="s">
        <v>142</v>
      </c>
      <c r="AG101" s="191"/>
      <c r="AH101" s="191"/>
      <c r="AI101" s="191"/>
      <c r="AJ101" s="332">
        <f>IFERROR(COUNTIF(E101:AI101,"=Р")+COUNTIF(E101:AI101,"=Р1")+COUNTIF(E101:AI101,"=ВЧ")+COUNTIF(E101:AI101,"=РН")+COUNTIF(E101:AI101,"=Р2")+COUNTIF(E101:AI101,"=Р1/РВ")+COUNTIF(E101:AI101,"=Р2/РВ")+COUNTIF(E101:AI101,"=ВЧ/РВ")+COUNTIF(E101:AI101,"=РН/РВ"),0)</f>
        <v>14</v>
      </c>
      <c r="AK101" s="333">
        <f>IFERROR(SUMIF(E101:AI101,"=Р2",E102:AI102)+SUMIF(E101:AI101,"=ВЧ/РВ",E102:AI102)+SUMIF(E101:AI101,"=РН/РВ",E102:AI102)+SUMIF(E101:AI101,"=Р1/РВ",E102:AI102)+SUMIF(E101:AI101,"=ВЧ2/РВ",E102:AI102)+SUMIF(E101:AI101,"=Р2/РВ",E102:AI102)+SUMIF(E101:AI101,"=Р",E102:AI102)+SUMIF(E101:AI101,"=Р1",E102:AI102)+SUMIF(E101:AI101,"=ВЧ1",E102:AI102)+SUMIF(E101:AI101,"=РН",E102:AI102)+SUMIF(E101:AI101,"=ВЧ",E102:AI102),0)+AL101</f>
        <v>164</v>
      </c>
      <c r="AL101" s="211">
        <f>IFERROR(SUMIF(E101:AI101,"=НУ",E102:AI102),0)</f>
        <v>0</v>
      </c>
      <c r="AM101" s="211">
        <f>IFERROR(SUMIF(E101:AI101,"=РН",E102:AI102)+SUMIF(E101:AI101,"=РН/РВ",E102:AI102)+SUMIFS(E102:AI102,E101:AI101,"=Р2",E102:AI102,"=8"),0)</f>
        <v>56</v>
      </c>
      <c r="AN101" s="211">
        <f>IFERROR(SUMIF(E101:AI101,"=ВЧ",E102:AI102)+SUMIF(E101:AI101,"=ВЧ/РВ",E102:AI102)+CEILING(COUNTIFS(E101:AI101,"=Р2",E102:AI102,"=7")*4,1)+CEILING(COUNTIFS(E101:AI101,"=Р2/РВ",E102:AI102,"=7")*4,1)+SUMIFS(E102:AI102,E101:AI101,"=Р1/РВ",E102:AI102,"=12")/6+SUMIFS(E102:AI102,E101:AI101,"=ВЧ2/РВ",E102:AI102,"=4")/2+SUMIFS(E102:AI102,E101:AI101,"=Р1",E102:AI102,"=12")/6+SUMIFS(E102:AI102,E101:AI101,"=Р1",E102:AI102,"=8")/4+SUMIF(E101:AI101,"=ВЧ1",E102:AI102)/2,0)+CEILING(SUMIFS(E102:AI102,E101:AI101,"=Р",E102:AI102,"=13")/4,4)+CEILING(SUMIFS(E102:AI102,E101:AI101,"=Р",E102:AI102,"=14")/4,4)+CEILING(SUMIFS(E102:AI102,E101:AI101,"=Р",E102:AI102,"=15")/4,4)+SUMIFS(E102:AI102,E101:AI101,"=Р",E102:AI102,"=16")/4+CEILING(SUMIFS(E102:AI102,E101:AI101,"=Р1",E102:AI102,"=13")/4,4)+CEILING(SUMIFS(E102:AI102,E101:AI101,"=Р1",E102:AI102,"=14")/4,4)+CEILING(SUMIFS(E102:AI102,E101:AI101,"=Р1",E102:AI102,"=15")/4,4)+SUMIFS(E102:AI102,E101:AI101,"=Р1",E102:AI102,"=16")/4</f>
        <v>28</v>
      </c>
      <c r="AO101" s="211">
        <f>IFERROR(SUMIF(E101:AI101,"=РВ",E102:AI102)+SUMIF(E101:AI101,"=ВЧ/РВ",E102:AI102)+SUMIF(E101:AI101,"=РН/РВ",E102:AI102)+SUMIF(E101:AI101,"=Р1/РВ",E102:AI102)+SUMIF(E101:AI101,"=ВЧ2/РВ",E102:AI102)+SUMIF(E101:AI101,"=Р2/РВ",E102:AI102),0)</f>
        <v>0</v>
      </c>
      <c r="AP101" s="211">
        <f>IFERROR(COUNTIF(E101:AI101,"=ВВ")+COUNTIF(E101:AI101,"=Р1/ВВ")+COUNTIF(E101:AI101,"=РН/ВВ")+COUNTIF(E101:AI101,"=ВЧ/ВВ"),0)</f>
        <v>14</v>
      </c>
      <c r="AQ101" s="211">
        <f>SUM(AR101:AZ101)</f>
        <v>0</v>
      </c>
      <c r="AR101" s="211">
        <f>IFERROR(SUMIF(E101:AI101,"=В",E102:AI102)+SUMIF(E101:AI101,"=Ч",E102:AI102)+SUMIF(E101:AI101,"=ВБ",E102:AI102),0)</f>
        <v>0</v>
      </c>
      <c r="AS101" s="211">
        <f>IFERROR(SUMIF(E101:AI101,"=Н",E102:AI102),0)</f>
        <v>0</v>
      </c>
      <c r="AT101" s="211">
        <f>IFERROR(SUMIF(E101:AI101,"=НА",E102:AI102),0)</f>
        <v>0</v>
      </c>
      <c r="AU101" s="211">
        <f>IFERROR(SUMIF(E101:AI101,"=ВП",E102:AI102),0)</f>
        <v>0</v>
      </c>
      <c r="AV101" s="211">
        <f>IFERROR(SUMIF(E101:AI101,"=ДД",E102:AI102),0)</f>
        <v>0</v>
      </c>
      <c r="AW101" s="202">
        <f>IFERROR(SUMIF(E101:AI101,"=ДО",E102:AI102),0)</f>
        <v>0</v>
      </c>
      <c r="AX101" s="211">
        <f>IFERROR(SUMIF(E101:AI101,"=ТН",E102:AI102),0)</f>
        <v>0</v>
      </c>
      <c r="AY101" s="211">
        <f>IFERROR(SUMIF(E101:AI101,"=ВД",E102:AI102),0)</f>
        <v>0</v>
      </c>
      <c r="AZ101" s="312">
        <f>IFERROR(SUMIF(E101:AI101,"=ІН",E102:AI102),0)+SUMIF(E101:AI101,"=НЗ",E102:AI102)</f>
        <v>0</v>
      </c>
    </row>
    <row r="102" spans="1:52" s="163" customFormat="1" ht="24" customHeight="1" thickBot="1" x14ac:dyDescent="0.25">
      <c r="A102" s="331"/>
      <c r="B102" s="331"/>
      <c r="C102" s="229"/>
      <c r="D102" s="229"/>
      <c r="E102" s="192">
        <v>13</v>
      </c>
      <c r="F102" s="192">
        <v>8</v>
      </c>
      <c r="G102" s="192"/>
      <c r="H102" s="192"/>
      <c r="I102" s="192">
        <v>15</v>
      </c>
      <c r="J102" s="192">
        <v>8</v>
      </c>
      <c r="K102" s="192"/>
      <c r="L102" s="192"/>
      <c r="M102" s="192">
        <v>16</v>
      </c>
      <c r="N102" s="192">
        <v>8</v>
      </c>
      <c r="O102" s="192"/>
      <c r="P102" s="192"/>
      <c r="Q102" s="192">
        <v>16</v>
      </c>
      <c r="R102" s="192">
        <v>8</v>
      </c>
      <c r="S102" s="192"/>
      <c r="T102" s="192"/>
      <c r="U102" s="192">
        <v>16</v>
      </c>
      <c r="V102" s="192">
        <v>8</v>
      </c>
      <c r="W102" s="192"/>
      <c r="X102" s="192"/>
      <c r="Y102" s="192">
        <v>16</v>
      </c>
      <c r="Z102" s="192">
        <v>8</v>
      </c>
      <c r="AA102" s="192"/>
      <c r="AB102" s="192"/>
      <c r="AC102" s="192">
        <v>16</v>
      </c>
      <c r="AD102" s="192">
        <v>8</v>
      </c>
      <c r="AE102" s="192"/>
      <c r="AF102" s="192"/>
      <c r="AG102" s="192" t="s">
        <v>491</v>
      </c>
      <c r="AH102" s="192" t="s">
        <v>492</v>
      </c>
      <c r="AI102" s="192" t="s">
        <v>493</v>
      </c>
      <c r="AJ102" s="325"/>
      <c r="AK102" s="334"/>
      <c r="AL102" s="286"/>
      <c r="AM102" s="286"/>
      <c r="AN102" s="212"/>
      <c r="AO102" s="286"/>
      <c r="AP102" s="212"/>
      <c r="AQ102" s="286"/>
      <c r="AR102" s="286"/>
      <c r="AS102" s="286"/>
      <c r="AT102" s="286"/>
      <c r="AU102" s="286"/>
      <c r="AV102" s="286"/>
      <c r="AW102" s="203"/>
      <c r="AX102" s="286"/>
      <c r="AY102" s="286"/>
      <c r="AZ102" s="329"/>
    </row>
    <row r="103" spans="1:52" s="163" customFormat="1" ht="21.75" customHeight="1" x14ac:dyDescent="0.2">
      <c r="A103" s="330">
        <f t="shared" ref="A103" si="42">A101+1</f>
        <v>44</v>
      </c>
      <c r="B103" s="330" t="s">
        <v>410</v>
      </c>
      <c r="C103" s="228">
        <v>2186</v>
      </c>
      <c r="D103" s="228" t="s">
        <v>72</v>
      </c>
      <c r="E103" s="191" t="s">
        <v>142</v>
      </c>
      <c r="F103" s="191" t="s">
        <v>4</v>
      </c>
      <c r="G103" s="191" t="s">
        <v>43</v>
      </c>
      <c r="H103" s="191" t="s">
        <v>142</v>
      </c>
      <c r="I103" s="191" t="s">
        <v>142</v>
      </c>
      <c r="J103" s="191" t="s">
        <v>4</v>
      </c>
      <c r="K103" s="191" t="s">
        <v>43</v>
      </c>
      <c r="L103" s="191" t="s">
        <v>142</v>
      </c>
      <c r="M103" s="191" t="s">
        <v>142</v>
      </c>
      <c r="N103" s="191" t="s">
        <v>4</v>
      </c>
      <c r="O103" s="191" t="s">
        <v>43</v>
      </c>
      <c r="P103" s="191" t="s">
        <v>142</v>
      </c>
      <c r="Q103" s="191" t="s">
        <v>142</v>
      </c>
      <c r="R103" s="191" t="s">
        <v>4</v>
      </c>
      <c r="S103" s="191" t="s">
        <v>43</v>
      </c>
      <c r="T103" s="191" t="s">
        <v>142</v>
      </c>
      <c r="U103" s="191" t="s">
        <v>142</v>
      </c>
      <c r="V103" s="191" t="s">
        <v>4</v>
      </c>
      <c r="W103" s="191" t="s">
        <v>43</v>
      </c>
      <c r="X103" s="191" t="s">
        <v>142</v>
      </c>
      <c r="Y103" s="191" t="s">
        <v>142</v>
      </c>
      <c r="Z103" s="191" t="s">
        <v>4</v>
      </c>
      <c r="AA103" s="191" t="s">
        <v>43</v>
      </c>
      <c r="AB103" s="191" t="s">
        <v>142</v>
      </c>
      <c r="AC103" s="191" t="s">
        <v>142</v>
      </c>
      <c r="AD103" s="191" t="s">
        <v>4</v>
      </c>
      <c r="AE103" s="191" t="s">
        <v>43</v>
      </c>
      <c r="AF103" s="191" t="s">
        <v>142</v>
      </c>
      <c r="AG103" s="191"/>
      <c r="AH103" s="191"/>
      <c r="AI103" s="191"/>
      <c r="AJ103" s="324">
        <f>IFERROR(COUNTIF(E103:AI103,"=Р")+COUNTIF(E103:AI103,"=Р1")+COUNTIF(E103:AI103,"=ВЧ")+COUNTIF(E103:AI103,"=РН")+COUNTIF(E103:AI103,"=Р2")+COUNTIF(E103:AI103,"=Р1/РВ")+COUNTIF(E103:AI103,"=Р2/РВ")+COUNTIF(E103:AI103,"=ВЧ/РВ")+COUNTIF(E103:AI103,"=РН/РВ"),0)</f>
        <v>14</v>
      </c>
      <c r="AK103" s="333">
        <f>IFERROR(SUMIF(E103:AI103,"=Р2",E104:AI104)+SUMIF(E103:AI103,"=ВЧ/РВ",E104:AI104)+SUMIF(E103:AI103,"=РН/РВ",E104:AI104)+SUMIF(E103:AI103,"=Р1/РВ",E104:AI104)+SUMIF(E103:AI103,"=ВЧ2/РВ",E104:AI104)+SUMIF(E103:AI103,"=Р2/РВ",E104:AI104)+SUMIF(E103:AI103,"=Р",E104:AI104)+SUMIF(E103:AI103,"=Р1",E104:AI104)+SUMIF(E103:AI103,"=ВЧ1",E104:AI104)+SUMIF(E103:AI103,"=РН",E104:AI104)+SUMIF(E103:AI103,"=ВЧ",E104:AI104),0)+AL103</f>
        <v>164</v>
      </c>
      <c r="AL103" s="211">
        <f>IFERROR(SUMIF(E103:AI103,"=НУ",E104:AI104),0)</f>
        <v>0</v>
      </c>
      <c r="AM103" s="211">
        <f>IFERROR(SUMIF(E103:AI103,"=РН",E104:AI104)+SUMIF(E103:AI103,"=РН/РВ",E104:AI104)+SUMIFS(E104:AI104,E103:AI103,"=Р2",E104:AI104,"=8"),0)</f>
        <v>56</v>
      </c>
      <c r="AN103" s="211">
        <f>IFERROR(SUMIF(E103:AI103,"=ВЧ",E104:AI104)+SUMIF(E103:AI103,"=ВЧ/РВ",E104:AI104)+CEILING(COUNTIFS(E103:AI103,"=Р2",E104:AI104,"=7")*4,1)+CEILING(COUNTIFS(E103:AI103,"=Р2/РВ",E104:AI104,"=7")*4,1)+SUMIFS(E104:AI104,E103:AI103,"=Р1/РВ",E104:AI104,"=12")/6+SUMIFS(E104:AI104,E103:AI103,"=ВЧ2/РВ",E104:AI104,"=4")/2+SUMIFS(E104:AI104,E103:AI103,"=Р1",E104:AI104,"=12")/6+SUMIFS(E104:AI104,E103:AI103,"=Р1",E104:AI104,"=8")/4+SUMIF(E103:AI103,"=ВЧ1",E104:AI104)/2,0)+CEILING(SUMIFS(E104:AI104,E103:AI103,"=Р",E104:AI104,"=13")/4,4)+CEILING(SUMIFS(E104:AI104,E103:AI103,"=Р",E104:AI104,"=14")/4,4)+CEILING(SUMIFS(E104:AI104,E103:AI103,"=Р",E104:AI104,"=15")/4,4)+SUMIFS(E104:AI104,E103:AI103,"=Р",E104:AI104,"=16")/4+CEILING(SUMIFS(E104:AI104,E103:AI103,"=Р1",E104:AI104,"=13")/4,4)+CEILING(SUMIFS(E104:AI104,E103:AI103,"=Р1",E104:AI104,"=14")/4,4)+CEILING(SUMIFS(E104:AI104,E103:AI103,"=Р1",E104:AI104,"=15")/4,4)+SUMIFS(E104:AI104,E103:AI103,"=Р1",E104:AI104,"=16")/4</f>
        <v>28</v>
      </c>
      <c r="AO103" s="211">
        <f>IFERROR(SUMIF(E103:AI103,"=РВ",E104:AI104)+SUMIF(E103:AI103,"=ВЧ/РВ",E104:AI104)+SUMIF(E103:AI103,"=РН/РВ",E104:AI104)+SUMIF(E103:AI103,"=Р1/РВ",E104:AI104)+SUMIF(E103:AI103,"=ВЧ2/РВ",E104:AI104)+SUMIF(E103:AI103,"=Р2/РВ",E104:AI104),0)</f>
        <v>0</v>
      </c>
      <c r="AP103" s="211">
        <f>IFERROR(COUNTIF(E103:AI103,"=ВВ")+COUNTIF(E103:AI103,"=Р1/ВВ")+COUNTIF(E103:AI103,"=РН/ВВ")+COUNTIF(E103:AI103,"=ВЧ/ВВ"),0)</f>
        <v>14</v>
      </c>
      <c r="AQ103" s="211">
        <f>SUM(AR103:AZ103)</f>
        <v>0</v>
      </c>
      <c r="AR103" s="211">
        <f>IFERROR(SUMIF(E103:AI103,"=В",E104:AI104)+SUMIF(E103:AI103,"=Ч",E104:AI104)+SUMIF(E103:AI103,"=ВБ",E104:AI104),0)</f>
        <v>0</v>
      </c>
      <c r="AS103" s="211">
        <f>IFERROR(SUMIF(E103:AI103,"=Н",E104:AI104),0)</f>
        <v>0</v>
      </c>
      <c r="AT103" s="211">
        <f>IFERROR(SUMIF(E103:AI103,"=НА",E104:AI104),0)</f>
        <v>0</v>
      </c>
      <c r="AU103" s="211">
        <f>IFERROR(SUMIF(E103:AI103,"=ВП",E104:AI104),0)</f>
        <v>0</v>
      </c>
      <c r="AV103" s="211">
        <f>IFERROR(SUMIF(E103:AI103,"=ДД",E104:AI104),0)</f>
        <v>0</v>
      </c>
      <c r="AW103" s="202">
        <f>IFERROR(SUMIF(E103:AI103,"=ДО",E104:AI104),0)</f>
        <v>0</v>
      </c>
      <c r="AX103" s="211">
        <f>IFERROR(SUMIF(E103:AI103,"=ТН",E104:AI104),0)</f>
        <v>0</v>
      </c>
      <c r="AY103" s="211">
        <f>IFERROR(SUMIF(E103:AI103,"=ВД",E104:AI104),0)</f>
        <v>0</v>
      </c>
      <c r="AZ103" s="312">
        <f>IFERROR(SUMIF(E103:AI103,"=ІН",E104:AI104),0)+SUMIF(E103:AI103,"=НЗ",E104:AI104)</f>
        <v>0</v>
      </c>
    </row>
    <row r="104" spans="1:52" s="163" customFormat="1" ht="21.75" customHeight="1" thickBot="1" x14ac:dyDescent="0.25">
      <c r="A104" s="331"/>
      <c r="B104" s="331"/>
      <c r="C104" s="229"/>
      <c r="D104" s="229"/>
      <c r="E104" s="192"/>
      <c r="F104" s="192">
        <v>13</v>
      </c>
      <c r="G104" s="192">
        <v>8</v>
      </c>
      <c r="H104" s="192"/>
      <c r="I104" s="192"/>
      <c r="J104" s="192">
        <v>15</v>
      </c>
      <c r="K104" s="192">
        <v>8</v>
      </c>
      <c r="L104" s="192"/>
      <c r="M104" s="192"/>
      <c r="N104" s="192">
        <v>16</v>
      </c>
      <c r="O104" s="192">
        <v>8</v>
      </c>
      <c r="P104" s="192"/>
      <c r="Q104" s="192"/>
      <c r="R104" s="192">
        <v>16</v>
      </c>
      <c r="S104" s="192">
        <v>8</v>
      </c>
      <c r="T104" s="192"/>
      <c r="U104" s="192"/>
      <c r="V104" s="192">
        <v>16</v>
      </c>
      <c r="W104" s="192">
        <v>8</v>
      </c>
      <c r="X104" s="192"/>
      <c r="Y104" s="192"/>
      <c r="Z104" s="192">
        <v>16</v>
      </c>
      <c r="AA104" s="192">
        <v>8</v>
      </c>
      <c r="AB104" s="192"/>
      <c r="AC104" s="192"/>
      <c r="AD104" s="192">
        <v>16</v>
      </c>
      <c r="AE104" s="192">
        <v>8</v>
      </c>
      <c r="AF104" s="192"/>
      <c r="AG104" s="192" t="s">
        <v>491</v>
      </c>
      <c r="AH104" s="192" t="s">
        <v>492</v>
      </c>
      <c r="AI104" s="192" t="s">
        <v>493</v>
      </c>
      <c r="AJ104" s="335"/>
      <c r="AK104" s="334"/>
      <c r="AL104" s="286"/>
      <c r="AM104" s="286"/>
      <c r="AN104" s="212"/>
      <c r="AO104" s="286"/>
      <c r="AP104" s="212"/>
      <c r="AQ104" s="286"/>
      <c r="AR104" s="286"/>
      <c r="AS104" s="286"/>
      <c r="AT104" s="286"/>
      <c r="AU104" s="286"/>
      <c r="AV104" s="286"/>
      <c r="AW104" s="203"/>
      <c r="AX104" s="286"/>
      <c r="AY104" s="286"/>
      <c r="AZ104" s="329"/>
    </row>
    <row r="105" spans="1:52" s="163" customFormat="1" ht="24" customHeight="1" x14ac:dyDescent="0.2">
      <c r="A105" s="330">
        <f t="shared" ref="A105" si="43">A103+1</f>
        <v>45</v>
      </c>
      <c r="B105" s="336" t="s">
        <v>411</v>
      </c>
      <c r="C105" s="228">
        <v>1164</v>
      </c>
      <c r="D105" s="228" t="s">
        <v>72</v>
      </c>
      <c r="E105" s="191" t="s">
        <v>4</v>
      </c>
      <c r="F105" s="191" t="s">
        <v>43</v>
      </c>
      <c r="G105" s="191" t="s">
        <v>142</v>
      </c>
      <c r="H105" s="191" t="s">
        <v>142</v>
      </c>
      <c r="I105" s="191" t="s">
        <v>4</v>
      </c>
      <c r="J105" s="191" t="s">
        <v>43</v>
      </c>
      <c r="K105" s="191" t="s">
        <v>142</v>
      </c>
      <c r="L105" s="191" t="s">
        <v>142</v>
      </c>
      <c r="M105" s="191" t="s">
        <v>4</v>
      </c>
      <c r="N105" s="191" t="s">
        <v>43</v>
      </c>
      <c r="O105" s="191" t="s">
        <v>142</v>
      </c>
      <c r="P105" s="191" t="s">
        <v>142</v>
      </c>
      <c r="Q105" s="191" t="s">
        <v>4</v>
      </c>
      <c r="R105" s="191" t="s">
        <v>43</v>
      </c>
      <c r="S105" s="191" t="s">
        <v>142</v>
      </c>
      <c r="T105" s="191" t="s">
        <v>142</v>
      </c>
      <c r="U105" s="191" t="s">
        <v>4</v>
      </c>
      <c r="V105" s="191" t="s">
        <v>43</v>
      </c>
      <c r="W105" s="191" t="s">
        <v>142</v>
      </c>
      <c r="X105" s="191" t="s">
        <v>142</v>
      </c>
      <c r="Y105" s="191" t="s">
        <v>4</v>
      </c>
      <c r="Z105" s="191" t="s">
        <v>43</v>
      </c>
      <c r="AA105" s="191" t="s">
        <v>142</v>
      </c>
      <c r="AB105" s="191" t="s">
        <v>142</v>
      </c>
      <c r="AC105" s="191" t="s">
        <v>4</v>
      </c>
      <c r="AD105" s="191" t="s">
        <v>43</v>
      </c>
      <c r="AE105" s="191" t="s">
        <v>142</v>
      </c>
      <c r="AF105" s="191" t="s">
        <v>142</v>
      </c>
      <c r="AG105" s="191"/>
      <c r="AH105" s="191"/>
      <c r="AI105" s="191"/>
      <c r="AJ105" s="332">
        <f>IFERROR(COUNTIF(E105:AI105,"=Р")+COUNTIF(E105:AI105,"=Р1")+COUNTIF(E105:AI105,"=ВЧ")+COUNTIF(E105:AI105,"=РН")+COUNTIF(E105:AI105,"=Р2")+COUNTIF(E105:AI105,"=Р1/РВ")+COUNTIF(E105:AI105,"=Р2/РВ")+COUNTIF(E105:AI105,"=ВЧ/РВ")+COUNTIF(E105:AI105,"=РН/РВ"),0)</f>
        <v>14</v>
      </c>
      <c r="AK105" s="333">
        <f>IFERROR(SUMIF(E105:AI105,"=Р2",E106:AI106)+SUMIF(E105:AI105,"=ВЧ/РВ",E106:AI106)+SUMIF(E105:AI105,"=РН/РВ",E106:AI106)+SUMIF(E105:AI105,"=Р1/РВ",E106:AI106)+SUMIF(E105:AI105,"=ВЧ2/РВ",E106:AI106)+SUMIF(E105:AI105,"=Р2/РВ",E106:AI106)+SUMIF(E105:AI105,"=Р",E106:AI106)+SUMIF(E105:AI105,"=Р1",E106:AI106)+SUMIF(E105:AI105,"=ВЧ1",E106:AI106)+SUMIF(E105:AI105,"=РН",E106:AI106)+SUMIF(E105:AI105,"=ВЧ",E106:AI106),0)+AL105</f>
        <v>164</v>
      </c>
      <c r="AL105" s="211">
        <f>IFERROR(SUMIF(E105:AI105,"=НУ",E106:AI106),0)</f>
        <v>0</v>
      </c>
      <c r="AM105" s="211">
        <f>IFERROR(SUMIF(E105:AI105,"=РН",E106:AI106)+SUMIF(E105:AI105,"=РН/РВ",E106:AI106)+SUMIFS(E106:AI106,E105:AI105,"=Р2",E106:AI106,"=8"),0)</f>
        <v>56</v>
      </c>
      <c r="AN105" s="211">
        <f>IFERROR(SUMIF(E105:AI105,"=ВЧ",E106:AI106)+SUMIF(E105:AI105,"=ВЧ/РВ",E106:AI106)+CEILING(COUNTIFS(E105:AI105,"=Р2",E106:AI106,"=7")*4,1)+CEILING(COUNTIFS(E105:AI105,"=Р2/РВ",E106:AI106,"=7")*4,1)+SUMIFS(E106:AI106,E105:AI105,"=Р1/РВ",E106:AI106,"=12")/6+SUMIFS(E106:AI106,E105:AI105,"=ВЧ2/РВ",E106:AI106,"=4")/2+SUMIFS(E106:AI106,E105:AI105,"=Р1",E106:AI106,"=12")/6+SUMIFS(E106:AI106,E105:AI105,"=Р1",E106:AI106,"=8")/4+SUMIF(E105:AI105,"=ВЧ1",E106:AI106)/2,0)+CEILING(SUMIFS(E106:AI106,E105:AI105,"=Р",E106:AI106,"=13")/4,4)+CEILING(SUMIFS(E106:AI106,E105:AI105,"=Р",E106:AI106,"=14")/4,4)+CEILING(SUMIFS(E106:AI106,E105:AI105,"=Р",E106:AI106,"=15")/4,4)+SUMIFS(E106:AI106,E105:AI105,"=Р",E106:AI106,"=16")/4+CEILING(SUMIFS(E106:AI106,E105:AI105,"=Р1",E106:AI106,"=13")/4,4)+CEILING(SUMIFS(E106:AI106,E105:AI105,"=Р1",E106:AI106,"=14")/4,4)+CEILING(SUMIFS(E106:AI106,E105:AI105,"=Р1",E106:AI106,"=15")/4,4)+SUMIFS(E106:AI106,E105:AI105,"=Р1",E106:AI106,"=16")/4</f>
        <v>28</v>
      </c>
      <c r="AO105" s="211">
        <f>IFERROR(SUMIF(E105:AI105,"=РВ",E106:AI106)+SUMIF(E105:AI105,"=ВЧ/РВ",E106:AI106)+SUMIF(E105:AI105,"=РН/РВ",E106:AI106)+SUMIF(E105:AI105,"=Р1/РВ",E106:AI106)+SUMIF(E105:AI105,"=ВЧ2/РВ",E106:AI106)+SUMIF(E105:AI105,"=Р2/РВ",E106:AI106),0)</f>
        <v>0</v>
      </c>
      <c r="AP105" s="211">
        <f>IFERROR(COUNTIF(E105:AI105,"=ВВ")+COUNTIF(E105:AI105,"=Р1/ВВ")+COUNTIF(E105:AI105,"=РН/ВВ")+COUNTIF(E105:AI105,"=ВЧ/ВВ"),0)</f>
        <v>14</v>
      </c>
      <c r="AQ105" s="211">
        <f>SUM(AR105:AZ105)</f>
        <v>0</v>
      </c>
      <c r="AR105" s="211">
        <f>IFERROR(SUMIF(E105:AI105,"=В",E106:AI106)+SUMIF(E105:AI105,"=Ч",E106:AI106)+SUMIF(E105:AI105,"=ВБ",E106:AI106),0)</f>
        <v>0</v>
      </c>
      <c r="AS105" s="211">
        <f>IFERROR(SUMIF(E105:AI105,"=Н",E106:AI106),0)</f>
        <v>0</v>
      </c>
      <c r="AT105" s="211">
        <f>IFERROR(SUMIF(E105:AI105,"=НА",E106:AI106),0)</f>
        <v>0</v>
      </c>
      <c r="AU105" s="211">
        <f>IFERROR(SUMIF(E105:AI105,"=ВП",E106:AI106),0)</f>
        <v>0</v>
      </c>
      <c r="AV105" s="211">
        <f>IFERROR(SUMIF(E105:AI105,"=ДД",E106:AI106),0)</f>
        <v>0</v>
      </c>
      <c r="AW105" s="202">
        <f>IFERROR(SUMIF(E105:AI105,"=ДО",E106:AI106),0)</f>
        <v>0</v>
      </c>
      <c r="AX105" s="211">
        <f>IFERROR(SUMIF(E105:AI105,"=ТН",E106:AI106),0)</f>
        <v>0</v>
      </c>
      <c r="AY105" s="211">
        <f>IFERROR(SUMIF(E105:AI105,"=ВД",E106:AI106),0)</f>
        <v>0</v>
      </c>
      <c r="AZ105" s="312">
        <f>IFERROR(SUMIF(E105:AI105,"=ІН",E106:AI106),0)+SUMIF(E105:AI105,"=НЗ",E106:AI106)</f>
        <v>0</v>
      </c>
    </row>
    <row r="106" spans="1:52" s="163" customFormat="1" ht="19.5" customHeight="1" thickBot="1" x14ac:dyDescent="0.25">
      <c r="A106" s="331"/>
      <c r="B106" s="331"/>
      <c r="C106" s="337"/>
      <c r="D106" s="337"/>
      <c r="E106" s="192">
        <v>13</v>
      </c>
      <c r="F106" s="192">
        <v>8</v>
      </c>
      <c r="G106" s="192"/>
      <c r="H106" s="192"/>
      <c r="I106" s="192">
        <v>15</v>
      </c>
      <c r="J106" s="192">
        <v>8</v>
      </c>
      <c r="K106" s="192"/>
      <c r="L106" s="192"/>
      <c r="M106" s="192">
        <v>16</v>
      </c>
      <c r="N106" s="192">
        <v>8</v>
      </c>
      <c r="O106" s="192"/>
      <c r="P106" s="192"/>
      <c r="Q106" s="192">
        <v>16</v>
      </c>
      <c r="R106" s="192">
        <v>8</v>
      </c>
      <c r="S106" s="192"/>
      <c r="T106" s="192"/>
      <c r="U106" s="192">
        <v>16</v>
      </c>
      <c r="V106" s="192">
        <v>8</v>
      </c>
      <c r="W106" s="192"/>
      <c r="X106" s="192"/>
      <c r="Y106" s="192">
        <v>16</v>
      </c>
      <c r="Z106" s="192">
        <v>8</v>
      </c>
      <c r="AA106" s="192"/>
      <c r="AB106" s="192"/>
      <c r="AC106" s="192">
        <v>16</v>
      </c>
      <c r="AD106" s="192">
        <v>8</v>
      </c>
      <c r="AE106" s="192"/>
      <c r="AF106" s="192"/>
      <c r="AG106" s="192" t="s">
        <v>491</v>
      </c>
      <c r="AH106" s="192" t="s">
        <v>492</v>
      </c>
      <c r="AI106" s="192" t="s">
        <v>493</v>
      </c>
      <c r="AJ106" s="335"/>
      <c r="AK106" s="334"/>
      <c r="AL106" s="286"/>
      <c r="AM106" s="286"/>
      <c r="AN106" s="212"/>
      <c r="AO106" s="286"/>
      <c r="AP106" s="212"/>
      <c r="AQ106" s="286"/>
      <c r="AR106" s="286"/>
      <c r="AS106" s="286"/>
      <c r="AT106" s="286"/>
      <c r="AU106" s="286"/>
      <c r="AV106" s="286"/>
      <c r="AW106" s="203"/>
      <c r="AX106" s="286"/>
      <c r="AY106" s="286"/>
      <c r="AZ106" s="329"/>
    </row>
    <row r="107" spans="1:52" ht="20.100000000000001" customHeight="1" x14ac:dyDescent="0.2">
      <c r="A107" s="330">
        <f t="shared" ref="A107:A171" si="44">A105+1</f>
        <v>46</v>
      </c>
      <c r="B107" s="336" t="s">
        <v>137</v>
      </c>
      <c r="C107" s="293">
        <v>1165</v>
      </c>
      <c r="D107" s="293" t="s">
        <v>65</v>
      </c>
      <c r="E107" s="191" t="s">
        <v>142</v>
      </c>
      <c r="F107" s="191" t="s">
        <v>142</v>
      </c>
      <c r="G107" s="191" t="s">
        <v>4</v>
      </c>
      <c r="H107" s="191" t="s">
        <v>4</v>
      </c>
      <c r="I107" s="191" t="s">
        <v>4</v>
      </c>
      <c r="J107" s="191" t="s">
        <v>4</v>
      </c>
      <c r="K107" s="191" t="s">
        <v>52</v>
      </c>
      <c r="L107" s="191" t="s">
        <v>52</v>
      </c>
      <c r="M107" s="191" t="s">
        <v>52</v>
      </c>
      <c r="N107" s="191" t="s">
        <v>52</v>
      </c>
      <c r="O107" s="191" t="s">
        <v>52</v>
      </c>
      <c r="P107" s="191" t="s">
        <v>52</v>
      </c>
      <c r="Q107" s="191" t="s">
        <v>52</v>
      </c>
      <c r="R107" s="191" t="s">
        <v>52</v>
      </c>
      <c r="S107" s="191" t="s">
        <v>52</v>
      </c>
      <c r="T107" s="191" t="s">
        <v>142</v>
      </c>
      <c r="U107" s="191" t="s">
        <v>3</v>
      </c>
      <c r="V107" s="191" t="s">
        <v>3</v>
      </c>
      <c r="W107" s="191" t="s">
        <v>3</v>
      </c>
      <c r="X107" s="191" t="s">
        <v>3</v>
      </c>
      <c r="Y107" s="191" t="s">
        <v>3</v>
      </c>
      <c r="Z107" s="191" t="s">
        <v>3</v>
      </c>
      <c r="AA107" s="191" t="s">
        <v>3</v>
      </c>
      <c r="AB107" s="191" t="s">
        <v>3</v>
      </c>
      <c r="AC107" s="191" t="s">
        <v>3</v>
      </c>
      <c r="AD107" s="191" t="s">
        <v>3</v>
      </c>
      <c r="AE107" s="191" t="s">
        <v>3</v>
      </c>
      <c r="AF107" s="191" t="s">
        <v>3</v>
      </c>
      <c r="AG107" s="191" t="s">
        <v>3</v>
      </c>
      <c r="AH107" s="191" t="s">
        <v>3</v>
      </c>
      <c r="AI107" s="191" t="s">
        <v>4</v>
      </c>
      <c r="AJ107" s="332">
        <f>IFERROR(COUNTIF(E107:AI107,"=Р")+COUNTIF(E107:AI107,"=Р1")+COUNTIF(E107:AI107,"=ВЧ")+COUNTIF(E107:AI107,"=РН")+COUNTIF(E107:AI107,"=Р2")+COUNTIF(E107:AI107,"=Р1/РВ")+COUNTIF(E107:AI107,"=Р2/РВ")+COUNTIF(E107:AI107,"=ВЧ/РВ")+COUNTIF(E107:AI107,"=РН/РВ"),0)</f>
        <v>5</v>
      </c>
      <c r="AK107" s="333">
        <f>IFERROR(SUMIF(E107:AI107,"=Р2",E108:AI108)+SUMIF(E107:AI107,"=ВЧ/РВ",E108:AI108)+SUMIF(E107:AI107,"=РН/РВ",E108:AI108)+SUMIF(E107:AI107,"=Р1/РВ",E108:AI108)+SUMIF(E107:AI107,"=ВЧ2/РВ",E108:AI108)+SUMIF(E107:AI107,"=Р2/РВ",E108:AI108)+SUMIF(E107:AI107,"=Р",E108:AI108)+SUMIF(E107:AI107,"=Р1",E108:AI108)+SUMIF(E107:AI107,"=ВЧ1",E108:AI108)+SUMIF(E107:AI107,"=РН",E108:AI108)+SUMIF(E107:AI107,"=ВЧ",E108:AI108),0)+AL107</f>
        <v>41</v>
      </c>
      <c r="AL107" s="211">
        <f>IFERROR(SUMIF(E107:AI107,"=НУ",E108:AI108),0)</f>
        <v>0</v>
      </c>
      <c r="AM107" s="211">
        <f>IFERROR(SUMIF(E107:AI107,"=РН",E108:AI108)+SUMIF(E107:AI107,"=РН/РВ",E108:AI108)+SUMIFS(E108:AI108,E107:AI107,"=Р2",E108:AI108,"=8"),0)</f>
        <v>0</v>
      </c>
      <c r="AN107" s="211">
        <f>IFERROR(SUMIF(E107:AI107,"=ВЧ",E108:AI108)+SUMIF(E107:AI107,"=ВЧ/РВ",E108:AI108)+CEILING(COUNTIFS(E107:AI107,"=Р2",E108:AI108,"=7")*4,1)+CEILING(COUNTIFS(E107:AI107,"=Р2/РВ",E108:AI108,"=7")*4,1)+SUMIFS(E108:AI108,E107:AI107,"=Р1/РВ",E108:AI108,"=12")/6+SUMIFS(E108:AI108,E107:AI107,"=ВЧ2/РВ",E108:AI108,"=4")/2+SUMIFS(E108:AI108,E107:AI107,"=Р1",E108:AI108,"=12")/6+SUMIFS(E108:AI108,E107:AI107,"=Р1",E108:AI108,"=8")/4+SUMIF(E107:AI107,"=ВЧ1",E108:AI108)/2,0)+CEILING(SUMIFS(E108:AI108,E107:AI107,"=Р",E108:AI108,"=13")/4,4)+CEILING(SUMIFS(E108:AI108,E107:AI107,"=Р",E108:AI108,"=14")/4,4)+CEILING(SUMIFS(E108:AI108,E107:AI107,"=Р",E108:AI108,"=15")/4,4)+SUMIFS(E108:AI108,E107:AI107,"=Р",E108:AI108,"=16")/4+CEILING(SUMIFS(E108:AI108,E107:AI107,"=Р1",E108:AI108,"=13")/4,4)+CEILING(SUMIFS(E108:AI108,E107:AI107,"=Р1",E108:AI108,"=14")/4,4)+CEILING(SUMIFS(E108:AI108,E107:AI107,"=Р1",E108:AI108,"=15")/4,4)+SUMIFS(E108:AI108,E107:AI107,"=Р1",E108:AI108,"=16")/4</f>
        <v>0</v>
      </c>
      <c r="AO107" s="211">
        <f>IFERROR(SUMIF(E107:AI107,"=РВ",E108:AI108)+SUMIF(E107:AI107,"=ВЧ/РВ",E108:AI108)+SUMIF(E107:AI107,"=РН/РВ",E108:AI108)+SUMIF(E107:AI107,"=Р1/РВ",E108:AI108)+SUMIF(E107:AI107,"=ВЧ2/РВ",E108:AI108)+SUMIF(E107:AI107,"=Р2/РВ",E108:AI108),0)</f>
        <v>0</v>
      </c>
      <c r="AP107" s="211">
        <f t="shared" si="30"/>
        <v>3</v>
      </c>
      <c r="AQ107" s="211">
        <f>SUM(AR107:AZ107)</f>
        <v>127.00000000000001</v>
      </c>
      <c r="AR107" s="211">
        <f>IFERROR(SUMIF(E107:AI107,"=В",E108:AI108)+SUMIF(E107:AI107,"=Ч",E108:AI108)+SUMIF(E107:AI107,"=ВБ",E108:AI108),0)</f>
        <v>80.000000000000014</v>
      </c>
      <c r="AS107" s="211">
        <f>IFERROR(SUMIF(E107:AI107,"=Н",E108:AI108),0)</f>
        <v>0</v>
      </c>
      <c r="AT107" s="211">
        <f>IFERROR(SUMIF(E107:AI107,"=НА",E108:AI108),0)</f>
        <v>0</v>
      </c>
      <c r="AU107" s="211">
        <f>IFERROR(SUMIF(E107:AI107,"=ВП",E108:AI108),0)</f>
        <v>0</v>
      </c>
      <c r="AV107" s="211">
        <f>IFERROR(SUMIF(E107:AI107,"=ДД",E108:AI108),0)</f>
        <v>0</v>
      </c>
      <c r="AW107" s="202">
        <f>IFERROR(SUMIF(E107:AI107,"=ДО",E108:AI108),0)</f>
        <v>0</v>
      </c>
      <c r="AX107" s="211">
        <f>IFERROR(SUMIF(E107:AI107,"=ТН",E108:AI108),0)</f>
        <v>47</v>
      </c>
      <c r="AY107" s="211">
        <f>IFERROR(SUMIF(E107:AI107,"=ВД",E108:AI108),0)</f>
        <v>0</v>
      </c>
      <c r="AZ107" s="312">
        <f>IFERROR(SUMIF(E107:AI107,"=ІН",E108:AI108),0)+SUMIF(E107:AI107,"=НЗ",E108:AI108)</f>
        <v>0</v>
      </c>
    </row>
    <row r="108" spans="1:52" ht="20.100000000000001" customHeight="1" thickBot="1" x14ac:dyDescent="0.25">
      <c r="A108" s="331"/>
      <c r="B108" s="352"/>
      <c r="C108" s="338"/>
      <c r="D108" s="338"/>
      <c r="E108" s="192"/>
      <c r="F108" s="192"/>
      <c r="G108" s="192">
        <v>8.1999999999999993</v>
      </c>
      <c r="H108" s="192">
        <v>8.1999999999999993</v>
      </c>
      <c r="I108" s="192">
        <v>8.1999999999999993</v>
      </c>
      <c r="J108" s="192">
        <v>8.1999999999999993</v>
      </c>
      <c r="K108" s="192">
        <v>7</v>
      </c>
      <c r="L108" s="192"/>
      <c r="M108" s="192"/>
      <c r="N108" s="192">
        <v>8.1999999999999993</v>
      </c>
      <c r="O108" s="192">
        <v>8.1999999999999993</v>
      </c>
      <c r="P108" s="192">
        <v>8.1999999999999993</v>
      </c>
      <c r="Q108" s="192">
        <v>8.1999999999999993</v>
      </c>
      <c r="R108" s="192">
        <v>7.2</v>
      </c>
      <c r="S108" s="192"/>
      <c r="T108" s="192"/>
      <c r="U108" s="192">
        <v>8.1999999999999993</v>
      </c>
      <c r="V108" s="192">
        <v>8.1999999999999993</v>
      </c>
      <c r="W108" s="192">
        <v>8.1999999999999993</v>
      </c>
      <c r="X108" s="192">
        <v>8.1999999999999993</v>
      </c>
      <c r="Y108" s="192">
        <v>7.2</v>
      </c>
      <c r="Z108" s="192"/>
      <c r="AA108" s="192"/>
      <c r="AB108" s="192">
        <v>8.1999999999999993</v>
      </c>
      <c r="AC108" s="192">
        <v>8.1999999999999993</v>
      </c>
      <c r="AD108" s="192">
        <v>8.1999999999999993</v>
      </c>
      <c r="AE108" s="192">
        <v>8.1999999999999993</v>
      </c>
      <c r="AF108" s="192">
        <v>7.2</v>
      </c>
      <c r="AG108" s="192"/>
      <c r="AH108" s="192"/>
      <c r="AI108" s="192">
        <v>8.1999999999999993</v>
      </c>
      <c r="AJ108" s="325"/>
      <c r="AK108" s="334"/>
      <c r="AL108" s="286"/>
      <c r="AM108" s="286"/>
      <c r="AN108" s="212"/>
      <c r="AO108" s="286"/>
      <c r="AP108" s="212"/>
      <c r="AQ108" s="286"/>
      <c r="AR108" s="286"/>
      <c r="AS108" s="286"/>
      <c r="AT108" s="286"/>
      <c r="AU108" s="286"/>
      <c r="AV108" s="286"/>
      <c r="AW108" s="203"/>
      <c r="AX108" s="286"/>
      <c r="AY108" s="286"/>
      <c r="AZ108" s="329"/>
    </row>
    <row r="109" spans="1:52" s="163" customFormat="1" ht="21.75" customHeight="1" x14ac:dyDescent="0.2">
      <c r="A109" s="330">
        <f t="shared" si="44"/>
        <v>47</v>
      </c>
      <c r="B109" s="330" t="s">
        <v>415</v>
      </c>
      <c r="C109" s="228">
        <v>2187</v>
      </c>
      <c r="D109" s="228" t="s">
        <v>65</v>
      </c>
      <c r="E109" s="191" t="s">
        <v>142</v>
      </c>
      <c r="F109" s="191" t="s">
        <v>142</v>
      </c>
      <c r="G109" s="191" t="s">
        <v>4</v>
      </c>
      <c r="H109" s="191" t="s">
        <v>43</v>
      </c>
      <c r="I109" s="191" t="s">
        <v>142</v>
      </c>
      <c r="J109" s="191" t="s">
        <v>142</v>
      </c>
      <c r="K109" s="191" t="s">
        <v>4</v>
      </c>
      <c r="L109" s="191" t="s">
        <v>43</v>
      </c>
      <c r="M109" s="191" t="s">
        <v>142</v>
      </c>
      <c r="N109" s="191" t="s">
        <v>142</v>
      </c>
      <c r="O109" s="191" t="s">
        <v>4</v>
      </c>
      <c r="P109" s="191" t="s">
        <v>43</v>
      </c>
      <c r="Q109" s="191" t="s">
        <v>142</v>
      </c>
      <c r="R109" s="191" t="s">
        <v>142</v>
      </c>
      <c r="S109" s="191" t="s">
        <v>4</v>
      </c>
      <c r="T109" s="191" t="s">
        <v>43</v>
      </c>
      <c r="U109" s="191" t="s">
        <v>142</v>
      </c>
      <c r="V109" s="191" t="s">
        <v>142</v>
      </c>
      <c r="W109" s="191" t="s">
        <v>4</v>
      </c>
      <c r="X109" s="191" t="s">
        <v>43</v>
      </c>
      <c r="Y109" s="191" t="s">
        <v>142</v>
      </c>
      <c r="Z109" s="191" t="s">
        <v>142</v>
      </c>
      <c r="AA109" s="191" t="s">
        <v>4</v>
      </c>
      <c r="AB109" s="191" t="s">
        <v>43</v>
      </c>
      <c r="AC109" s="191" t="s">
        <v>142</v>
      </c>
      <c r="AD109" s="191" t="s">
        <v>142</v>
      </c>
      <c r="AE109" s="191" t="s">
        <v>4</v>
      </c>
      <c r="AF109" s="191" t="s">
        <v>43</v>
      </c>
      <c r="AG109" s="191"/>
      <c r="AH109" s="191"/>
      <c r="AI109" s="191"/>
      <c r="AJ109" s="324">
        <f>IFERROR(COUNTIF(E109:AI109,"=Р")+COUNTIF(E109:AI109,"=Р1")+COUNTIF(E109:AI109,"=ВЧ")+COUNTIF(E109:AI109,"=РН")+COUNTIF(E109:AI109,"=Р2")+COUNTIF(E109:AI109,"=Р1/РВ")+COUNTIF(E109:AI109,"=Р2/РВ")+COUNTIF(E109:AI109,"=ВЧ/РВ")+COUNTIF(E109:AI109,"=РН/РВ"),0)</f>
        <v>14</v>
      </c>
      <c r="AK109" s="333">
        <f>IFERROR(SUMIF(E109:AI109,"=Р2",E110:AI110)+SUMIF(E109:AI109,"=ВЧ/РВ",E110:AI110)+SUMIF(E109:AI109,"=РН/РВ",E110:AI110)+SUMIF(E109:AI109,"=Р1/РВ",E110:AI110)+SUMIF(E109:AI109,"=ВЧ2/РВ",E110:AI110)+SUMIF(E109:AI109,"=Р2/РВ",E110:AI110)+SUMIF(E109:AI109,"=Р",E110:AI110)+SUMIF(E109:AI109,"=Р1",E110:AI110)+SUMIF(E109:AI109,"=ВЧ1",E110:AI110)+SUMIF(E109:AI109,"=РН",E110:AI110)+SUMIF(E109:AI109,"=ВЧ",E110:AI110),0)+AL109</f>
        <v>164</v>
      </c>
      <c r="AL109" s="211">
        <f>IFERROR(SUMIF(E109:AI109,"=НУ",E110:AI110),0)</f>
        <v>0</v>
      </c>
      <c r="AM109" s="211">
        <f>IFERROR(SUMIF(E109:AI109,"=РН",E110:AI110)+SUMIF(E109:AI109,"=РН/РВ",E110:AI110)+SUMIFS(E110:AI110,E109:AI109,"=Р2",E110:AI110,"=8"),0)</f>
        <v>56</v>
      </c>
      <c r="AN109" s="211">
        <f>IFERROR(SUMIF(E109:AI109,"=ВЧ",E110:AI110)+SUMIF(E109:AI109,"=ВЧ/РВ",E110:AI110)+CEILING(COUNTIFS(E109:AI109,"=Р2",E110:AI110,"=7")*4,1)+CEILING(COUNTIFS(E109:AI109,"=Р2/РВ",E110:AI110,"=7")*4,1)+SUMIFS(E110:AI110,E109:AI109,"=Р1/РВ",E110:AI110,"=12")/6+SUMIFS(E110:AI110,E109:AI109,"=ВЧ2/РВ",E110:AI110,"=4")/2+SUMIFS(E110:AI110,E109:AI109,"=Р1",E110:AI110,"=12")/6+SUMIFS(E110:AI110,E109:AI109,"=Р1",E110:AI110,"=8")/4+SUMIF(E109:AI109,"=ВЧ1",E110:AI110)/2,0)+CEILING(SUMIFS(E110:AI110,E109:AI109,"=Р",E110:AI110,"=13")/4,4)+CEILING(SUMIFS(E110:AI110,E109:AI109,"=Р",E110:AI110,"=14")/4,4)+CEILING(SUMIFS(E110:AI110,E109:AI109,"=Р",E110:AI110,"=15")/4,4)+SUMIFS(E110:AI110,E109:AI109,"=Р",E110:AI110,"=16")/4+CEILING(SUMIFS(E110:AI110,E109:AI109,"=Р1",E110:AI110,"=13")/4,4)+CEILING(SUMIFS(E110:AI110,E109:AI109,"=Р1",E110:AI110,"=14")/4,4)+CEILING(SUMIFS(E110:AI110,E109:AI109,"=Р1",E110:AI110,"=15")/4,4)+SUMIFS(E110:AI110,E109:AI109,"=Р1",E110:AI110,"=16")/4</f>
        <v>28</v>
      </c>
      <c r="AO109" s="211">
        <f>IFERROR(SUMIF(E109:AI109,"=РВ",E110:AI110)+SUMIF(E109:AI109,"=ВЧ/РВ",E110:AI110)+SUMIF(E109:AI109,"=РН/РВ",E110:AI110)+SUMIF(E109:AI109,"=Р1/РВ",E110:AI110)+SUMIF(E109:AI109,"=ВЧ2/РВ",E110:AI110)+SUMIF(E109:AI109,"=Р2/РВ",E110:AI110),0)</f>
        <v>0</v>
      </c>
      <c r="AP109" s="211">
        <f>IFERROR(COUNTIF(E109:AI109,"=ВВ")+COUNTIF(E109:AI109,"=Р1/ВВ")+COUNTIF(E109:AI109,"=РН/ВВ")+COUNTIF(E109:AI109,"=ВЧ/ВВ"),0)</f>
        <v>14</v>
      </c>
      <c r="AQ109" s="211">
        <f>SUM(AR109:AZ109)</f>
        <v>0</v>
      </c>
      <c r="AR109" s="211">
        <f>IFERROR(SUMIF(E109:AI109,"=В",E110:AI110)+SUMIF(E109:AI109,"=Ч",E110:AI110)+SUMIF(E109:AI109,"=ВБ",E110:AI110),0)</f>
        <v>0</v>
      </c>
      <c r="AS109" s="211">
        <f>IFERROR(SUMIF(E109:AI109,"=Н",E110:AI110),0)</f>
        <v>0</v>
      </c>
      <c r="AT109" s="211">
        <f>IFERROR(SUMIF(E109:AI109,"=НА",E110:AI110),0)</f>
        <v>0</v>
      </c>
      <c r="AU109" s="211">
        <f>IFERROR(SUMIF(E109:AI109,"=ВП",E110:AI110),0)</f>
        <v>0</v>
      </c>
      <c r="AV109" s="211">
        <f>IFERROR(SUMIF(E109:AI109,"=ДД",E110:AI110),0)</f>
        <v>0</v>
      </c>
      <c r="AW109" s="202">
        <f>IFERROR(SUMIF(E109:AI109,"=ДО",E110:AI110),0)</f>
        <v>0</v>
      </c>
      <c r="AX109" s="211">
        <f>IFERROR(SUMIF(E109:AI109,"=ТН",E110:AI110),0)</f>
        <v>0</v>
      </c>
      <c r="AY109" s="211">
        <f>IFERROR(SUMIF(E109:AI109,"=ВД",E110:AI110),0)</f>
        <v>0</v>
      </c>
      <c r="AZ109" s="312">
        <f>IFERROR(SUMIF(E109:AI109,"=ІН",E110:AI110),0)+SUMIF(E109:AI109,"=НЗ",E110:AI110)</f>
        <v>0</v>
      </c>
    </row>
    <row r="110" spans="1:52" s="163" customFormat="1" ht="21.75" customHeight="1" thickBot="1" x14ac:dyDescent="0.25">
      <c r="A110" s="331"/>
      <c r="B110" s="331"/>
      <c r="C110" s="229"/>
      <c r="D110" s="229"/>
      <c r="E110" s="192"/>
      <c r="F110" s="192"/>
      <c r="G110" s="192">
        <v>13</v>
      </c>
      <c r="H110" s="192">
        <v>8</v>
      </c>
      <c r="I110" s="192"/>
      <c r="J110" s="192"/>
      <c r="K110" s="192">
        <v>16</v>
      </c>
      <c r="L110" s="192">
        <v>8</v>
      </c>
      <c r="M110" s="192"/>
      <c r="N110" s="192"/>
      <c r="O110" s="192">
        <v>16</v>
      </c>
      <c r="P110" s="192">
        <v>8</v>
      </c>
      <c r="Q110" s="192"/>
      <c r="R110" s="192"/>
      <c r="S110" s="192">
        <v>16</v>
      </c>
      <c r="T110" s="192">
        <v>8</v>
      </c>
      <c r="U110" s="192"/>
      <c r="V110" s="192"/>
      <c r="W110" s="192">
        <v>15</v>
      </c>
      <c r="X110" s="192">
        <v>8</v>
      </c>
      <c r="Y110" s="192"/>
      <c r="Z110" s="192"/>
      <c r="AA110" s="192">
        <v>16</v>
      </c>
      <c r="AB110" s="192">
        <v>8</v>
      </c>
      <c r="AC110" s="192"/>
      <c r="AD110" s="192"/>
      <c r="AE110" s="192">
        <v>16</v>
      </c>
      <c r="AF110" s="192">
        <v>8</v>
      </c>
      <c r="AG110" s="192" t="s">
        <v>491</v>
      </c>
      <c r="AH110" s="192" t="s">
        <v>492</v>
      </c>
      <c r="AI110" s="192" t="s">
        <v>493</v>
      </c>
      <c r="AJ110" s="335"/>
      <c r="AK110" s="334"/>
      <c r="AL110" s="286"/>
      <c r="AM110" s="286"/>
      <c r="AN110" s="212"/>
      <c r="AO110" s="286"/>
      <c r="AP110" s="212"/>
      <c r="AQ110" s="286"/>
      <c r="AR110" s="286"/>
      <c r="AS110" s="286"/>
      <c r="AT110" s="286"/>
      <c r="AU110" s="286"/>
      <c r="AV110" s="286"/>
      <c r="AW110" s="203"/>
      <c r="AX110" s="286"/>
      <c r="AY110" s="286"/>
      <c r="AZ110" s="329"/>
    </row>
    <row r="111" spans="1:52" ht="20.100000000000001" customHeight="1" x14ac:dyDescent="0.2">
      <c r="A111" s="330">
        <f t="shared" si="44"/>
        <v>48</v>
      </c>
      <c r="B111" s="330" t="s">
        <v>269</v>
      </c>
      <c r="C111" s="228">
        <v>1277</v>
      </c>
      <c r="D111" s="228" t="s">
        <v>65</v>
      </c>
      <c r="E111" s="191" t="s">
        <v>43</v>
      </c>
      <c r="F111" s="191" t="s">
        <v>142</v>
      </c>
      <c r="G111" s="191" t="s">
        <v>4</v>
      </c>
      <c r="H111" s="191" t="s">
        <v>43</v>
      </c>
      <c r="I111" s="191" t="s">
        <v>142</v>
      </c>
      <c r="J111" s="191" t="s">
        <v>4</v>
      </c>
      <c r="K111" s="191" t="s">
        <v>43</v>
      </c>
      <c r="L111" s="191" t="s">
        <v>142</v>
      </c>
      <c r="M111" s="191" t="s">
        <v>142</v>
      </c>
      <c r="N111" s="191" t="s">
        <v>4</v>
      </c>
      <c r="O111" s="191" t="s">
        <v>43</v>
      </c>
      <c r="P111" s="191" t="s">
        <v>142</v>
      </c>
      <c r="Q111" s="191" t="s">
        <v>142</v>
      </c>
      <c r="R111" s="191" t="s">
        <v>142</v>
      </c>
      <c r="S111" s="191" t="s">
        <v>4</v>
      </c>
      <c r="T111" s="191" t="s">
        <v>43</v>
      </c>
      <c r="U111" s="191" t="s">
        <v>142</v>
      </c>
      <c r="V111" s="191" t="s">
        <v>4</v>
      </c>
      <c r="W111" s="191" t="s">
        <v>43</v>
      </c>
      <c r="X111" s="191" t="s">
        <v>142</v>
      </c>
      <c r="Y111" s="191" t="s">
        <v>4</v>
      </c>
      <c r="Z111" s="191" t="s">
        <v>142</v>
      </c>
      <c r="AA111" s="191" t="s">
        <v>142</v>
      </c>
      <c r="AB111" s="191" t="s">
        <v>4</v>
      </c>
      <c r="AC111" s="191" t="s">
        <v>43</v>
      </c>
      <c r="AD111" s="191" t="s">
        <v>142</v>
      </c>
      <c r="AE111" s="191" t="s">
        <v>142</v>
      </c>
      <c r="AF111" s="191" t="s">
        <v>4</v>
      </c>
      <c r="AG111" s="191" t="s">
        <v>142</v>
      </c>
      <c r="AH111" s="191" t="s">
        <v>142</v>
      </c>
      <c r="AI111" s="191" t="s">
        <v>4</v>
      </c>
      <c r="AJ111" s="332">
        <f>IFERROR(COUNTIF(E111:AI111,"=Р")+COUNTIF(E111:AI111,"=Р1")+COUNTIF(E111:AI111,"=ВЧ")+COUNTIF(E111:AI111,"=РН")+COUNTIF(E111:AI111,"=Р2")+COUNTIF(E111:AI111,"=Р1/РВ")+COUNTIF(E111:AI111,"=Р2/РВ")+COUNTIF(E111:AI111,"=ВЧ/РВ")+COUNTIF(E111:AI111,"=РН/РВ"),0)</f>
        <v>16</v>
      </c>
      <c r="AK111" s="333">
        <f>IFERROR(SUMIF(E111:AI111,"=Р2",E112:AI112)+SUMIF(E111:AI111,"=ВЧ/РВ",E112:AI112)+SUMIF(E111:AI111,"=РН/РВ",E112:AI112)+SUMIF(E111:AI111,"=Р1/РВ",E112:AI112)+SUMIF(E111:AI111,"=ВЧ2/РВ",E112:AI112)+SUMIF(E111:AI111,"=Р2/РВ",E112:AI112)+SUMIF(E111:AI111,"=Р",E112:AI112)+SUMIF(E111:AI111,"=Р1",E112:AI112)+SUMIF(E111:AI111,"=ВЧ1",E112:AI112)+SUMIF(E111:AI111,"=РН",E112:AI112)+SUMIF(E111:AI111,"=ВЧ",E112:AI112),0)+AL111</f>
        <v>168</v>
      </c>
      <c r="AL111" s="211">
        <f>IFERROR(SUMIF(E111:AI111,"=НУ",E112:AI112),0)</f>
        <v>0</v>
      </c>
      <c r="AM111" s="211">
        <f>IFERROR(SUMIF(E111:AI111,"=РН",E112:AI112)+SUMIF(E111:AI111,"=РН/РВ",E112:AI112)+SUMIFS(E112:AI112,E111:AI111,"=Р2",E112:AI112,"=8"),0)</f>
        <v>56</v>
      </c>
      <c r="AN111" s="211">
        <f>IFERROR(SUMIF(E111:AI111,"=ВЧ",E112:AI112)+SUMIF(E111:AI111,"=ВЧ/РВ",E112:AI112)+CEILING(COUNTIFS(E111:AI111,"=Р2",E112:AI112,"=7")*4,1)+CEILING(COUNTIFS(E111:AI111,"=Р2/РВ",E112:AI112,"=7")*4,1)+SUMIFS(E112:AI112,E111:AI111,"=Р1/РВ",E112:AI112,"=12")/6+SUMIFS(E112:AI112,E111:AI111,"=ВЧ2/РВ",E112:AI112,"=4")/2+SUMIFS(E112:AI112,E111:AI111,"=Р1",E112:AI112,"=12")/6+SUMIFS(E112:AI112,E111:AI111,"=Р1",E112:AI112,"=8")/4+SUMIF(E111:AI111,"=ВЧ1",E112:AI112)/2,0)+CEILING(SUMIFS(E112:AI112,E111:AI111,"=Р",E112:AI112,"=13")/4,4)+CEILING(SUMIFS(E112:AI112,E111:AI111,"=Р",E112:AI112,"=14")/4,4)+CEILING(SUMIFS(E112:AI112,E111:AI111,"=Р",E112:AI112,"=15")/4,4)+SUMIFS(E112:AI112,E111:AI111,"=Р",E112:AI112,"=16")/4+CEILING(SUMIFS(E112:AI112,E111:AI111,"=Р1",E112:AI112,"=13")/4,4)+CEILING(SUMIFS(E112:AI112,E111:AI111,"=Р1",E112:AI112,"=14")/4,4)+CEILING(SUMIFS(E112:AI112,E111:AI111,"=Р1",E112:AI112,"=15")/4,4)+SUMIFS(E112:AI112,E111:AI111,"=Р1",E112:AI112,"=16")/4</f>
        <v>24</v>
      </c>
      <c r="AO111" s="211">
        <f>IFERROR(SUMIF(E111:AI111,"=РВ",E112:AI112)+SUMIF(E111:AI111,"=ВЧ/РВ",E112:AI112)+SUMIF(E111:AI111,"=РН/РВ",E112:AI112)+SUMIF(E111:AI111,"=Р1/РВ",E112:AI112)+SUMIF(E111:AI111,"=ВЧ2/РВ",E112:AI112)+SUMIF(E111:AI111,"=Р2/РВ",E112:AI112),0)</f>
        <v>0</v>
      </c>
      <c r="AP111" s="211">
        <f>IFERROR(COUNTIF(E111:AI111,"=ВВ")+COUNTIF(E111:AI111,"=Р1/ВВ")+COUNTIF(E111:AI111,"=РН/ВВ")+COUNTIF(E111:AI111,"=ВЧ/ВВ"),0)</f>
        <v>15</v>
      </c>
      <c r="AQ111" s="211">
        <f>SUM(AR111:AZ111)</f>
        <v>0</v>
      </c>
      <c r="AR111" s="211">
        <f>IFERROR(SUMIF(E111:AI111,"=В",E112:AI112)+SUMIF(E111:AI111,"=Ч",E112:AI112)+SUMIF(E111:AI111,"=ВБ",E112:AI112),0)</f>
        <v>0</v>
      </c>
      <c r="AS111" s="211">
        <f>IFERROR(SUMIF(E111:AI111,"=Н",E112:AI112),0)</f>
        <v>0</v>
      </c>
      <c r="AT111" s="211">
        <f>IFERROR(SUMIF(E111:AI111,"=НА",E112:AI112),0)</f>
        <v>0</v>
      </c>
      <c r="AU111" s="211">
        <f>IFERROR(SUMIF(E111:AI111,"=ВП",E112:AI112),0)</f>
        <v>0</v>
      </c>
      <c r="AV111" s="211">
        <f>IFERROR(SUMIF(E111:AI111,"=ДД",E112:AI112),0)</f>
        <v>0</v>
      </c>
      <c r="AW111" s="202">
        <f>IFERROR(SUMIF(E111:AI111,"=ДО",E112:AI112),0)</f>
        <v>0</v>
      </c>
      <c r="AX111" s="211">
        <f>IFERROR(SUMIF(E111:AI111,"=ТН",E112:AI112),0)</f>
        <v>0</v>
      </c>
      <c r="AY111" s="211">
        <f>IFERROR(SUMIF(E111:AI111,"=ВД",E112:AI112),0)</f>
        <v>0</v>
      </c>
      <c r="AZ111" s="312">
        <f>IFERROR(SUMIF(E111:AI111,"=ІН",E112:AI112),0)+SUMIF(E111:AI111,"=НЗ",E112:AI112)</f>
        <v>0</v>
      </c>
    </row>
    <row r="112" spans="1:52" ht="20.100000000000001" customHeight="1" thickBot="1" x14ac:dyDescent="0.25">
      <c r="A112" s="331"/>
      <c r="B112" s="331"/>
      <c r="C112" s="229"/>
      <c r="D112" s="229"/>
      <c r="E112" s="192">
        <v>8</v>
      </c>
      <c r="F112" s="192"/>
      <c r="G112" s="192">
        <v>16</v>
      </c>
      <c r="H112" s="192">
        <v>8</v>
      </c>
      <c r="I112" s="192"/>
      <c r="J112" s="192">
        <v>16</v>
      </c>
      <c r="K112" s="192">
        <v>8</v>
      </c>
      <c r="L112" s="192"/>
      <c r="M112" s="192"/>
      <c r="N112" s="192">
        <v>16</v>
      </c>
      <c r="O112" s="192">
        <v>8</v>
      </c>
      <c r="P112" s="192"/>
      <c r="Q112" s="192"/>
      <c r="R112" s="192"/>
      <c r="S112" s="192">
        <v>16</v>
      </c>
      <c r="T112" s="192">
        <v>8</v>
      </c>
      <c r="U112" s="192"/>
      <c r="V112" s="192">
        <v>16</v>
      </c>
      <c r="W112" s="192">
        <v>8</v>
      </c>
      <c r="X112" s="192"/>
      <c r="Y112" s="192">
        <v>7.2</v>
      </c>
      <c r="Z112" s="192"/>
      <c r="AA112" s="192"/>
      <c r="AB112" s="192">
        <v>16</v>
      </c>
      <c r="AC112" s="192">
        <v>8</v>
      </c>
      <c r="AD112" s="192"/>
      <c r="AE112" s="192"/>
      <c r="AF112" s="192">
        <v>7.2</v>
      </c>
      <c r="AG112" s="192"/>
      <c r="AH112" s="192"/>
      <c r="AI112" s="192">
        <v>1.6</v>
      </c>
      <c r="AJ112" s="335"/>
      <c r="AK112" s="334"/>
      <c r="AL112" s="286"/>
      <c r="AM112" s="286"/>
      <c r="AN112" s="212"/>
      <c r="AO112" s="286"/>
      <c r="AP112" s="212"/>
      <c r="AQ112" s="286"/>
      <c r="AR112" s="286"/>
      <c r="AS112" s="286"/>
      <c r="AT112" s="286"/>
      <c r="AU112" s="286"/>
      <c r="AV112" s="286"/>
      <c r="AW112" s="203"/>
      <c r="AX112" s="286"/>
      <c r="AY112" s="286"/>
      <c r="AZ112" s="329"/>
    </row>
    <row r="113" spans="1:52" s="163" customFormat="1" ht="20.100000000000001" customHeight="1" x14ac:dyDescent="0.2">
      <c r="A113" s="330">
        <f t="shared" si="44"/>
        <v>49</v>
      </c>
      <c r="B113" s="336" t="s">
        <v>417</v>
      </c>
      <c r="C113" s="293">
        <v>2230</v>
      </c>
      <c r="D113" s="293" t="s">
        <v>72</v>
      </c>
      <c r="E113" s="191" t="s">
        <v>142</v>
      </c>
      <c r="F113" s="191" t="s">
        <v>142</v>
      </c>
      <c r="G113" s="191" t="s">
        <v>4</v>
      </c>
      <c r="H113" s="191" t="s">
        <v>43</v>
      </c>
      <c r="I113" s="191" t="s">
        <v>142</v>
      </c>
      <c r="J113" s="191" t="s">
        <v>142</v>
      </c>
      <c r="K113" s="191" t="s">
        <v>4</v>
      </c>
      <c r="L113" s="191" t="s">
        <v>43</v>
      </c>
      <c r="M113" s="191" t="s">
        <v>142</v>
      </c>
      <c r="N113" s="191" t="s">
        <v>142</v>
      </c>
      <c r="O113" s="191" t="s">
        <v>4</v>
      </c>
      <c r="P113" s="191" t="s">
        <v>43</v>
      </c>
      <c r="Q113" s="191" t="s">
        <v>142</v>
      </c>
      <c r="R113" s="191" t="s">
        <v>142</v>
      </c>
      <c r="S113" s="191" t="s">
        <v>4</v>
      </c>
      <c r="T113" s="191" t="s">
        <v>43</v>
      </c>
      <c r="U113" s="191" t="s">
        <v>142</v>
      </c>
      <c r="V113" s="191" t="s">
        <v>142</v>
      </c>
      <c r="W113" s="191" t="s">
        <v>4</v>
      </c>
      <c r="X113" s="191" t="s">
        <v>43</v>
      </c>
      <c r="Y113" s="191" t="s">
        <v>142</v>
      </c>
      <c r="Z113" s="191" t="s">
        <v>142</v>
      </c>
      <c r="AA113" s="191" t="s">
        <v>4</v>
      </c>
      <c r="AB113" s="191" t="s">
        <v>43</v>
      </c>
      <c r="AC113" s="191" t="s">
        <v>142</v>
      </c>
      <c r="AD113" s="191" t="s">
        <v>142</v>
      </c>
      <c r="AE113" s="191" t="s">
        <v>4</v>
      </c>
      <c r="AF113" s="191" t="s">
        <v>43</v>
      </c>
      <c r="AG113" s="191"/>
      <c r="AH113" s="191"/>
      <c r="AI113" s="191"/>
      <c r="AJ113" s="332">
        <f>IFERROR(COUNTIF(E113:AI113,"=Р")+COUNTIF(E113:AI113,"=Р1")+COUNTIF(E113:AI113,"=ВЧ")+COUNTIF(E113:AI113,"=РН")+COUNTIF(E113:AI113,"=Р2")+COUNTIF(E113:AI113,"=Р1/РВ")+COUNTIF(E113:AI113,"=Р2/РВ")+COUNTIF(E113:AI113,"=ВЧ/РВ")+COUNTIF(E113:AI113,"=РН/РВ"),0)</f>
        <v>14</v>
      </c>
      <c r="AK113" s="333">
        <f>IFERROR(SUMIF(E113:AI113,"=Р2",E114:AI114)+SUMIF(E113:AI113,"=ВЧ/РВ",E114:AI114)+SUMIF(E113:AI113,"=РН/РВ",E114:AI114)+SUMIF(E113:AI113,"=Р1/РВ",E114:AI114)+SUMIF(E113:AI113,"=ВЧ2/РВ",E114:AI114)+SUMIF(E113:AI113,"=Р2/РВ",E114:AI114)+SUMIF(E113:AI113,"=Р",E114:AI114)+SUMIF(E113:AI113,"=Р1",E114:AI114)+SUMIF(E113:AI113,"=ВЧ1",E114:AI114)+SUMIF(E113:AI113,"=РН",E114:AI114)+SUMIF(E113:AI113,"=ВЧ",E114:AI114),0)+AL113</f>
        <v>164</v>
      </c>
      <c r="AL113" s="211">
        <f>IFERROR(SUMIF(E113:AI113,"=НУ",E114:AI114),0)</f>
        <v>0</v>
      </c>
      <c r="AM113" s="211">
        <f>IFERROR(SUMIF(E113:AI113,"=РН",E114:AI114)+SUMIF(E113:AI113,"=РН/РВ",E114:AI114)+SUMIFS(E114:AI114,E113:AI113,"=Р2",E114:AI114,"=8"),0)</f>
        <v>56</v>
      </c>
      <c r="AN113" s="211">
        <f>IFERROR(SUMIF(E113:AI113,"=ВЧ",E114:AI114)+SUMIF(E113:AI113,"=ВЧ/РВ",E114:AI114)+CEILING(COUNTIFS(E113:AI113,"=Р2",E114:AI114,"=7")*4,1)+CEILING(COUNTIFS(E113:AI113,"=Р2/РВ",E114:AI114,"=7")*4,1)+SUMIFS(E114:AI114,E113:AI113,"=Р1/РВ",E114:AI114,"=12")/6+SUMIFS(E114:AI114,E113:AI113,"=ВЧ2/РВ",E114:AI114,"=4")/2+SUMIFS(E114:AI114,E113:AI113,"=Р1",E114:AI114,"=12")/6+SUMIFS(E114:AI114,E113:AI113,"=Р1",E114:AI114,"=8")/4+SUMIF(E113:AI113,"=ВЧ1",E114:AI114)/2,0)+CEILING(SUMIFS(E114:AI114,E113:AI113,"=Р",E114:AI114,"=13")/4,4)+CEILING(SUMIFS(E114:AI114,E113:AI113,"=Р",E114:AI114,"=14")/4,4)+CEILING(SUMIFS(E114:AI114,E113:AI113,"=Р",E114:AI114,"=15")/4,4)+SUMIFS(E114:AI114,E113:AI113,"=Р",E114:AI114,"=16")/4+CEILING(SUMIFS(E114:AI114,E113:AI113,"=Р1",E114:AI114,"=13")/4,4)+CEILING(SUMIFS(E114:AI114,E113:AI113,"=Р1",E114:AI114,"=14")/4,4)+CEILING(SUMIFS(E114:AI114,E113:AI113,"=Р1",E114:AI114,"=15")/4,4)+SUMIFS(E114:AI114,E113:AI113,"=Р1",E114:AI114,"=16")/4</f>
        <v>28</v>
      </c>
      <c r="AO113" s="211">
        <f>IFERROR(SUMIF(E113:AI113,"=РВ",E114:AI114)+SUMIF(E113:AI113,"=ВЧ/РВ",E114:AI114)+SUMIF(E113:AI113,"=РН/РВ",E114:AI114)+SUMIF(E113:AI113,"=Р1/РВ",E114:AI114)+SUMIF(E113:AI113,"=ВЧ2/РВ",E114:AI114)+SUMIF(E113:AI113,"=Р2/РВ",E114:AI114),0)</f>
        <v>0</v>
      </c>
      <c r="AP113" s="211">
        <f>IFERROR(COUNTIF(E113:AI113,"=ВВ")+COUNTIF(E113:AI113,"=Р1/ВВ")+COUNTIF(E113:AI113,"=РН/ВВ")+COUNTIF(E113:AI113,"=ВЧ/ВВ"),0)</f>
        <v>14</v>
      </c>
      <c r="AQ113" s="211">
        <f>SUM(AR113:AZ113)</f>
        <v>0</v>
      </c>
      <c r="AR113" s="211">
        <f>IFERROR(SUMIF(E113:AI113,"=В",E114:AI114)+SUMIF(E113:AI113,"=Ч",E114:AI114)+SUMIF(E113:AI113,"=ВБ",E114:AI114),0)</f>
        <v>0</v>
      </c>
      <c r="AS113" s="211">
        <f>IFERROR(SUMIF(E113:AI113,"=Н",E114:AI114),0)</f>
        <v>0</v>
      </c>
      <c r="AT113" s="211">
        <f>IFERROR(SUMIF(E113:AI113,"=НА",E114:AI114),0)</f>
        <v>0</v>
      </c>
      <c r="AU113" s="211">
        <f>IFERROR(SUMIF(E113:AI113,"=ВП",E114:AI114),0)</f>
        <v>0</v>
      </c>
      <c r="AV113" s="211">
        <f>IFERROR(SUMIF(E113:AI113,"=ДД",E114:AI114),0)</f>
        <v>0</v>
      </c>
      <c r="AW113" s="202">
        <f>IFERROR(SUMIF(E113:AI113,"=ДО",E114:AI114),0)</f>
        <v>0</v>
      </c>
      <c r="AX113" s="211">
        <f>IFERROR(SUMIF(E113:AI113,"=ТН",E114:AI114),0)</f>
        <v>0</v>
      </c>
      <c r="AY113" s="211">
        <f>IFERROR(SUMIF(E113:AI113,"=ВД",E114:AI114),0)</f>
        <v>0</v>
      </c>
      <c r="AZ113" s="312">
        <f>IFERROR(SUMIF(E113:AI113,"=ІН",E114:AI114),0)+SUMIF(E113:AI113,"=НЗ",E114:AI114)</f>
        <v>0</v>
      </c>
    </row>
    <row r="114" spans="1:52" s="163" customFormat="1" ht="24" customHeight="1" thickBot="1" x14ac:dyDescent="0.25">
      <c r="A114" s="331"/>
      <c r="B114" s="331"/>
      <c r="C114" s="229"/>
      <c r="D114" s="229"/>
      <c r="E114" s="192"/>
      <c r="F114" s="192"/>
      <c r="G114" s="192">
        <v>15</v>
      </c>
      <c r="H114" s="192">
        <v>8</v>
      </c>
      <c r="I114" s="192"/>
      <c r="J114" s="192"/>
      <c r="K114" s="192">
        <v>13</v>
      </c>
      <c r="L114" s="192">
        <v>8</v>
      </c>
      <c r="M114" s="192"/>
      <c r="N114" s="192"/>
      <c r="O114" s="192">
        <v>16</v>
      </c>
      <c r="P114" s="192">
        <v>8</v>
      </c>
      <c r="Q114" s="192"/>
      <c r="R114" s="192"/>
      <c r="S114" s="192">
        <v>16</v>
      </c>
      <c r="T114" s="192">
        <v>8</v>
      </c>
      <c r="U114" s="192"/>
      <c r="V114" s="192"/>
      <c r="W114" s="192">
        <v>16</v>
      </c>
      <c r="X114" s="192">
        <v>8</v>
      </c>
      <c r="Y114" s="192"/>
      <c r="Z114" s="192"/>
      <c r="AA114" s="192">
        <v>16</v>
      </c>
      <c r="AB114" s="192">
        <v>8</v>
      </c>
      <c r="AC114" s="192"/>
      <c r="AD114" s="192"/>
      <c r="AE114" s="192">
        <v>16</v>
      </c>
      <c r="AF114" s="192">
        <v>8</v>
      </c>
      <c r="AG114" s="192" t="s">
        <v>491</v>
      </c>
      <c r="AH114" s="192" t="s">
        <v>492</v>
      </c>
      <c r="AI114" s="192" t="s">
        <v>493</v>
      </c>
      <c r="AJ114" s="325"/>
      <c r="AK114" s="334"/>
      <c r="AL114" s="286"/>
      <c r="AM114" s="286"/>
      <c r="AN114" s="212"/>
      <c r="AO114" s="286"/>
      <c r="AP114" s="212"/>
      <c r="AQ114" s="286"/>
      <c r="AR114" s="286"/>
      <c r="AS114" s="286"/>
      <c r="AT114" s="286"/>
      <c r="AU114" s="286"/>
      <c r="AV114" s="286"/>
      <c r="AW114" s="203"/>
      <c r="AX114" s="286"/>
      <c r="AY114" s="286"/>
      <c r="AZ114" s="329"/>
    </row>
    <row r="115" spans="1:52" s="163" customFormat="1" ht="24" customHeight="1" x14ac:dyDescent="0.2">
      <c r="A115" s="330">
        <f t="shared" si="44"/>
        <v>50</v>
      </c>
      <c r="B115" s="336" t="s">
        <v>453</v>
      </c>
      <c r="C115" s="228">
        <v>2211</v>
      </c>
      <c r="D115" s="228" t="s">
        <v>72</v>
      </c>
      <c r="E115" s="191" t="s">
        <v>43</v>
      </c>
      <c r="F115" s="191" t="s">
        <v>142</v>
      </c>
      <c r="G115" s="191" t="s">
        <v>142</v>
      </c>
      <c r="H115" s="191" t="s">
        <v>4</v>
      </c>
      <c r="I115" s="191" t="s">
        <v>43</v>
      </c>
      <c r="J115" s="191" t="s">
        <v>142</v>
      </c>
      <c r="K115" s="191" t="s">
        <v>142</v>
      </c>
      <c r="L115" s="191" t="s">
        <v>4</v>
      </c>
      <c r="M115" s="191" t="s">
        <v>43</v>
      </c>
      <c r="N115" s="191" t="s">
        <v>142</v>
      </c>
      <c r="O115" s="191" t="s">
        <v>142</v>
      </c>
      <c r="P115" s="191" t="s">
        <v>4</v>
      </c>
      <c r="Q115" s="191" t="s">
        <v>43</v>
      </c>
      <c r="R115" s="191" t="s">
        <v>142</v>
      </c>
      <c r="S115" s="191" t="s">
        <v>142</v>
      </c>
      <c r="T115" s="191" t="s">
        <v>4</v>
      </c>
      <c r="U115" s="191" t="s">
        <v>43</v>
      </c>
      <c r="V115" s="191" t="s">
        <v>142</v>
      </c>
      <c r="W115" s="191" t="s">
        <v>142</v>
      </c>
      <c r="X115" s="191" t="s">
        <v>4</v>
      </c>
      <c r="Y115" s="191" t="s">
        <v>43</v>
      </c>
      <c r="Z115" s="191" t="s">
        <v>142</v>
      </c>
      <c r="AA115" s="191" t="s">
        <v>142</v>
      </c>
      <c r="AB115" s="191" t="s">
        <v>4</v>
      </c>
      <c r="AC115" s="191" t="s">
        <v>43</v>
      </c>
      <c r="AD115" s="191" t="s">
        <v>142</v>
      </c>
      <c r="AE115" s="191" t="s">
        <v>142</v>
      </c>
      <c r="AF115" s="191" t="s">
        <v>4</v>
      </c>
      <c r="AG115" s="191"/>
      <c r="AH115" s="191"/>
      <c r="AI115" s="191"/>
      <c r="AJ115" s="332">
        <f>IFERROR(COUNTIF(E115:AI115,"=Р")+COUNTIF(E115:AI115,"=Р1")+COUNTIF(E115:AI115,"=ВЧ")+COUNTIF(E115:AI115,"=РН")+COUNTIF(E115:AI115,"=Р2")+COUNTIF(E115:AI115,"=Р1/РВ")+COUNTIF(E115:AI115,"=Р2/РВ")+COUNTIF(E115:AI115,"=ВЧ/РВ")+COUNTIF(E115:AI115,"=РН/РВ"),0)</f>
        <v>14</v>
      </c>
      <c r="AK115" s="333">
        <f>IFERROR(SUMIF(E115:AI115,"=Р2",E116:AI116)+SUMIF(E115:AI115,"=ВЧ/РВ",E116:AI116)+SUMIF(E115:AI115,"=РН/РВ",E116:AI116)+SUMIF(E115:AI115,"=Р1/РВ",E116:AI116)+SUMIF(E115:AI115,"=ВЧ2/РВ",E116:AI116)+SUMIF(E115:AI115,"=Р2/РВ",E116:AI116)+SUMIF(E115:AI115,"=Р",E116:AI116)+SUMIF(E115:AI115,"=Р1",E116:AI116)+SUMIF(E115:AI115,"=ВЧ1",E116:AI116)+SUMIF(E115:AI115,"=РН",E116:AI116)+SUMIF(E115:AI115,"=ВЧ",E116:AI116),0)+AL115</f>
        <v>164</v>
      </c>
      <c r="AL115" s="211">
        <f>IFERROR(SUMIF(E115:AI115,"=НУ",E116:AI116),0)</f>
        <v>0</v>
      </c>
      <c r="AM115" s="211">
        <f>IFERROR(SUMIF(E115:AI115,"=РН",E116:AI116)+SUMIF(E115:AI115,"=РН/РВ",E116:AI116)+SUMIFS(E116:AI116,E115:AI115,"=Р2",E116:AI116,"=8"),0)</f>
        <v>56</v>
      </c>
      <c r="AN115" s="211">
        <f>IFERROR(SUMIF(E115:AI115,"=ВЧ",E116:AI116)+SUMIF(E115:AI115,"=ВЧ/РВ",E116:AI116)+CEILING(COUNTIFS(E115:AI115,"=Р2",E116:AI116,"=7")*4,1)+CEILING(COUNTIFS(E115:AI115,"=Р2/РВ",E116:AI116,"=7")*4,1)+SUMIFS(E116:AI116,E115:AI115,"=Р1/РВ",E116:AI116,"=12")/6+SUMIFS(E116:AI116,E115:AI115,"=ВЧ2/РВ",E116:AI116,"=4")/2+SUMIFS(E116:AI116,E115:AI115,"=Р1",E116:AI116,"=12")/6+SUMIFS(E116:AI116,E115:AI115,"=Р1",E116:AI116,"=8")/4+SUMIF(E115:AI115,"=ВЧ1",E116:AI116)/2,0)+CEILING(SUMIFS(E116:AI116,E115:AI115,"=Р",E116:AI116,"=13")/4,4)+CEILING(SUMIFS(E116:AI116,E115:AI115,"=Р",E116:AI116,"=14")/4,4)+CEILING(SUMIFS(E116:AI116,E115:AI115,"=Р",E116:AI116,"=15")/4,4)+SUMIFS(E116:AI116,E115:AI115,"=Р",E116:AI116,"=16")/4+CEILING(SUMIFS(E116:AI116,E115:AI115,"=Р1",E116:AI116,"=13")/4,4)+CEILING(SUMIFS(E116:AI116,E115:AI115,"=Р1",E116:AI116,"=14")/4,4)+CEILING(SUMIFS(E116:AI116,E115:AI115,"=Р1",E116:AI116,"=15")/4,4)+SUMIFS(E116:AI116,E115:AI115,"=Р1",E116:AI116,"=16")/4</f>
        <v>28</v>
      </c>
      <c r="AO115" s="211">
        <f>IFERROR(SUMIF(E115:AI115,"=РВ",E116:AI116)+SUMIF(E115:AI115,"=ВЧ/РВ",E116:AI116)+SUMIF(E115:AI115,"=РН/РВ",E116:AI116)+SUMIF(E115:AI115,"=Р1/РВ",E116:AI116)+SUMIF(E115:AI115,"=ВЧ2/РВ",E116:AI116)+SUMIF(E115:AI115,"=Р2/РВ",E116:AI116),0)</f>
        <v>0</v>
      </c>
      <c r="AP115" s="211">
        <f>IFERROR(COUNTIF(E115:AI115,"=ВВ")+COUNTIF(E115:AI115,"=Р1/ВВ")+COUNTIF(E115:AI115,"=РН/ВВ")+COUNTIF(E115:AI115,"=ВЧ/ВВ"),0)</f>
        <v>14</v>
      </c>
      <c r="AQ115" s="211">
        <f>SUM(AR115:AZ115)</f>
        <v>0</v>
      </c>
      <c r="AR115" s="211">
        <f>IFERROR(SUMIF(E115:AI115,"=В",E116:AI116)+SUMIF(E115:AI115,"=Ч",E116:AI116)+SUMIF(E115:AI115,"=ВБ",E116:AI116),0)</f>
        <v>0</v>
      </c>
      <c r="AS115" s="211">
        <f>IFERROR(SUMIF(E115:AI115,"=Н",E116:AI116),0)</f>
        <v>0</v>
      </c>
      <c r="AT115" s="211">
        <f>IFERROR(SUMIF(E115:AI115,"=НА",E116:AI116),0)</f>
        <v>0</v>
      </c>
      <c r="AU115" s="211">
        <f>IFERROR(SUMIF(E115:AI115,"=ВП",E116:AI116),0)</f>
        <v>0</v>
      </c>
      <c r="AV115" s="211">
        <f>IFERROR(SUMIF(E115:AI115,"=ДД",E116:AI116),0)</f>
        <v>0</v>
      </c>
      <c r="AW115" s="202">
        <f>IFERROR(SUMIF(E115:AI115,"=ДО",E116:AI116),0)</f>
        <v>0</v>
      </c>
      <c r="AX115" s="211">
        <f>IFERROR(SUMIF(E115:AI115,"=ТН",E116:AI116),0)</f>
        <v>0</v>
      </c>
      <c r="AY115" s="211">
        <f>IFERROR(SUMIF(E115:AI115,"=ВД",E116:AI116),0)</f>
        <v>0</v>
      </c>
      <c r="AZ115" s="312">
        <f>IFERROR(SUMIF(E115:AI115,"=ІН",E116:AI116),0)+SUMIF(E115:AI115,"=НЗ",E116:AI116)</f>
        <v>0</v>
      </c>
    </row>
    <row r="116" spans="1:52" s="163" customFormat="1" ht="19.5" customHeight="1" thickBot="1" x14ac:dyDescent="0.25">
      <c r="A116" s="331"/>
      <c r="B116" s="331"/>
      <c r="C116" s="337"/>
      <c r="D116" s="337"/>
      <c r="E116" s="192">
        <v>8</v>
      </c>
      <c r="F116" s="192"/>
      <c r="G116" s="192"/>
      <c r="H116" s="192">
        <v>16</v>
      </c>
      <c r="I116" s="192">
        <v>8</v>
      </c>
      <c r="J116" s="192"/>
      <c r="K116" s="192"/>
      <c r="L116" s="192">
        <v>16</v>
      </c>
      <c r="M116" s="192">
        <v>8</v>
      </c>
      <c r="N116" s="192"/>
      <c r="O116" s="192"/>
      <c r="P116" s="192">
        <v>14</v>
      </c>
      <c r="Q116" s="192">
        <v>8</v>
      </c>
      <c r="R116" s="192"/>
      <c r="S116" s="192"/>
      <c r="T116" s="192">
        <v>16</v>
      </c>
      <c r="U116" s="192">
        <v>8</v>
      </c>
      <c r="V116" s="192"/>
      <c r="W116" s="192"/>
      <c r="X116" s="192">
        <v>14</v>
      </c>
      <c r="Y116" s="192">
        <v>8</v>
      </c>
      <c r="Z116" s="192"/>
      <c r="AA116" s="192"/>
      <c r="AB116" s="192">
        <v>16</v>
      </c>
      <c r="AC116" s="192">
        <v>8</v>
      </c>
      <c r="AD116" s="192"/>
      <c r="AE116" s="192"/>
      <c r="AF116" s="192">
        <v>16</v>
      </c>
      <c r="AG116" s="192" t="s">
        <v>491</v>
      </c>
      <c r="AH116" s="192" t="s">
        <v>492</v>
      </c>
      <c r="AI116" s="192" t="s">
        <v>493</v>
      </c>
      <c r="AJ116" s="335"/>
      <c r="AK116" s="334"/>
      <c r="AL116" s="286"/>
      <c r="AM116" s="286"/>
      <c r="AN116" s="212"/>
      <c r="AO116" s="286"/>
      <c r="AP116" s="212"/>
      <c r="AQ116" s="286"/>
      <c r="AR116" s="286"/>
      <c r="AS116" s="286"/>
      <c r="AT116" s="286"/>
      <c r="AU116" s="286"/>
      <c r="AV116" s="286"/>
      <c r="AW116" s="203"/>
      <c r="AX116" s="286"/>
      <c r="AY116" s="286"/>
      <c r="AZ116" s="329"/>
    </row>
    <row r="117" spans="1:52" s="163" customFormat="1" ht="20.100000000000001" customHeight="1" x14ac:dyDescent="0.2">
      <c r="A117" s="330">
        <f t="shared" si="44"/>
        <v>51</v>
      </c>
      <c r="B117" s="336" t="s">
        <v>427</v>
      </c>
      <c r="C117" s="293">
        <v>1176</v>
      </c>
      <c r="D117" s="293" t="s">
        <v>65</v>
      </c>
      <c r="E117" s="191" t="s">
        <v>142</v>
      </c>
      <c r="F117" s="191" t="s">
        <v>142</v>
      </c>
      <c r="G117" s="191" t="s">
        <v>4</v>
      </c>
      <c r="H117" s="191" t="s">
        <v>43</v>
      </c>
      <c r="I117" s="191" t="s">
        <v>142</v>
      </c>
      <c r="J117" s="191" t="s">
        <v>142</v>
      </c>
      <c r="K117" s="191" t="s">
        <v>4</v>
      </c>
      <c r="L117" s="191" t="s">
        <v>43</v>
      </c>
      <c r="M117" s="191" t="s">
        <v>142</v>
      </c>
      <c r="N117" s="191" t="s">
        <v>142</v>
      </c>
      <c r="O117" s="191" t="s">
        <v>4</v>
      </c>
      <c r="P117" s="191" t="s">
        <v>43</v>
      </c>
      <c r="Q117" s="191" t="s">
        <v>142</v>
      </c>
      <c r="R117" s="191" t="s">
        <v>142</v>
      </c>
      <c r="S117" s="191" t="s">
        <v>4</v>
      </c>
      <c r="T117" s="191" t="s">
        <v>43</v>
      </c>
      <c r="U117" s="191" t="s">
        <v>142</v>
      </c>
      <c r="V117" s="191" t="s">
        <v>142</v>
      </c>
      <c r="W117" s="191" t="s">
        <v>4</v>
      </c>
      <c r="X117" s="191" t="s">
        <v>43</v>
      </c>
      <c r="Y117" s="191" t="s">
        <v>142</v>
      </c>
      <c r="Z117" s="191" t="s">
        <v>142</v>
      </c>
      <c r="AA117" s="191" t="s">
        <v>4</v>
      </c>
      <c r="AB117" s="191" t="s">
        <v>43</v>
      </c>
      <c r="AC117" s="191" t="s">
        <v>142</v>
      </c>
      <c r="AD117" s="191" t="s">
        <v>142</v>
      </c>
      <c r="AE117" s="191" t="s">
        <v>4</v>
      </c>
      <c r="AF117" s="191" t="s">
        <v>43</v>
      </c>
      <c r="AG117" s="191"/>
      <c r="AH117" s="191"/>
      <c r="AI117" s="191"/>
      <c r="AJ117" s="332">
        <f>IFERROR(COUNTIF(E117:AI117,"=Р")+COUNTIF(E117:AI117,"=Р1")+COUNTIF(E117:AI117,"=ВЧ")+COUNTIF(E117:AI117,"=РН")+COUNTIF(E117:AI117,"=Р2")+COUNTIF(E117:AI117,"=Р1/РВ")+COUNTIF(E117:AI117,"=Р2/РВ")+COUNTIF(E117:AI117,"=ВЧ/РВ")+COUNTIF(E117:AI117,"=РН/РВ"),0)</f>
        <v>14</v>
      </c>
      <c r="AK117" s="333">
        <f>IFERROR(SUMIF(E117:AI117,"=Р2",E118:AI118)+SUMIF(E117:AI117,"=ВЧ/РВ",E118:AI118)+SUMIF(E117:AI117,"=РН/РВ",E118:AI118)+SUMIF(E117:AI117,"=Р1/РВ",E118:AI118)+SUMIF(E117:AI117,"=ВЧ2/РВ",E118:AI118)+SUMIF(E117:AI117,"=Р2/РВ",E118:AI118)+SUMIF(E117:AI117,"=Р",E118:AI118)+SUMIF(E117:AI117,"=Р1",E118:AI118)+SUMIF(E117:AI117,"=ВЧ1",E118:AI118)+SUMIF(E117:AI117,"=РН",E118:AI118)+SUMIF(E117:AI117,"=ВЧ",E118:AI118),0)+AL117</f>
        <v>164</v>
      </c>
      <c r="AL117" s="211">
        <f>IFERROR(SUMIF(E117:AI117,"=НУ",E118:AI118),0)</f>
        <v>0</v>
      </c>
      <c r="AM117" s="211">
        <f>IFERROR(SUMIF(E117:AI117,"=РН",E118:AI118)+SUMIF(E117:AI117,"=РН/РВ",E118:AI118)+SUMIFS(E118:AI118,E117:AI117,"=Р2",E118:AI118,"=8"),0)</f>
        <v>56</v>
      </c>
      <c r="AN117" s="211">
        <f>IFERROR(SUMIF(E117:AI117,"=ВЧ",E118:AI118)+SUMIF(E117:AI117,"=ВЧ/РВ",E118:AI118)+CEILING(COUNTIFS(E117:AI117,"=Р2",E118:AI118,"=7")*4,1)+CEILING(COUNTIFS(E117:AI117,"=Р2/РВ",E118:AI118,"=7")*4,1)+SUMIFS(E118:AI118,E117:AI117,"=Р1/РВ",E118:AI118,"=12")/6+SUMIFS(E118:AI118,E117:AI117,"=ВЧ2/РВ",E118:AI118,"=4")/2+SUMIFS(E118:AI118,E117:AI117,"=Р1",E118:AI118,"=12")/6+SUMIFS(E118:AI118,E117:AI117,"=Р1",E118:AI118,"=8")/4+SUMIF(E117:AI117,"=ВЧ1",E118:AI118)/2,0)+CEILING(SUMIFS(E118:AI118,E117:AI117,"=Р",E118:AI118,"=13")/4,4)+CEILING(SUMIFS(E118:AI118,E117:AI117,"=Р",E118:AI118,"=14")/4,4)+CEILING(SUMIFS(E118:AI118,E117:AI117,"=Р",E118:AI118,"=15")/4,4)+SUMIFS(E118:AI118,E117:AI117,"=Р",E118:AI118,"=16")/4+CEILING(SUMIFS(E118:AI118,E117:AI117,"=Р1",E118:AI118,"=13")/4,4)+CEILING(SUMIFS(E118:AI118,E117:AI117,"=Р1",E118:AI118,"=14")/4,4)+CEILING(SUMIFS(E118:AI118,E117:AI117,"=Р1",E118:AI118,"=15")/4,4)+SUMIFS(E118:AI118,E117:AI117,"=Р1",E118:AI118,"=16")/4</f>
        <v>28</v>
      </c>
      <c r="AO117" s="211">
        <f>IFERROR(SUMIF(E117:AI117,"=РВ",E118:AI118)+SUMIF(E117:AI117,"=ВЧ/РВ",E118:AI118)+SUMIF(E117:AI117,"=РН/РВ",E118:AI118)+SUMIF(E117:AI117,"=Р1/РВ",E118:AI118)+SUMIF(E117:AI117,"=ВЧ2/РВ",E118:AI118)+SUMIF(E117:AI117,"=Р2/РВ",E118:AI118),0)</f>
        <v>0</v>
      </c>
      <c r="AP117" s="211">
        <f>IFERROR(COUNTIF(E117:AI117,"=ВВ")+COUNTIF(E117:AI117,"=Р1/ВВ")+COUNTIF(E117:AI117,"=РН/ВВ")+COUNTIF(E117:AI117,"=ВЧ/ВВ"),0)</f>
        <v>14</v>
      </c>
      <c r="AQ117" s="211">
        <f>SUM(AR117:AZ117)</f>
        <v>0</v>
      </c>
      <c r="AR117" s="211">
        <f>IFERROR(SUMIF(E117:AI117,"=В",E118:AI118)+SUMIF(E117:AI117,"=Ч",E118:AI118)+SUMIF(E117:AI117,"=ВБ",E118:AI118),0)</f>
        <v>0</v>
      </c>
      <c r="AS117" s="211">
        <f>IFERROR(SUMIF(E117:AI117,"=Н",E118:AI118),0)</f>
        <v>0</v>
      </c>
      <c r="AT117" s="211">
        <f>IFERROR(SUMIF(E117:AI117,"=НА",E118:AI118),0)</f>
        <v>0</v>
      </c>
      <c r="AU117" s="211">
        <f>IFERROR(SUMIF(E117:AI117,"=ВП",E118:AI118),0)</f>
        <v>0</v>
      </c>
      <c r="AV117" s="211">
        <f>IFERROR(SUMIF(E117:AI117,"=ДД",E118:AI118),0)</f>
        <v>0</v>
      </c>
      <c r="AW117" s="202">
        <f>IFERROR(SUMIF(E117:AI117,"=ДО",E118:AI118),0)</f>
        <v>0</v>
      </c>
      <c r="AX117" s="211">
        <f>IFERROR(SUMIF(E117:AI117,"=ТН",E118:AI118),0)</f>
        <v>0</v>
      </c>
      <c r="AY117" s="211">
        <f>IFERROR(SUMIF(E117:AI117,"=ВД",E118:AI118),0)</f>
        <v>0</v>
      </c>
      <c r="AZ117" s="312">
        <f>IFERROR(SUMIF(E117:AI117,"=ІН",E118:AI118),0)+SUMIF(E117:AI117,"=НЗ",E118:AI118)</f>
        <v>0</v>
      </c>
    </row>
    <row r="118" spans="1:52" s="163" customFormat="1" ht="24" customHeight="1" thickBot="1" x14ac:dyDescent="0.25">
      <c r="A118" s="331"/>
      <c r="B118" s="331"/>
      <c r="C118" s="229"/>
      <c r="D118" s="229"/>
      <c r="E118" s="192"/>
      <c r="F118" s="192"/>
      <c r="G118" s="192">
        <v>15</v>
      </c>
      <c r="H118" s="192">
        <v>8</v>
      </c>
      <c r="I118" s="192"/>
      <c r="J118" s="192"/>
      <c r="K118" s="192">
        <v>13</v>
      </c>
      <c r="L118" s="192">
        <v>8</v>
      </c>
      <c r="M118" s="192"/>
      <c r="N118" s="192"/>
      <c r="O118" s="192">
        <v>16</v>
      </c>
      <c r="P118" s="192">
        <v>8</v>
      </c>
      <c r="Q118" s="192"/>
      <c r="R118" s="192"/>
      <c r="S118" s="192">
        <v>16</v>
      </c>
      <c r="T118" s="192">
        <v>8</v>
      </c>
      <c r="U118" s="192"/>
      <c r="V118" s="192"/>
      <c r="W118" s="192">
        <v>16</v>
      </c>
      <c r="X118" s="192">
        <v>8</v>
      </c>
      <c r="Y118" s="192"/>
      <c r="Z118" s="192"/>
      <c r="AA118" s="192">
        <v>16</v>
      </c>
      <c r="AB118" s="192">
        <v>8</v>
      </c>
      <c r="AC118" s="192"/>
      <c r="AD118" s="192"/>
      <c r="AE118" s="192">
        <v>16</v>
      </c>
      <c r="AF118" s="192">
        <v>8</v>
      </c>
      <c r="AG118" s="192" t="s">
        <v>491</v>
      </c>
      <c r="AH118" s="192" t="s">
        <v>492</v>
      </c>
      <c r="AI118" s="192" t="s">
        <v>493</v>
      </c>
      <c r="AJ118" s="325"/>
      <c r="AK118" s="334"/>
      <c r="AL118" s="286"/>
      <c r="AM118" s="286"/>
      <c r="AN118" s="212"/>
      <c r="AO118" s="286"/>
      <c r="AP118" s="212"/>
      <c r="AQ118" s="286"/>
      <c r="AR118" s="286"/>
      <c r="AS118" s="286"/>
      <c r="AT118" s="286"/>
      <c r="AU118" s="286"/>
      <c r="AV118" s="286"/>
      <c r="AW118" s="203"/>
      <c r="AX118" s="286"/>
      <c r="AY118" s="286"/>
      <c r="AZ118" s="329"/>
    </row>
    <row r="119" spans="1:52" s="163" customFormat="1" ht="20.100000000000001" customHeight="1" x14ac:dyDescent="0.2">
      <c r="A119" s="330">
        <f t="shared" si="44"/>
        <v>52</v>
      </c>
      <c r="B119" s="330" t="s">
        <v>272</v>
      </c>
      <c r="C119" s="228">
        <v>2142</v>
      </c>
      <c r="D119" s="228" t="s">
        <v>65</v>
      </c>
      <c r="E119" s="191" t="s">
        <v>4</v>
      </c>
      <c r="F119" s="191" t="s">
        <v>43</v>
      </c>
      <c r="G119" s="191" t="s">
        <v>142</v>
      </c>
      <c r="H119" s="191" t="s">
        <v>142</v>
      </c>
      <c r="I119" s="191" t="s">
        <v>4</v>
      </c>
      <c r="J119" s="191" t="s">
        <v>43</v>
      </c>
      <c r="K119" s="191" t="s">
        <v>142</v>
      </c>
      <c r="L119" s="191" t="s">
        <v>142</v>
      </c>
      <c r="M119" s="191" t="s">
        <v>4</v>
      </c>
      <c r="N119" s="191" t="s">
        <v>43</v>
      </c>
      <c r="O119" s="191" t="s">
        <v>142</v>
      </c>
      <c r="P119" s="191" t="s">
        <v>142</v>
      </c>
      <c r="Q119" s="191" t="s">
        <v>4</v>
      </c>
      <c r="R119" s="191" t="s">
        <v>43</v>
      </c>
      <c r="S119" s="191" t="s">
        <v>142</v>
      </c>
      <c r="T119" s="191" t="s">
        <v>142</v>
      </c>
      <c r="U119" s="191" t="s">
        <v>4</v>
      </c>
      <c r="V119" s="191" t="s">
        <v>43</v>
      </c>
      <c r="W119" s="191" t="s">
        <v>142</v>
      </c>
      <c r="X119" s="191" t="s">
        <v>142</v>
      </c>
      <c r="Y119" s="191" t="s">
        <v>4</v>
      </c>
      <c r="Z119" s="191" t="s">
        <v>43</v>
      </c>
      <c r="AA119" s="191" t="s">
        <v>142</v>
      </c>
      <c r="AB119" s="191" t="s">
        <v>142</v>
      </c>
      <c r="AC119" s="191" t="s">
        <v>4</v>
      </c>
      <c r="AD119" s="191" t="s">
        <v>43</v>
      </c>
      <c r="AE119" s="191" t="s">
        <v>142</v>
      </c>
      <c r="AF119" s="191" t="s">
        <v>142</v>
      </c>
      <c r="AG119" s="191" t="s">
        <v>4</v>
      </c>
      <c r="AH119" s="191" t="s">
        <v>43</v>
      </c>
      <c r="AI119" s="191" t="s">
        <v>142</v>
      </c>
      <c r="AJ119" s="324">
        <f>IFERROR(COUNTIF(E119:AI119,"=Р")+COUNTIF(E119:AI119,"=Р1")+COUNTIF(E119:AI119,"=ВЧ")+COUNTIF(E119:AI119,"=РН")+COUNTIF(E119:AI119,"=Р2")+COUNTIF(E119:AI119,"=Р1/РВ")+COUNTIF(E119:AI119,"=Р2/РВ")+COUNTIF(E119:AI119,"=ВЧ/РВ")+COUNTIF(E119:AI119,"=РН/РВ"),0)</f>
        <v>16</v>
      </c>
      <c r="AK119" s="333">
        <f>IFERROR(SUMIF(E119:AI119,"=Р2",E120:AI120)+SUMIF(E119:AI119,"=ВЧ/РВ",E120:AI120)+SUMIF(E119:AI119,"=РН/РВ",E120:AI120)+SUMIF(E119:AI119,"=Р1/РВ",E120:AI120)+SUMIF(E119:AI119,"=ВЧ2/РВ",E120:AI120)+SUMIF(E119:AI119,"=Р2/РВ",E120:AI120)+SUMIF(E119:AI119,"=Р",E120:AI120)+SUMIF(E119:AI119,"=Р1",E120:AI120)+SUMIF(E119:AI119,"=ВЧ1",E120:AI120)+SUMIF(E119:AI119,"=РН",E120:AI120)+SUMIF(E119:AI119,"=ВЧ",E120:AI120),0)+AL119</f>
        <v>168</v>
      </c>
      <c r="AL119" s="211">
        <f>IFERROR(SUMIF(E119:AI119,"=НУ",E120:AI120),0)</f>
        <v>0</v>
      </c>
      <c r="AM119" s="211">
        <f>IFERROR(SUMIF(E119:AI119,"=РН",E120:AI120)+SUMIF(E119:AI119,"=РН/РВ",E120:AI120)+SUMIFS(E120:AI120,E119:AI119,"=Р2",E120:AI120,"=8"),0)</f>
        <v>64</v>
      </c>
      <c r="AN119" s="211">
        <f>IFERROR(SUMIF(E119:AI119,"=ВЧ",E120:AI120)+SUMIF(E119:AI119,"=ВЧ/РВ",E120:AI120)+CEILING(COUNTIFS(E119:AI119,"=Р2",E120:AI120,"=7")*4,1)+CEILING(COUNTIFS(E119:AI119,"=Р2/РВ",E120:AI120,"=7")*4,1)+SUMIFS(E120:AI120,E119:AI119,"=Р1/РВ",E120:AI120,"=12")/6+SUMIFS(E120:AI120,E119:AI119,"=ВЧ2/РВ",E120:AI120,"=4")/2+SUMIFS(E120:AI120,E119:AI119,"=Р1",E120:AI120,"=12")/6+SUMIFS(E120:AI120,E119:AI119,"=Р1",E120:AI120,"=8")/4+SUMIF(E119:AI119,"=ВЧ1",E120:AI120)/2,0)+CEILING(SUMIFS(E120:AI120,E119:AI119,"=Р",E120:AI120,"=13")/4,8)+CEILING(SUMIFS(E120:AI120,E119:AI119,"=Р",E120:AI120,"=14")/4,4)+CEILING(SUMIFS(E120:AI120,E119:AI119,"=Р",E120:AI120,"=15")/4,4)+SUMIFS(E120:AI120,E119:AI119,"=Р",E120:AI120,"=16")/4+CEILING(SUMIFS(E120:AI120,E119:AI119,"=Р1",E120:AI120,"=13")/4,4)+CEILING(SUMIFS(E120:AI120,E119:AI119,"=Р1",E120:AI120,"=14")/4,4)+CEILING(SUMIFS(E120:AI120,E119:AI119,"=Р1",E120:AI120,"=15")/4,4)+SUMIFS(E120:AI120,E119:AI119,"=Р1",E120:AI120,"=16")/4</f>
        <v>32</v>
      </c>
      <c r="AO119" s="211">
        <f>IFERROR(SUMIF(E119:AI119,"=РВ",E120:AI120)+SUMIF(E119:AI119,"=ВЧ/РВ",E120:AI120)+SUMIF(E119:AI119,"=РН/РВ",E120:AI120)+SUMIF(E119:AI119,"=Р1/РВ",E120:AI120)+SUMIF(E119:AI119,"=ВЧ2/РВ",E120:AI120)+SUMIF(E119:AI119,"=Р2/РВ",E120:AI120),0)</f>
        <v>0</v>
      </c>
      <c r="AP119" s="211">
        <f>IFERROR(COUNTIF(E119:AI119,"=ВВ")+COUNTIF(E119:AI119,"=Р1/ВВ")+COUNTIF(E119:AI119,"=РН/ВВ")+COUNTIF(E119:AI119,"=ВЧ/ВВ"),0)</f>
        <v>15</v>
      </c>
      <c r="AQ119" s="211">
        <f>SUM(AR119:AZ119)</f>
        <v>0</v>
      </c>
      <c r="AR119" s="211">
        <f>IFERROR(SUMIF(E119:AI119,"=В",E120:AI120)+SUMIF(E119:AI119,"=Ч",E120:AI120)+SUMIF(E119:AI119,"=ВБ",E120:AI120),0)</f>
        <v>0</v>
      </c>
      <c r="AS119" s="211">
        <f>IFERROR(SUMIF(E119:AI119,"=Н",E120:AI120),0)</f>
        <v>0</v>
      </c>
      <c r="AT119" s="211">
        <f>IFERROR(SUMIF(E119:AI119,"=НА",E120:AI120),0)</f>
        <v>0</v>
      </c>
      <c r="AU119" s="211">
        <f>IFERROR(SUMIF(E119:AI119,"=ВП",E120:AI120),0)</f>
        <v>0</v>
      </c>
      <c r="AV119" s="211">
        <f>IFERROR(SUMIF(E119:AI119,"=ДД",E120:AI120),0)</f>
        <v>0</v>
      </c>
      <c r="AW119" s="202">
        <f>IFERROR(SUMIF(E119:AI119,"=ДО",E120:AI120),0)</f>
        <v>0</v>
      </c>
      <c r="AX119" s="211">
        <f>IFERROR(SUMIF(E119:AI119,"=ТН",E120:AI120),0)</f>
        <v>0</v>
      </c>
      <c r="AY119" s="211">
        <f>IFERROR(SUMIF(E119:AI119,"=ВД",E120:AI120),0)</f>
        <v>0</v>
      </c>
      <c r="AZ119" s="312">
        <f>IFERROR(SUMIF(E119:AI119,"=ІН",E120:AI120),0)+SUMIF(E119:AI119,"=НЗ",E120:AI120)</f>
        <v>0</v>
      </c>
    </row>
    <row r="120" spans="1:52" s="163" customFormat="1" ht="20.100000000000001" customHeight="1" thickBot="1" x14ac:dyDescent="0.25">
      <c r="A120" s="331"/>
      <c r="B120" s="331"/>
      <c r="C120" s="229"/>
      <c r="D120" s="229"/>
      <c r="E120" s="192">
        <v>13</v>
      </c>
      <c r="F120" s="192">
        <v>8</v>
      </c>
      <c r="G120" s="192"/>
      <c r="H120" s="192"/>
      <c r="I120" s="192">
        <v>13</v>
      </c>
      <c r="J120" s="192">
        <v>8</v>
      </c>
      <c r="K120" s="192"/>
      <c r="L120" s="192"/>
      <c r="M120" s="192">
        <v>13</v>
      </c>
      <c r="N120" s="192">
        <v>8</v>
      </c>
      <c r="O120" s="192"/>
      <c r="P120" s="192"/>
      <c r="Q120" s="192">
        <v>13</v>
      </c>
      <c r="R120" s="192">
        <v>8</v>
      </c>
      <c r="S120" s="192"/>
      <c r="T120" s="192"/>
      <c r="U120" s="192">
        <v>13</v>
      </c>
      <c r="V120" s="192">
        <v>8</v>
      </c>
      <c r="W120" s="192"/>
      <c r="X120" s="192"/>
      <c r="Y120" s="192">
        <v>13</v>
      </c>
      <c r="Z120" s="192">
        <v>8</v>
      </c>
      <c r="AA120" s="192"/>
      <c r="AB120" s="192"/>
      <c r="AC120" s="192">
        <v>13</v>
      </c>
      <c r="AD120" s="192">
        <v>8</v>
      </c>
      <c r="AE120" s="192"/>
      <c r="AF120" s="192"/>
      <c r="AG120" s="192">
        <v>13</v>
      </c>
      <c r="AH120" s="192">
        <v>8</v>
      </c>
      <c r="AI120" s="192"/>
      <c r="AJ120" s="335"/>
      <c r="AK120" s="334"/>
      <c r="AL120" s="286"/>
      <c r="AM120" s="286"/>
      <c r="AN120" s="212"/>
      <c r="AO120" s="286"/>
      <c r="AP120" s="212"/>
      <c r="AQ120" s="286"/>
      <c r="AR120" s="286"/>
      <c r="AS120" s="286"/>
      <c r="AT120" s="286"/>
      <c r="AU120" s="286"/>
      <c r="AV120" s="286"/>
      <c r="AW120" s="203"/>
      <c r="AX120" s="286"/>
      <c r="AY120" s="286"/>
      <c r="AZ120" s="329"/>
    </row>
    <row r="121" spans="1:52" ht="20.100000000000001" customHeight="1" x14ac:dyDescent="0.2">
      <c r="A121" s="330">
        <f t="shared" si="44"/>
        <v>53</v>
      </c>
      <c r="B121" s="330" t="s">
        <v>253</v>
      </c>
      <c r="C121" s="228">
        <v>1761</v>
      </c>
      <c r="D121" s="228" t="s">
        <v>72</v>
      </c>
      <c r="E121" s="191" t="s">
        <v>142</v>
      </c>
      <c r="F121" s="191" t="s">
        <v>142</v>
      </c>
      <c r="G121" s="191" t="s">
        <v>4</v>
      </c>
      <c r="H121" s="191" t="s">
        <v>4</v>
      </c>
      <c r="I121" s="191" t="s">
        <v>4</v>
      </c>
      <c r="J121" s="191" t="s">
        <v>4</v>
      </c>
      <c r="K121" s="191" t="s">
        <v>4</v>
      </c>
      <c r="L121" s="191" t="s">
        <v>142</v>
      </c>
      <c r="M121" s="191" t="s">
        <v>142</v>
      </c>
      <c r="N121" s="191" t="s">
        <v>4</v>
      </c>
      <c r="O121" s="191" t="s">
        <v>4</v>
      </c>
      <c r="P121" s="191" t="s">
        <v>4</v>
      </c>
      <c r="Q121" s="191" t="s">
        <v>4</v>
      </c>
      <c r="R121" s="191" t="s">
        <v>4</v>
      </c>
      <c r="S121" s="191" t="s">
        <v>142</v>
      </c>
      <c r="T121" s="191" t="s">
        <v>142</v>
      </c>
      <c r="U121" s="191" t="s">
        <v>4</v>
      </c>
      <c r="V121" s="191" t="s">
        <v>4</v>
      </c>
      <c r="W121" s="191" t="s">
        <v>4</v>
      </c>
      <c r="X121" s="191" t="s">
        <v>4</v>
      </c>
      <c r="Y121" s="191" t="s">
        <v>4</v>
      </c>
      <c r="Z121" s="191" t="s">
        <v>142</v>
      </c>
      <c r="AA121" s="191" t="s">
        <v>142</v>
      </c>
      <c r="AB121" s="191" t="s">
        <v>4</v>
      </c>
      <c r="AC121" s="191" t="s">
        <v>4</v>
      </c>
      <c r="AD121" s="191" t="s">
        <v>4</v>
      </c>
      <c r="AE121" s="191" t="s">
        <v>4</v>
      </c>
      <c r="AF121" s="191" t="s">
        <v>4</v>
      </c>
      <c r="AG121" s="191" t="s">
        <v>142</v>
      </c>
      <c r="AH121" s="191" t="s">
        <v>142</v>
      </c>
      <c r="AI121" s="191" t="s">
        <v>4</v>
      </c>
      <c r="AJ121" s="332">
        <f>IFERROR(COUNTIF(E121:AI121,"=Р")+COUNTIF(E121:AI121,"=Р1")+COUNTIF(E121:AI121,"=ВЧ")+COUNTIF(E121:AI121,"=РН")+COUNTIF(E121:AI121,"=Р2")+COUNTIF(E121:AI121,"=Р1/РВ")+COUNTIF(E121:AI121,"=Р2/РВ")+COUNTIF(E121:AI121,"=ВЧ/РВ")+COUNTIF(E121:AI121,"=РН/РВ"),0)</f>
        <v>21</v>
      </c>
      <c r="AK121" s="333">
        <f>IFERROR(SUMIF(E121:AI121,"=Р2",E122:AI122)+SUMIF(E121:AI121,"=ВЧ/РВ",E122:AI122)+SUMIF(E121:AI121,"=РН/РВ",E122:AI122)+SUMIF(E121:AI121,"=Р1/РВ",E122:AI122)+SUMIF(E121:AI121,"=ВЧ2/РВ",E122:AI122)+SUMIF(E121:AI121,"=Р2/РВ",E122:AI122)+SUMIF(E121:AI121,"=Р",E122:AI122)+SUMIF(E121:AI121,"=Р1",E122:AI122)+SUMIF(E121:AI121,"=ВЧ1",E122:AI122)+SUMIF(E121:AI121,"=РН",E122:AI122)+SUMIF(E121:AI121,"=ВЧ",E122:AI122),0)+AL121</f>
        <v>167.99999999999997</v>
      </c>
      <c r="AL121" s="211">
        <f>IFERROR(SUMIF(E121:AI121,"=НУ",E122:AI122),0)</f>
        <v>0</v>
      </c>
      <c r="AM121" s="211">
        <f>IFERROR(SUMIF(E121:AI121,"=РН",E122:AI122)+SUMIF(E121:AI121,"=РН/РВ",E122:AI122)+SUMIFS(E122:AI122,E121:AI121,"=Р2",E122:AI122,"=8"),0)</f>
        <v>0</v>
      </c>
      <c r="AN121" s="211">
        <f>IFERROR(SUMIF(E121:AI121,"=ВЧ",E122:AI122)+SUMIF(E121:AI121,"=ВЧ/РВ",E122:AI122)+CEILING(COUNTIFS(E121:AI121,"=Р2",E122:AI122,"=7")*4,1)+CEILING(COUNTIFS(E121:AI121,"=Р2/РВ",E122:AI122,"=7")*4,1)+SUMIFS(E122:AI122,E121:AI121,"=Р1/РВ",E122:AI122,"=12")/6+SUMIFS(E122:AI122,E121:AI121,"=ВЧ2/РВ",E122:AI122,"=4")/2+SUMIFS(E122:AI122,E121:AI121,"=Р1",E122:AI122,"=12")/6+SUMIFS(E122:AI122,E121:AI121,"=Р1",E122:AI122,"=8")/4+SUMIF(E121:AI121,"=ВЧ1",E122:AI122)/2,0)+CEILING(SUMIFS(E122:AI122,E121:AI121,"=Р",E122:AI122,"=13")/4,4)+CEILING(SUMIFS(E122:AI122,E121:AI121,"=Р",E122:AI122,"=14")/4,4)+CEILING(SUMIFS(E122:AI122,E121:AI121,"=Р",E122:AI122,"=15")/4,4)+SUMIFS(E122:AI122,E121:AI121,"=Р",E122:AI122,"=16")/4+CEILING(SUMIFS(E122:AI122,E121:AI121,"=Р1",E122:AI122,"=13")/4,4)+CEILING(SUMIFS(E122:AI122,E121:AI121,"=Р1",E122:AI122,"=14")/4,4)+CEILING(SUMIFS(E122:AI122,E121:AI121,"=Р1",E122:AI122,"=15")/4,4)+SUMIFS(E122:AI122,E121:AI121,"=Р1",E122:AI122,"=16")/4</f>
        <v>0</v>
      </c>
      <c r="AO121" s="211">
        <f>IFERROR(SUMIF(E121:AI121,"=РВ",E122:AI122)+SUMIF(E121:AI121,"=ВЧ/РВ",E122:AI122)+SUMIF(E121:AI121,"=РН/РВ",E122:AI122)+SUMIF(E121:AI121,"=Р1/РВ",E122:AI122)+SUMIF(E121:AI121,"=ВЧ2/РВ",E122:AI122)+SUMIF(E121:AI121,"=Р2/РВ",E122:AI122),0)</f>
        <v>0</v>
      </c>
      <c r="AP121" s="211">
        <f>IFERROR(COUNTIF(E121:AI121,"=ВВ")+COUNTIF(E121:AI121,"=Р1/ВВ")+COUNTIF(E121:AI121,"=РН/ВВ")+COUNTIF(E121:AI121,"=ВЧ/ВВ"),0)</f>
        <v>10</v>
      </c>
      <c r="AQ121" s="211">
        <f>SUM(AR121:AZ121)</f>
        <v>0</v>
      </c>
      <c r="AR121" s="211">
        <f>IFERROR(SUMIF(E121:AI121,"=В",E122:AI122)+SUMIF(E121:AI121,"=Ч",E122:AI122)+SUMIF(E121:AI121,"=ВБ",E122:AI122),0)</f>
        <v>0</v>
      </c>
      <c r="AS121" s="211">
        <f>IFERROR(SUMIF(E121:AI121,"=Н",E122:AI122),0)</f>
        <v>0</v>
      </c>
      <c r="AT121" s="211">
        <f>IFERROR(SUMIF(E121:AI121,"=НА",E122:AI122),0)</f>
        <v>0</v>
      </c>
      <c r="AU121" s="211">
        <f>IFERROR(SUMIF(E121:AI121,"=ВП",E122:AI122),0)</f>
        <v>0</v>
      </c>
      <c r="AV121" s="211">
        <f>IFERROR(SUMIF(E121:AI121,"=ДД",E122:AI122),0)</f>
        <v>0</v>
      </c>
      <c r="AW121" s="202">
        <f>IFERROR(SUMIF(E121:AI121,"=ДО",E122:AI122),0)</f>
        <v>0</v>
      </c>
      <c r="AX121" s="211">
        <f>IFERROR(SUMIF(E121:AI121,"=ТН",E122:AI122),0)</f>
        <v>0</v>
      </c>
      <c r="AY121" s="211">
        <f>IFERROR(SUMIF(E121:AI121,"=ВД",E122:AI122),0)</f>
        <v>0</v>
      </c>
      <c r="AZ121" s="312">
        <f>IFERROR(SUMIF(E121:AI121,"=ІН",E122:AI122),0)+SUMIF(E121:AI121,"=НЗ",E122:AI122)</f>
        <v>0</v>
      </c>
    </row>
    <row r="122" spans="1:52" ht="20.100000000000001" customHeight="1" thickBot="1" x14ac:dyDescent="0.25">
      <c r="A122" s="331"/>
      <c r="B122" s="331"/>
      <c r="C122" s="229"/>
      <c r="D122" s="229"/>
      <c r="E122" s="192"/>
      <c r="F122" s="192"/>
      <c r="G122" s="192">
        <v>8.1999999999999993</v>
      </c>
      <c r="H122" s="192">
        <v>8.1999999999999993</v>
      </c>
      <c r="I122" s="192">
        <v>8.1999999999999993</v>
      </c>
      <c r="J122" s="192">
        <v>8.1999999999999993</v>
      </c>
      <c r="K122" s="192">
        <v>7</v>
      </c>
      <c r="L122" s="192"/>
      <c r="M122" s="192"/>
      <c r="N122" s="192">
        <v>8.1999999999999993</v>
      </c>
      <c r="O122" s="192">
        <v>8.1999999999999993</v>
      </c>
      <c r="P122" s="192">
        <v>8.1999999999999993</v>
      </c>
      <c r="Q122" s="192">
        <v>8.1999999999999993</v>
      </c>
      <c r="R122" s="192">
        <v>7.2</v>
      </c>
      <c r="S122" s="192"/>
      <c r="T122" s="192"/>
      <c r="U122" s="192">
        <v>8.1999999999999993</v>
      </c>
      <c r="V122" s="192">
        <v>8.1999999999999993</v>
      </c>
      <c r="W122" s="192">
        <v>8.1999999999999993</v>
      </c>
      <c r="X122" s="192">
        <v>8.1999999999999993</v>
      </c>
      <c r="Y122" s="192">
        <v>7.2</v>
      </c>
      <c r="Z122" s="192"/>
      <c r="AA122" s="192"/>
      <c r="AB122" s="192">
        <v>8.1999999999999993</v>
      </c>
      <c r="AC122" s="192">
        <v>8.1999999999999993</v>
      </c>
      <c r="AD122" s="192">
        <v>8.1999999999999993</v>
      </c>
      <c r="AE122" s="192">
        <v>8.1999999999999993</v>
      </c>
      <c r="AF122" s="192">
        <v>7.2</v>
      </c>
      <c r="AG122" s="192"/>
      <c r="AH122" s="192"/>
      <c r="AI122" s="192">
        <v>8.1999999999999993</v>
      </c>
      <c r="AJ122" s="325"/>
      <c r="AK122" s="334"/>
      <c r="AL122" s="286"/>
      <c r="AM122" s="286"/>
      <c r="AN122" s="212"/>
      <c r="AO122" s="286"/>
      <c r="AP122" s="212"/>
      <c r="AQ122" s="286"/>
      <c r="AR122" s="286"/>
      <c r="AS122" s="286"/>
      <c r="AT122" s="286"/>
      <c r="AU122" s="286"/>
      <c r="AV122" s="286"/>
      <c r="AW122" s="203"/>
      <c r="AX122" s="286"/>
      <c r="AY122" s="286"/>
      <c r="AZ122" s="329"/>
    </row>
    <row r="123" spans="1:52" s="163" customFormat="1" ht="21.75" customHeight="1" x14ac:dyDescent="0.2">
      <c r="A123" s="330">
        <f t="shared" si="44"/>
        <v>54</v>
      </c>
      <c r="B123" s="330" t="s">
        <v>428</v>
      </c>
      <c r="C123" s="228">
        <v>1406</v>
      </c>
      <c r="D123" s="228" t="s">
        <v>72</v>
      </c>
      <c r="E123" s="191" t="s">
        <v>43</v>
      </c>
      <c r="F123" s="191" t="s">
        <v>142</v>
      </c>
      <c r="G123" s="191" t="s">
        <v>142</v>
      </c>
      <c r="H123" s="191" t="s">
        <v>4</v>
      </c>
      <c r="I123" s="191" t="s">
        <v>43</v>
      </c>
      <c r="J123" s="191" t="s">
        <v>142</v>
      </c>
      <c r="K123" s="191" t="s">
        <v>142</v>
      </c>
      <c r="L123" s="191" t="s">
        <v>4</v>
      </c>
      <c r="M123" s="191" t="s">
        <v>43</v>
      </c>
      <c r="N123" s="191" t="s">
        <v>142</v>
      </c>
      <c r="O123" s="191" t="s">
        <v>142</v>
      </c>
      <c r="P123" s="191" t="s">
        <v>4</v>
      </c>
      <c r="Q123" s="191" t="s">
        <v>43</v>
      </c>
      <c r="R123" s="191" t="s">
        <v>142</v>
      </c>
      <c r="S123" s="191" t="s">
        <v>142</v>
      </c>
      <c r="T123" s="191" t="s">
        <v>4</v>
      </c>
      <c r="U123" s="191" t="s">
        <v>43</v>
      </c>
      <c r="V123" s="191" t="s">
        <v>142</v>
      </c>
      <c r="W123" s="191" t="s">
        <v>142</v>
      </c>
      <c r="X123" s="191" t="s">
        <v>4</v>
      </c>
      <c r="Y123" s="191" t="s">
        <v>43</v>
      </c>
      <c r="Z123" s="191" t="s">
        <v>142</v>
      </c>
      <c r="AA123" s="191" t="s">
        <v>142</v>
      </c>
      <c r="AB123" s="191" t="s">
        <v>4</v>
      </c>
      <c r="AC123" s="191" t="s">
        <v>43</v>
      </c>
      <c r="AD123" s="191" t="s">
        <v>142</v>
      </c>
      <c r="AE123" s="191" t="s">
        <v>142</v>
      </c>
      <c r="AF123" s="191" t="s">
        <v>4</v>
      </c>
      <c r="AG123" s="191"/>
      <c r="AH123" s="191"/>
      <c r="AI123" s="191"/>
      <c r="AJ123" s="324">
        <f>IFERROR(COUNTIF(E123:AI123,"=Р")+COUNTIF(E123:AI123,"=Р1")+COUNTIF(E123:AI123,"=ВЧ")+COUNTIF(E123:AI123,"=РН")+COUNTIF(E123:AI123,"=Р2")+COUNTIF(E123:AI123,"=Р1/РВ")+COUNTIF(E123:AI123,"=Р2/РВ")+COUNTIF(E123:AI123,"=ВЧ/РВ")+COUNTIF(E123:AI123,"=РН/РВ"),0)</f>
        <v>14</v>
      </c>
      <c r="AK123" s="333">
        <f>IFERROR(SUMIF(E123:AI123,"=Р2",E124:AI124)+SUMIF(E123:AI123,"=ВЧ/РВ",E124:AI124)+SUMIF(E123:AI123,"=РН/РВ",E124:AI124)+SUMIF(E123:AI123,"=Р1/РВ",E124:AI124)+SUMIF(E123:AI123,"=ВЧ2/РВ",E124:AI124)+SUMIF(E123:AI123,"=Р2/РВ",E124:AI124)+SUMIF(E123:AI123,"=Р",E124:AI124)+SUMIF(E123:AI123,"=Р1",E124:AI124)+SUMIF(E123:AI123,"=ВЧ1",E124:AI124)+SUMIF(E123:AI123,"=РН",E124:AI124)+SUMIF(E123:AI123,"=ВЧ",E124:AI124),0)+AL123</f>
        <v>164</v>
      </c>
      <c r="AL123" s="211">
        <f>IFERROR(SUMIF(E123:AI123,"=НУ",E124:AI124),0)</f>
        <v>0</v>
      </c>
      <c r="AM123" s="211">
        <f>IFERROR(SUMIF(E123:AI123,"=РН",E124:AI124)+SUMIF(E123:AI123,"=РН/РВ",E124:AI124)+SUMIFS(E124:AI124,E123:AI123,"=Р2",E124:AI124,"=8"),0)</f>
        <v>56</v>
      </c>
      <c r="AN123" s="211">
        <f>IFERROR(SUMIF(E123:AI123,"=ВЧ",E124:AI124)+SUMIF(E123:AI123,"=ВЧ/РВ",E124:AI124)+CEILING(COUNTIFS(E123:AI123,"=Р2",E124:AI124,"=7")*4,1)+CEILING(COUNTIFS(E123:AI123,"=Р2/РВ",E124:AI124,"=7")*4,1)+SUMIFS(E124:AI124,E123:AI123,"=Р1/РВ",E124:AI124,"=12")/6+SUMIFS(E124:AI124,E123:AI123,"=ВЧ2/РВ",E124:AI124,"=4")/2+SUMIFS(E124:AI124,E123:AI123,"=Р1",E124:AI124,"=12")/6+SUMIFS(E124:AI124,E123:AI123,"=Р1",E124:AI124,"=8")/4+SUMIF(E123:AI123,"=ВЧ1",E124:AI124)/2,0)+CEILING(SUMIFS(E124:AI124,E123:AI123,"=Р",E124:AI124,"=13")/4,4)+CEILING(SUMIFS(E124:AI124,E123:AI123,"=Р",E124:AI124,"=14")/4,4)+CEILING(SUMIFS(E124:AI124,E123:AI123,"=Р",E124:AI124,"=15")/4,4)+SUMIFS(E124:AI124,E123:AI123,"=Р",E124:AI124,"=16")/4+CEILING(SUMIFS(E124:AI124,E123:AI123,"=Р1",E124:AI124,"=13")/4,4)+CEILING(SUMIFS(E124:AI124,E123:AI123,"=Р1",E124:AI124,"=14")/4,4)+CEILING(SUMIFS(E124:AI124,E123:AI123,"=Р1",E124:AI124,"=15")/4,4)+SUMIFS(E124:AI124,E123:AI123,"=Р1",E124:AI124,"=16")/4</f>
        <v>28</v>
      </c>
      <c r="AO123" s="211">
        <f>IFERROR(SUMIF(E123:AI123,"=РВ",E124:AI124)+SUMIF(E123:AI123,"=ВЧ/РВ",E124:AI124)+SUMIF(E123:AI123,"=РН/РВ",E124:AI124)+SUMIF(E123:AI123,"=Р1/РВ",E124:AI124)+SUMIF(E123:AI123,"=ВЧ2/РВ",E124:AI124)+SUMIF(E123:AI123,"=Р2/РВ",E124:AI124),0)</f>
        <v>0</v>
      </c>
      <c r="AP123" s="211">
        <f>IFERROR(COUNTIF(E123:AI123,"=ВВ")+COUNTIF(E123:AI123,"=Р1/ВВ")+COUNTIF(E123:AI123,"=РН/ВВ")+COUNTIF(E123:AI123,"=ВЧ/ВВ"),0)</f>
        <v>14</v>
      </c>
      <c r="AQ123" s="211">
        <f>SUM(AR123:AZ123)</f>
        <v>0</v>
      </c>
      <c r="AR123" s="211">
        <f>IFERROR(SUMIF(E123:AI123,"=В",E124:AI124)+SUMIF(E123:AI123,"=Ч",E124:AI124)+SUMIF(E123:AI123,"=ВБ",E124:AI124),0)</f>
        <v>0</v>
      </c>
      <c r="AS123" s="211">
        <f>IFERROR(SUMIF(E123:AI123,"=Н",E124:AI124),0)</f>
        <v>0</v>
      </c>
      <c r="AT123" s="211">
        <f>IFERROR(SUMIF(E123:AI123,"=НА",E124:AI124),0)</f>
        <v>0</v>
      </c>
      <c r="AU123" s="211">
        <f>IFERROR(SUMIF(E123:AI123,"=ВП",E124:AI124),0)</f>
        <v>0</v>
      </c>
      <c r="AV123" s="211">
        <f>IFERROR(SUMIF(E123:AI123,"=ДД",E124:AI124),0)</f>
        <v>0</v>
      </c>
      <c r="AW123" s="202">
        <f>IFERROR(SUMIF(E123:AI123,"=ДО",E124:AI124),0)</f>
        <v>0</v>
      </c>
      <c r="AX123" s="211">
        <f>IFERROR(SUMIF(E123:AI123,"=ТН",E124:AI124),0)</f>
        <v>0</v>
      </c>
      <c r="AY123" s="211">
        <f>IFERROR(SUMIF(E123:AI123,"=ВД",E124:AI124),0)</f>
        <v>0</v>
      </c>
      <c r="AZ123" s="312">
        <f>IFERROR(SUMIF(E123:AI123,"=ІН",E124:AI124),0)+SUMIF(E123:AI123,"=НЗ",E124:AI124)</f>
        <v>0</v>
      </c>
    </row>
    <row r="124" spans="1:52" s="163" customFormat="1" ht="21.75" customHeight="1" thickBot="1" x14ac:dyDescent="0.25">
      <c r="A124" s="331"/>
      <c r="B124" s="331"/>
      <c r="C124" s="229"/>
      <c r="D124" s="229"/>
      <c r="E124" s="192">
        <v>8</v>
      </c>
      <c r="F124" s="192"/>
      <c r="G124" s="192"/>
      <c r="H124" s="192">
        <v>16</v>
      </c>
      <c r="I124" s="192">
        <v>8</v>
      </c>
      <c r="J124" s="192"/>
      <c r="K124" s="192"/>
      <c r="L124" s="192">
        <v>16</v>
      </c>
      <c r="M124" s="192">
        <v>8</v>
      </c>
      <c r="N124" s="192"/>
      <c r="O124" s="192"/>
      <c r="P124" s="192">
        <v>14</v>
      </c>
      <c r="Q124" s="192">
        <v>8</v>
      </c>
      <c r="R124" s="192"/>
      <c r="S124" s="192"/>
      <c r="T124" s="192">
        <v>16</v>
      </c>
      <c r="U124" s="192">
        <v>8</v>
      </c>
      <c r="V124" s="192"/>
      <c r="W124" s="192"/>
      <c r="X124" s="192">
        <v>14</v>
      </c>
      <c r="Y124" s="192">
        <v>8</v>
      </c>
      <c r="Z124" s="192"/>
      <c r="AA124" s="192"/>
      <c r="AB124" s="192">
        <v>16</v>
      </c>
      <c r="AC124" s="192">
        <v>8</v>
      </c>
      <c r="AD124" s="192"/>
      <c r="AE124" s="192"/>
      <c r="AF124" s="192">
        <v>16</v>
      </c>
      <c r="AG124" s="192" t="s">
        <v>491</v>
      </c>
      <c r="AH124" s="192" t="s">
        <v>492</v>
      </c>
      <c r="AI124" s="192" t="s">
        <v>493</v>
      </c>
      <c r="AJ124" s="335"/>
      <c r="AK124" s="334"/>
      <c r="AL124" s="286"/>
      <c r="AM124" s="286"/>
      <c r="AN124" s="212"/>
      <c r="AO124" s="286"/>
      <c r="AP124" s="212"/>
      <c r="AQ124" s="286"/>
      <c r="AR124" s="286"/>
      <c r="AS124" s="286"/>
      <c r="AT124" s="286"/>
      <c r="AU124" s="286"/>
      <c r="AV124" s="286"/>
      <c r="AW124" s="203"/>
      <c r="AX124" s="286"/>
      <c r="AY124" s="286"/>
      <c r="AZ124" s="329"/>
    </row>
    <row r="125" spans="1:52" s="163" customFormat="1" ht="20.100000000000001" customHeight="1" x14ac:dyDescent="0.2">
      <c r="A125" s="330">
        <f t="shared" si="44"/>
        <v>55</v>
      </c>
      <c r="B125" s="330" t="s">
        <v>429</v>
      </c>
      <c r="C125" s="228">
        <v>1476</v>
      </c>
      <c r="D125" s="228" t="s">
        <v>65</v>
      </c>
      <c r="E125" s="191" t="s">
        <v>43</v>
      </c>
      <c r="F125" s="191" t="s">
        <v>142</v>
      </c>
      <c r="G125" s="191" t="s">
        <v>142</v>
      </c>
      <c r="H125" s="191" t="s">
        <v>4</v>
      </c>
      <c r="I125" s="191" t="s">
        <v>43</v>
      </c>
      <c r="J125" s="191" t="s">
        <v>142</v>
      </c>
      <c r="K125" s="191" t="s">
        <v>142</v>
      </c>
      <c r="L125" s="191" t="s">
        <v>4</v>
      </c>
      <c r="M125" s="191" t="s">
        <v>43</v>
      </c>
      <c r="N125" s="191" t="s">
        <v>142</v>
      </c>
      <c r="O125" s="191" t="s">
        <v>142</v>
      </c>
      <c r="P125" s="191" t="s">
        <v>4</v>
      </c>
      <c r="Q125" s="191" t="s">
        <v>43</v>
      </c>
      <c r="R125" s="191" t="s">
        <v>142</v>
      </c>
      <c r="S125" s="191" t="s">
        <v>142</v>
      </c>
      <c r="T125" s="191" t="s">
        <v>4</v>
      </c>
      <c r="U125" s="191" t="s">
        <v>43</v>
      </c>
      <c r="V125" s="191" t="s">
        <v>142</v>
      </c>
      <c r="W125" s="191" t="s">
        <v>142</v>
      </c>
      <c r="X125" s="191" t="s">
        <v>4</v>
      </c>
      <c r="Y125" s="191" t="s">
        <v>43</v>
      </c>
      <c r="Z125" s="191" t="s">
        <v>142</v>
      </c>
      <c r="AA125" s="191" t="s">
        <v>142</v>
      </c>
      <c r="AB125" s="191" t="s">
        <v>4</v>
      </c>
      <c r="AC125" s="191" t="s">
        <v>43</v>
      </c>
      <c r="AD125" s="191" t="s">
        <v>142</v>
      </c>
      <c r="AE125" s="191" t="s">
        <v>142</v>
      </c>
      <c r="AF125" s="191" t="s">
        <v>4</v>
      </c>
      <c r="AG125" s="191"/>
      <c r="AH125" s="191"/>
      <c r="AI125" s="191"/>
      <c r="AJ125" s="332">
        <f>IFERROR(COUNTIF(E125:AI125,"=Р")+COUNTIF(E125:AI125,"=Р1")+COUNTIF(E125:AI125,"=ВЧ")+COUNTIF(E125:AI125,"=РН")+COUNTIF(E125:AI125,"=Р2")+COUNTIF(E125:AI125,"=Р1/РВ")+COUNTIF(E125:AI125,"=Р2/РВ")+COUNTIF(E125:AI125,"=ВЧ/РВ")+COUNTIF(E125:AI125,"=РН/РВ"),0)</f>
        <v>14</v>
      </c>
      <c r="AK125" s="333">
        <f>IFERROR(SUMIF(E125:AI125,"=Р2",E126:AI126)+SUMIF(E125:AI125,"=ВЧ/РВ",E126:AI126)+SUMIF(E125:AI125,"=РН/РВ",E126:AI126)+SUMIF(E125:AI125,"=Р1/РВ",E126:AI126)+SUMIF(E125:AI125,"=ВЧ2/РВ",E126:AI126)+SUMIF(E125:AI125,"=Р2/РВ",E126:AI126)+SUMIF(E125:AI125,"=Р",E126:AI126)+SUMIF(E125:AI125,"=Р1",E126:AI126)+SUMIF(E125:AI125,"=ВЧ1",E126:AI126)+SUMIF(E125:AI125,"=РН",E126:AI126)+SUMIF(E125:AI125,"=ВЧ",E126:AI126),0)+AL125</f>
        <v>160</v>
      </c>
      <c r="AL125" s="211">
        <f>IFERROR(SUMIF(E125:AI125,"=НУ",E126:AI126),0)</f>
        <v>0</v>
      </c>
      <c r="AM125" s="211">
        <f>IFERROR(SUMIF(E125:AI125,"=РН",E126:AI126)+SUMIF(E125:AI125,"=РН/РВ",E126:AI126)+SUMIFS(E126:AI126,E125:AI125,"=Р2",E126:AI126,"=8"),0)</f>
        <v>56</v>
      </c>
      <c r="AN125" s="211">
        <f>IFERROR(SUMIF(E125:AI125,"=ВЧ",E126:AI126)+SUMIF(E125:AI125,"=ВЧ/РВ",E126:AI126)+CEILING(COUNTIFS(E125:AI125,"=Р2",E126:AI126,"=7")*4,1)+CEILING(COUNTIFS(E125:AI125,"=Р2/РВ",E126:AI126,"=7")*4,1)+SUMIFS(E126:AI126,E125:AI125,"=Р1/РВ",E126:AI126,"=12")/6+SUMIFS(E126:AI126,E125:AI125,"=ВЧ2/РВ",E126:AI126,"=4")/2+SUMIFS(E126:AI126,E125:AI125,"=Р1",E126:AI126,"=12")/6+SUMIFS(E126:AI126,E125:AI125,"=Р1",E126:AI126,"=8")/4+SUMIF(E125:AI125,"=ВЧ1",E126:AI126)/2,0)+CEILING(SUMIFS(E126:AI126,E125:AI125,"=Р",E126:AI126,"=13")/4,4)+CEILING(SUMIFS(E126:AI126,E125:AI125,"=Р",E126:AI126,"=14")/4,4)+CEILING(SUMIFS(E126:AI126,E125:AI125,"=Р",E126:AI126,"=15")/4,4)+SUMIFS(E126:AI126,E125:AI125,"=Р",E126:AI126,"=16")/4+CEILING(SUMIFS(E126:AI126,E125:AI125,"=Р1",E126:AI126,"=13")/4,4)+CEILING(SUMIFS(E126:AI126,E125:AI125,"=Р1",E126:AI126,"=14")/4,4)+CEILING(SUMIFS(E126:AI126,E125:AI125,"=Р1",E126:AI126,"=15")/4,4)+SUMIFS(E126:AI126,E125:AI125,"=Р1",E126:AI126,"=16")/4</f>
        <v>28</v>
      </c>
      <c r="AO125" s="211">
        <f>IFERROR(SUMIF(E125:AI125,"=РВ",E126:AI126)+SUMIF(E125:AI125,"=ВЧ/РВ",E126:AI126)+SUMIF(E125:AI125,"=РН/РВ",E126:AI126)+SUMIF(E125:AI125,"=Р1/РВ",E126:AI126)+SUMIF(E125:AI125,"=ВЧ2/РВ",E126:AI126)+SUMIF(E125:AI125,"=Р2/РВ",E126:AI126),0)</f>
        <v>0</v>
      </c>
      <c r="AP125" s="211">
        <f>IFERROR(COUNTIF(E125:AI125,"=ВВ")+COUNTIF(E125:AI125,"=Р1/ВВ")+COUNTIF(E125:AI125,"=РН/ВВ")+COUNTIF(E125:AI125,"=ВЧ/ВВ"),0)</f>
        <v>14</v>
      </c>
      <c r="AQ125" s="211">
        <f>SUM(AR125:AZ125)</f>
        <v>0</v>
      </c>
      <c r="AR125" s="211">
        <f>IFERROR(SUMIF(E125:AI125,"=В",E126:AI126)+SUMIF(E125:AI125,"=Ч",E126:AI126)+SUMIF(E125:AI125,"=ВБ",E126:AI126),0)</f>
        <v>0</v>
      </c>
      <c r="AS125" s="211">
        <f>IFERROR(SUMIF(E125:AI125,"=Н",E126:AI126),0)</f>
        <v>0</v>
      </c>
      <c r="AT125" s="211">
        <f>IFERROR(SUMIF(E125:AI125,"=НА",E126:AI126),0)</f>
        <v>0</v>
      </c>
      <c r="AU125" s="211">
        <f>IFERROR(SUMIF(E125:AI125,"=ВП",E126:AI126),0)</f>
        <v>0</v>
      </c>
      <c r="AV125" s="211">
        <f>IFERROR(SUMIF(E125:AI125,"=ДД",E126:AI126),0)</f>
        <v>0</v>
      </c>
      <c r="AW125" s="202">
        <f>IFERROR(SUMIF(E125:AI125,"=ДО",E126:AI126),0)</f>
        <v>0</v>
      </c>
      <c r="AX125" s="211">
        <f>IFERROR(SUMIF(E125:AI125,"=ТН",E126:AI126),0)</f>
        <v>0</v>
      </c>
      <c r="AY125" s="211">
        <f>IFERROR(SUMIF(E125:AI125,"=ВД",E126:AI126),0)</f>
        <v>0</v>
      </c>
      <c r="AZ125" s="312">
        <f>IFERROR(SUMIF(E125:AI125,"=ІН",E126:AI126),0)+SUMIF(E125:AI125,"=НЗ",E126:AI126)</f>
        <v>0</v>
      </c>
    </row>
    <row r="126" spans="1:52" s="163" customFormat="1" ht="20.100000000000001" customHeight="1" thickBot="1" x14ac:dyDescent="0.25">
      <c r="A126" s="331"/>
      <c r="B126" s="331"/>
      <c r="C126" s="229"/>
      <c r="D126" s="229"/>
      <c r="E126" s="192">
        <v>8</v>
      </c>
      <c r="F126" s="192"/>
      <c r="G126" s="192"/>
      <c r="H126" s="192">
        <v>16</v>
      </c>
      <c r="I126" s="192">
        <v>8</v>
      </c>
      <c r="J126" s="192"/>
      <c r="K126" s="192"/>
      <c r="L126" s="192">
        <v>16</v>
      </c>
      <c r="M126" s="192">
        <v>8</v>
      </c>
      <c r="N126" s="192"/>
      <c r="O126" s="192"/>
      <c r="P126" s="192">
        <v>13</v>
      </c>
      <c r="Q126" s="192">
        <v>8</v>
      </c>
      <c r="R126" s="192"/>
      <c r="S126" s="192"/>
      <c r="T126" s="192">
        <v>13</v>
      </c>
      <c r="U126" s="192">
        <v>8</v>
      </c>
      <c r="V126" s="192"/>
      <c r="W126" s="192"/>
      <c r="X126" s="192">
        <v>14</v>
      </c>
      <c r="Y126" s="192">
        <v>8</v>
      </c>
      <c r="Z126" s="192"/>
      <c r="AA126" s="192"/>
      <c r="AB126" s="192">
        <v>16</v>
      </c>
      <c r="AC126" s="192">
        <v>8</v>
      </c>
      <c r="AD126" s="192"/>
      <c r="AE126" s="192"/>
      <c r="AF126" s="192">
        <v>16</v>
      </c>
      <c r="AG126" s="192"/>
      <c r="AH126" s="192"/>
      <c r="AI126" s="192"/>
      <c r="AJ126" s="325"/>
      <c r="AK126" s="334"/>
      <c r="AL126" s="286"/>
      <c r="AM126" s="286"/>
      <c r="AN126" s="212"/>
      <c r="AO126" s="286"/>
      <c r="AP126" s="212"/>
      <c r="AQ126" s="286"/>
      <c r="AR126" s="286"/>
      <c r="AS126" s="286"/>
      <c r="AT126" s="286"/>
      <c r="AU126" s="286"/>
      <c r="AV126" s="286"/>
      <c r="AW126" s="203"/>
      <c r="AX126" s="286"/>
      <c r="AY126" s="286"/>
      <c r="AZ126" s="329"/>
    </row>
    <row r="127" spans="1:52" s="163" customFormat="1" ht="20.100000000000001" customHeight="1" x14ac:dyDescent="0.2">
      <c r="A127" s="330">
        <f t="shared" si="44"/>
        <v>56</v>
      </c>
      <c r="B127" s="330" t="s">
        <v>490</v>
      </c>
      <c r="C127" s="228">
        <v>1476</v>
      </c>
      <c r="D127" s="228" t="s">
        <v>65</v>
      </c>
      <c r="E127" s="191"/>
      <c r="F127" s="191"/>
      <c r="G127" s="191"/>
      <c r="H127" s="191"/>
      <c r="I127" s="191"/>
      <c r="J127" s="191"/>
      <c r="K127" s="191"/>
      <c r="L127" s="191"/>
      <c r="M127" s="191"/>
      <c r="N127" s="191"/>
      <c r="O127" s="191"/>
      <c r="P127" s="191"/>
      <c r="Q127" s="191"/>
      <c r="R127" s="191"/>
      <c r="S127" s="191"/>
      <c r="T127" s="191"/>
      <c r="U127" s="191"/>
      <c r="V127" s="191"/>
      <c r="W127" s="191"/>
      <c r="X127" s="191"/>
      <c r="Y127" s="191"/>
      <c r="Z127" s="191"/>
      <c r="AA127" s="191"/>
      <c r="AB127" s="191"/>
      <c r="AC127" s="191"/>
      <c r="AD127" s="191"/>
      <c r="AE127" s="191"/>
      <c r="AF127" s="191"/>
      <c r="AG127" s="191" t="s">
        <v>142</v>
      </c>
      <c r="AH127" s="191" t="s">
        <v>142</v>
      </c>
      <c r="AI127" s="191" t="s">
        <v>4</v>
      </c>
      <c r="AJ127" s="332">
        <f>IFERROR(COUNTIF(E127:AI127,"=Р")+COUNTIF(E127:AI127,"=Р1")+COUNTIF(E127:AI127,"=ВЧ")+COUNTIF(E127:AI127,"=РН")+COUNTIF(E127:AI127,"=Р2")+COUNTIF(E127:AI127,"=Р1/РВ")+COUNTIF(E127:AI127,"=Р2/РВ")+COUNTIF(E127:AI127,"=ВЧ/РВ")+COUNTIF(E127:AI127,"=РН/РВ"),0)</f>
        <v>1</v>
      </c>
      <c r="AK127" s="333">
        <f>IFERROR(SUMIF(E127:AI127,"=Р2",E128:AI128)+SUMIF(E127:AI127,"=ВЧ/РВ",E128:AI128)+SUMIF(E127:AI127,"=РН/РВ",E128:AI128)+SUMIF(E127:AI127,"=Р1/РВ",E128:AI128)+SUMIF(E127:AI127,"=ВЧ2/РВ",E128:AI128)+SUMIF(E127:AI127,"=Р2/РВ",E128:AI128)+SUMIF(E127:AI127,"=Р",E128:AI128)+SUMIF(E127:AI127,"=Р1",E128:AI128)+SUMIF(E127:AI127,"=ВЧ1",E128:AI128)+SUMIF(E127:AI127,"=РН",E128:AI128)+SUMIF(E127:AI127,"=ВЧ",E128:AI128),0)+AL127</f>
        <v>8.1999999999999993</v>
      </c>
      <c r="AL127" s="211">
        <f>IFERROR(SUMIF(E127:AI127,"=НУ",E128:AI128),0)</f>
        <v>0</v>
      </c>
      <c r="AM127" s="211">
        <f>IFERROR(SUMIF(E127:AI127,"=РН",E128:AI128)+SUMIF(E127:AI127,"=РН/РВ",E128:AI128)+SUMIFS(E128:AI128,E127:AI127,"=Р2",E128:AI128,"=8"),0)</f>
        <v>0</v>
      </c>
      <c r="AN127" s="211">
        <f>IFERROR(SUMIF(E127:AI127,"=ВЧ",E128:AI128)+SUMIF(E127:AI127,"=ВЧ/РВ",E128:AI128)+CEILING(COUNTIFS(E127:AI127,"=Р2",E128:AI128,"=7")*4,1)+CEILING(COUNTIFS(E127:AI127,"=Р2/РВ",E128:AI128,"=7")*4,1)+SUMIFS(E128:AI128,E127:AI127,"=Р1/РВ",E128:AI128,"=12")/6+SUMIFS(E128:AI128,E127:AI127,"=ВЧ2/РВ",E128:AI128,"=4")/2+SUMIFS(E128:AI128,E127:AI127,"=Р1",E128:AI128,"=12")/6+SUMIFS(E128:AI128,E127:AI127,"=Р1",E128:AI128,"=8")/4+SUMIF(E127:AI127,"=ВЧ1",E128:AI128)/2,0)+CEILING(SUMIFS(E128:AI128,E127:AI127,"=Р",E128:AI128,"=13")/4,4)+CEILING(SUMIFS(E128:AI128,E127:AI127,"=Р",E128:AI128,"=14")/4,4)+CEILING(SUMIFS(E128:AI128,E127:AI127,"=Р",E128:AI128,"=15")/4,4)+SUMIFS(E128:AI128,E127:AI127,"=Р",E128:AI128,"=16")/4+CEILING(SUMIFS(E128:AI128,E127:AI127,"=Р1",E128:AI128,"=13")/4,4)+CEILING(SUMIFS(E128:AI128,E127:AI127,"=Р1",E128:AI128,"=14")/4,4)+CEILING(SUMIFS(E128:AI128,E127:AI127,"=Р1",E128:AI128,"=15")/4,4)+SUMIFS(E128:AI128,E127:AI127,"=Р1",E128:AI128,"=16")/4</f>
        <v>0</v>
      </c>
      <c r="AO127" s="211">
        <f>IFERROR(SUMIF(E127:AI127,"=РВ",E128:AI128)+SUMIF(E127:AI127,"=ВЧ/РВ",E128:AI128)+SUMIF(E127:AI127,"=РН/РВ",E128:AI128)+SUMIF(E127:AI127,"=Р1/РВ",E128:AI128)+SUMIF(E127:AI127,"=ВЧ2/РВ",E128:AI128)+SUMIF(E127:AI127,"=Р2/РВ",E128:AI128),0)</f>
        <v>0</v>
      </c>
      <c r="AP127" s="211">
        <f>IFERROR(COUNTIF(E127:AI127,"=ВВ")+COUNTIF(E127:AI127,"=Р1/ВВ")+COUNTIF(E127:AI127,"=РН/ВВ")+COUNTIF(E127:AI127,"=ВЧ/ВВ"),0)</f>
        <v>2</v>
      </c>
      <c r="AQ127" s="211">
        <f>SUM(AR127:AZ127)</f>
        <v>0</v>
      </c>
      <c r="AR127" s="211">
        <f>IFERROR(SUMIF(E127:AI127,"=В",E128:AI128)+SUMIF(E127:AI127,"=Ч",E128:AI128)+SUMIF(E127:AI127,"=ВБ",E128:AI128),0)</f>
        <v>0</v>
      </c>
      <c r="AS127" s="211">
        <f>IFERROR(SUMIF(E127:AI127,"=Н",E128:AI128),0)</f>
        <v>0</v>
      </c>
      <c r="AT127" s="211">
        <f>IFERROR(SUMIF(E127:AI127,"=НА",E128:AI128),0)</f>
        <v>0</v>
      </c>
      <c r="AU127" s="211">
        <f>IFERROR(SUMIF(E127:AI127,"=ВП",E128:AI128),0)</f>
        <v>0</v>
      </c>
      <c r="AV127" s="211">
        <f>IFERROR(SUMIF(E127:AI127,"=ДД",E128:AI128),0)</f>
        <v>0</v>
      </c>
      <c r="AW127" s="202">
        <f>IFERROR(SUMIF(E127:AI127,"=ДО",E128:AI128),0)</f>
        <v>0</v>
      </c>
      <c r="AX127" s="211">
        <f>IFERROR(SUMIF(E127:AI127,"=ТН",E128:AI128),0)</f>
        <v>0</v>
      </c>
      <c r="AY127" s="211">
        <f>IFERROR(SUMIF(E127:AI127,"=ВД",E128:AI128),0)</f>
        <v>0</v>
      </c>
      <c r="AZ127" s="312">
        <f>IFERROR(SUMIF(E127:AI127,"=ІН",E128:AI128),0)+SUMIF(E127:AI127,"=НЗ",E128:AI128)</f>
        <v>0</v>
      </c>
    </row>
    <row r="128" spans="1:52" s="163" customFormat="1" ht="20.100000000000001" customHeight="1" thickBot="1" x14ac:dyDescent="0.25">
      <c r="A128" s="331"/>
      <c r="B128" s="331"/>
      <c r="C128" s="229"/>
      <c r="D128" s="229"/>
      <c r="E128" s="192"/>
      <c r="F128" s="192"/>
      <c r="G128" s="192"/>
      <c r="H128" s="192"/>
      <c r="I128" s="192"/>
      <c r="J128" s="192"/>
      <c r="K128" s="192"/>
      <c r="L128" s="192"/>
      <c r="M128" s="192"/>
      <c r="N128" s="192"/>
      <c r="O128" s="192"/>
      <c r="P128" s="192"/>
      <c r="Q128" s="192"/>
      <c r="R128" s="192"/>
      <c r="S128" s="192"/>
      <c r="T128" s="192"/>
      <c r="U128" s="192"/>
      <c r="V128" s="192"/>
      <c r="W128" s="192"/>
      <c r="X128" s="192"/>
      <c r="Y128" s="192"/>
      <c r="Z128" s="192"/>
      <c r="AA128" s="192"/>
      <c r="AB128" s="192"/>
      <c r="AC128" s="192"/>
      <c r="AD128" s="192"/>
      <c r="AE128" s="192"/>
      <c r="AF128" s="192"/>
      <c r="AG128" s="192"/>
      <c r="AH128" s="192"/>
      <c r="AI128" s="192">
        <v>8.1999999999999993</v>
      </c>
      <c r="AJ128" s="325"/>
      <c r="AK128" s="334"/>
      <c r="AL128" s="286"/>
      <c r="AM128" s="286"/>
      <c r="AN128" s="212"/>
      <c r="AO128" s="286"/>
      <c r="AP128" s="212"/>
      <c r="AQ128" s="286"/>
      <c r="AR128" s="286"/>
      <c r="AS128" s="286"/>
      <c r="AT128" s="286"/>
      <c r="AU128" s="286"/>
      <c r="AV128" s="286"/>
      <c r="AW128" s="203"/>
      <c r="AX128" s="286"/>
      <c r="AY128" s="286"/>
      <c r="AZ128" s="329"/>
    </row>
    <row r="129" spans="1:52" s="163" customFormat="1" ht="20.100000000000001" customHeight="1" x14ac:dyDescent="0.2">
      <c r="A129" s="330">
        <f t="shared" si="44"/>
        <v>57</v>
      </c>
      <c r="B129" s="330" t="s">
        <v>353</v>
      </c>
      <c r="C129" s="228">
        <v>2065</v>
      </c>
      <c r="D129" s="228" t="s">
        <v>72</v>
      </c>
      <c r="E129" s="191" t="s">
        <v>142</v>
      </c>
      <c r="F129" s="191" t="s">
        <v>142</v>
      </c>
      <c r="G129" s="191" t="s">
        <v>4</v>
      </c>
      <c r="H129" s="191" t="s">
        <v>43</v>
      </c>
      <c r="I129" s="191" t="s">
        <v>142</v>
      </c>
      <c r="J129" s="191" t="s">
        <v>142</v>
      </c>
      <c r="K129" s="191" t="s">
        <v>4</v>
      </c>
      <c r="L129" s="191" t="s">
        <v>43</v>
      </c>
      <c r="M129" s="191" t="s">
        <v>142</v>
      </c>
      <c r="N129" s="191" t="s">
        <v>142</v>
      </c>
      <c r="O129" s="191" t="s">
        <v>4</v>
      </c>
      <c r="P129" s="191" t="s">
        <v>43</v>
      </c>
      <c r="Q129" s="191" t="s">
        <v>142</v>
      </c>
      <c r="R129" s="191" t="s">
        <v>142</v>
      </c>
      <c r="S129" s="191" t="s">
        <v>4</v>
      </c>
      <c r="T129" s="191" t="s">
        <v>43</v>
      </c>
      <c r="U129" s="191" t="s">
        <v>142</v>
      </c>
      <c r="V129" s="191" t="s">
        <v>142</v>
      </c>
      <c r="W129" s="191" t="s">
        <v>4</v>
      </c>
      <c r="X129" s="191" t="s">
        <v>43</v>
      </c>
      <c r="Y129" s="191" t="s">
        <v>142</v>
      </c>
      <c r="Z129" s="191" t="s">
        <v>142</v>
      </c>
      <c r="AA129" s="191" t="s">
        <v>4</v>
      </c>
      <c r="AB129" s="191" t="s">
        <v>43</v>
      </c>
      <c r="AC129" s="191" t="s">
        <v>142</v>
      </c>
      <c r="AD129" s="191" t="s">
        <v>142</v>
      </c>
      <c r="AE129" s="191" t="s">
        <v>4</v>
      </c>
      <c r="AF129" s="191" t="s">
        <v>43</v>
      </c>
      <c r="AG129" s="191"/>
      <c r="AH129" s="191"/>
      <c r="AI129" s="191"/>
      <c r="AJ129" s="324">
        <f>IFERROR(COUNTIF(E129:AI129,"=Р")+COUNTIF(E129:AI129,"=Р1")+COUNTIF(E129:AI129,"=ВЧ")+COUNTIF(E129:AI129,"=РН")+COUNTIF(E129:AI129,"=Р2")+COUNTIF(E129:AI129,"=Р1/РВ")+COUNTIF(E129:AI129,"=Р2/РВ")+COUNTIF(E129:AI129,"=ВЧ/РВ")+COUNTIF(E129:AI129,"=РН/РВ"),0)</f>
        <v>14</v>
      </c>
      <c r="AK129" s="333">
        <f>IFERROR(SUMIF(E129:AI129,"=Р2",E130:AI130)+SUMIF(E129:AI129,"=ВЧ/РВ",E130:AI130)+SUMIF(E129:AI129,"=РН/РВ",E130:AI130)+SUMIF(E129:AI129,"=Р1/РВ",E130:AI130)+SUMIF(E129:AI129,"=ВЧ2/РВ",E130:AI130)+SUMIF(E129:AI129,"=Р2/РВ",E130:AI130)+SUMIF(E129:AI129,"=Р",E130:AI130)+SUMIF(E129:AI129,"=Р1",E130:AI130)+SUMIF(E129:AI129,"=ВЧ1",E130:AI130)+SUMIF(E129:AI129,"=РН",E130:AI130)+SUMIF(E129:AI129,"=ВЧ",E130:AI130),0)+AL129</f>
        <v>164</v>
      </c>
      <c r="AL129" s="211">
        <f>IFERROR(SUMIF(E129:AI129,"=НУ",E130:AI130),0)</f>
        <v>0</v>
      </c>
      <c r="AM129" s="211">
        <f>IFERROR(SUMIF(E129:AI129,"=РН",E130:AI130)+SUMIF(E129:AI129,"=РН/РВ",E130:AI130)+SUMIFS(E130:AI130,E129:AI129,"=Р2",E130:AI130,"=8"),0)</f>
        <v>56</v>
      </c>
      <c r="AN129" s="211">
        <f>IFERROR(SUMIF(E129:AI129,"=ВЧ",E130:AI130)+SUMIF(E129:AI129,"=ВЧ/РВ",E130:AI130)+CEILING(COUNTIFS(E129:AI129,"=Р2",E130:AI130,"=7")*4,1)+CEILING(COUNTIFS(E129:AI129,"=Р2/РВ",E130:AI130,"=7")*4,1)+SUMIFS(E130:AI130,E129:AI129,"=Р1/РВ",E130:AI130,"=12")/6+SUMIFS(E130:AI130,E129:AI129,"=ВЧ2/РВ",E130:AI130,"=4")/2+SUMIFS(E130:AI130,E129:AI129,"=Р1",E130:AI130,"=12")/6+SUMIFS(E130:AI130,E129:AI129,"=Р1",E130:AI130,"=8")/4+SUMIF(E129:AI129,"=ВЧ1",E130:AI130)/2,0)+CEILING(SUMIFS(E130:AI130,E129:AI129,"=Р",E130:AI130,"=13")/4,4)+CEILING(SUMIFS(E130:AI130,E129:AI129,"=Р",E130:AI130,"=14")/4,4)+CEILING(SUMIFS(E130:AI130,E129:AI129,"=Р",E130:AI130,"=15")/4,4)+SUMIFS(E130:AI130,E129:AI129,"=Р",E130:AI130,"=16")/4+CEILING(SUMIFS(E130:AI130,E129:AI129,"=Р1",E130:AI130,"=13")/4,4)+CEILING(SUMIFS(E130:AI130,E129:AI129,"=Р1",E130:AI130,"=14")/4,4)+CEILING(SUMIFS(E130:AI130,E129:AI129,"=Р1",E130:AI130,"=15")/4,4)+SUMIFS(E130:AI130,E129:AI129,"=Р1",E130:AI130,"=16")/4</f>
        <v>28</v>
      </c>
      <c r="AO129" s="211">
        <f>IFERROR(SUMIF(E129:AI129,"=РВ",E130:AI130)+SUMIF(E129:AI129,"=ВЧ/РВ",E130:AI130)+SUMIF(E129:AI129,"=РН/РВ",E130:AI130)+SUMIF(E129:AI129,"=Р1/РВ",E130:AI130)+SUMIF(E129:AI129,"=ВЧ2/РВ",E130:AI130)+SUMIF(E129:AI129,"=Р2/РВ",E130:AI130),0)</f>
        <v>0</v>
      </c>
      <c r="AP129" s="211">
        <f>IFERROR(COUNTIF(E129:AI129,"=ВВ")+COUNTIF(E129:AI129,"=Р1/ВВ")+COUNTIF(E129:AI129,"=РН/ВВ")+COUNTIF(E129:AI129,"=ВЧ/ВВ"),0)</f>
        <v>14</v>
      </c>
      <c r="AQ129" s="211">
        <f>SUM(AR129:AZ129)</f>
        <v>0</v>
      </c>
      <c r="AR129" s="211">
        <f>IFERROR(SUMIF(E129:AI129,"=В",E130:AI130)+SUMIF(E129:AI129,"=Ч",E130:AI130)+SUMIF(E129:AI129,"=ВБ",E130:AI130),0)</f>
        <v>0</v>
      </c>
      <c r="AS129" s="211">
        <f>IFERROR(SUMIF(E129:AI129,"=Н",E130:AI130),0)</f>
        <v>0</v>
      </c>
      <c r="AT129" s="211">
        <f>IFERROR(SUMIF(E129:AI129,"=НА",E130:AI130),0)</f>
        <v>0</v>
      </c>
      <c r="AU129" s="211">
        <f>IFERROR(SUMIF(E129:AI129,"=ВП",E130:AI130),0)</f>
        <v>0</v>
      </c>
      <c r="AV129" s="211">
        <f>IFERROR(SUMIF(E129:AI129,"=ДД",E130:AI130),0)</f>
        <v>0</v>
      </c>
      <c r="AW129" s="202">
        <f>IFERROR(SUMIF(E129:AI129,"=ДО",E130:AI130),0)</f>
        <v>0</v>
      </c>
      <c r="AX129" s="211">
        <f>IFERROR(SUMIF(E129:AI129,"=ТН",E130:AI130),0)</f>
        <v>0</v>
      </c>
      <c r="AY129" s="211">
        <f>IFERROR(SUMIF(E129:AI129,"=ВД",E130:AI130),0)</f>
        <v>0</v>
      </c>
      <c r="AZ129" s="312">
        <f>IFERROR(SUMIF(E129:AI129,"=ІН",E130:AI130),0)+SUMIF(E129:AI129,"=НЗ",E130:AI130)</f>
        <v>0</v>
      </c>
    </row>
    <row r="130" spans="1:52" s="163" customFormat="1" ht="25.5" customHeight="1" thickBot="1" x14ac:dyDescent="0.25">
      <c r="A130" s="331"/>
      <c r="B130" s="331"/>
      <c r="C130" s="229"/>
      <c r="D130" s="229"/>
      <c r="E130" s="192"/>
      <c r="F130" s="192"/>
      <c r="G130" s="192">
        <v>15</v>
      </c>
      <c r="H130" s="192">
        <v>8</v>
      </c>
      <c r="I130" s="192"/>
      <c r="J130" s="192"/>
      <c r="K130" s="192">
        <v>13</v>
      </c>
      <c r="L130" s="192">
        <v>8</v>
      </c>
      <c r="M130" s="192"/>
      <c r="N130" s="192"/>
      <c r="O130" s="192">
        <v>16</v>
      </c>
      <c r="P130" s="192">
        <v>8</v>
      </c>
      <c r="Q130" s="192"/>
      <c r="R130" s="192"/>
      <c r="S130" s="192">
        <v>16</v>
      </c>
      <c r="T130" s="192">
        <v>8</v>
      </c>
      <c r="U130" s="192"/>
      <c r="V130" s="192"/>
      <c r="W130" s="192">
        <v>16</v>
      </c>
      <c r="X130" s="192">
        <v>8</v>
      </c>
      <c r="Y130" s="192"/>
      <c r="Z130" s="192"/>
      <c r="AA130" s="192">
        <v>16</v>
      </c>
      <c r="AB130" s="192">
        <v>8</v>
      </c>
      <c r="AC130" s="192"/>
      <c r="AD130" s="192"/>
      <c r="AE130" s="192">
        <v>16</v>
      </c>
      <c r="AF130" s="192">
        <v>8</v>
      </c>
      <c r="AG130" s="192" t="s">
        <v>491</v>
      </c>
      <c r="AH130" s="192" t="s">
        <v>492</v>
      </c>
      <c r="AI130" s="192" t="s">
        <v>493</v>
      </c>
      <c r="AJ130" s="335"/>
      <c r="AK130" s="334"/>
      <c r="AL130" s="286"/>
      <c r="AM130" s="286"/>
      <c r="AN130" s="212"/>
      <c r="AO130" s="286"/>
      <c r="AP130" s="212"/>
      <c r="AQ130" s="286"/>
      <c r="AR130" s="286"/>
      <c r="AS130" s="286"/>
      <c r="AT130" s="286"/>
      <c r="AU130" s="286"/>
      <c r="AV130" s="286"/>
      <c r="AW130" s="203"/>
      <c r="AX130" s="286"/>
      <c r="AY130" s="286"/>
      <c r="AZ130" s="329"/>
    </row>
    <row r="131" spans="1:52" s="163" customFormat="1" ht="21.75" customHeight="1" x14ac:dyDescent="0.2">
      <c r="A131" s="330">
        <f t="shared" si="44"/>
        <v>58</v>
      </c>
      <c r="B131" s="330" t="s">
        <v>431</v>
      </c>
      <c r="C131" s="228">
        <v>742</v>
      </c>
      <c r="D131" s="228" t="s">
        <v>72</v>
      </c>
      <c r="E131" s="191" t="s">
        <v>52</v>
      </c>
      <c r="F131" s="191" t="s">
        <v>52</v>
      </c>
      <c r="G131" s="191" t="s">
        <v>52</v>
      </c>
      <c r="H131" s="191" t="s">
        <v>52</v>
      </c>
      <c r="I131" s="191" t="s">
        <v>52</v>
      </c>
      <c r="J131" s="191" t="s">
        <v>52</v>
      </c>
      <c r="K131" s="191" t="s">
        <v>52</v>
      </c>
      <c r="L131" s="191" t="s">
        <v>52</v>
      </c>
      <c r="M131" s="191" t="s">
        <v>52</v>
      </c>
      <c r="N131" s="191" t="s">
        <v>52</v>
      </c>
      <c r="O131" s="191" t="s">
        <v>52</v>
      </c>
      <c r="P131" s="191" t="s">
        <v>52</v>
      </c>
      <c r="Q131" s="191" t="s">
        <v>52</v>
      </c>
      <c r="R131" s="191" t="s">
        <v>52</v>
      </c>
      <c r="S131" s="191" t="s">
        <v>52</v>
      </c>
      <c r="T131" s="191" t="s">
        <v>52</v>
      </c>
      <c r="U131" s="191" t="s">
        <v>52</v>
      </c>
      <c r="V131" s="191" t="s">
        <v>52</v>
      </c>
      <c r="W131" s="191" t="s">
        <v>52</v>
      </c>
      <c r="X131" s="191" t="s">
        <v>52</v>
      </c>
      <c r="Y131" s="191" t="s">
        <v>52</v>
      </c>
      <c r="Z131" s="191" t="s">
        <v>52</v>
      </c>
      <c r="AA131" s="191" t="s">
        <v>52</v>
      </c>
      <c r="AB131" s="191" t="s">
        <v>52</v>
      </c>
      <c r="AC131" s="191" t="s">
        <v>52</v>
      </c>
      <c r="AD131" s="191" t="s">
        <v>52</v>
      </c>
      <c r="AE131" s="191" t="s">
        <v>52</v>
      </c>
      <c r="AF131" s="191" t="s">
        <v>142</v>
      </c>
      <c r="AG131" s="191"/>
      <c r="AH131" s="191"/>
      <c r="AI131" s="191"/>
      <c r="AJ131" s="332">
        <f>IFERROR(COUNTIF(E131:AI131,"=Р")+COUNTIF(E131:AI131,"=Р1")+COUNTIF(E131:AI131,"=ВЧ")+COUNTIF(E131:AI131,"=РН")+COUNTIF(E131:AI131,"=Р2")+COUNTIF(E131:AI131,"=Р1/РВ")+COUNTIF(E131:AI131,"=Р2/РВ")+COUNTIF(E131:AI131,"=ВЧ/РВ")+COUNTIF(E131:AI131,"=РН/РВ"),0)</f>
        <v>0</v>
      </c>
      <c r="AK131" s="333">
        <f>IFERROR(SUMIF(E131:AI131,"=Р2",E132:AI132)+SUMIF(E131:AI131,"=ВЧ/РВ",E132:AI132)+SUMIF(E131:AI131,"=РН/РВ",E132:AI132)+SUMIF(E131:AI131,"=Р1/РВ",E132:AI132)+SUMIF(E131:AI131,"=ВЧ2/РВ",E132:AI132)+SUMIF(E131:AI131,"=Р2/РВ",E132:AI132)+SUMIF(E131:AI131,"=Р",E132:AI132)+SUMIF(E131:AI131,"=Р1",E132:AI132)+SUMIF(E131:AI131,"=ВЧ1",E132:AI132)+SUMIF(E131:AI131,"=РН",E132:AI132)+SUMIF(E131:AI131,"=ВЧ",E132:AI132),0)+AL131</f>
        <v>0</v>
      </c>
      <c r="AL131" s="211">
        <f>IFERROR(SUMIF(E131:AI131,"=НУ",E132:AI132),0)</f>
        <v>0</v>
      </c>
      <c r="AM131" s="211">
        <f>IFERROR(SUMIF(E131:AI131,"=РН",E132:AI132)+SUMIF(E131:AI131,"=РН/РВ",E132:AI132)+SUMIFS(E132:AI132,E131:AI131,"=Р2",E132:AI132,"=8"),0)</f>
        <v>0</v>
      </c>
      <c r="AN131" s="211">
        <f>IFERROR(SUMIF(E131:AI131,"=ВЧ",E132:AI132)+SUMIF(E131:AI131,"=ВЧ/РВ",E132:AI132)+CEILING(COUNTIFS(E131:AI131,"=Р2",E132:AI132,"=7")*4,1)+CEILING(COUNTIFS(E131:AI131,"=Р2/РВ",E132:AI132,"=7")*4,1)+SUMIFS(E132:AI132,E131:AI131,"=Р1/РВ",E132:AI132,"=12")/6+SUMIFS(E132:AI132,E131:AI131,"=ВЧ2/РВ",E132:AI132,"=4")/2+SUMIFS(E132:AI132,E131:AI131,"=Р1",E132:AI132,"=12")/6+SUMIFS(E132:AI132,E131:AI131,"=Р1",E132:AI132,"=8")/4+SUMIF(E131:AI131,"=ВЧ1",E132:AI132)/2,0)+CEILING(SUMIFS(E132:AI132,E131:AI131,"=Р",E132:AI132,"=13")/4,4)+CEILING(SUMIFS(E132:AI132,E131:AI131,"=Р",E132:AI132,"=14")/4,4)+CEILING(SUMIFS(E132:AI132,E131:AI131,"=Р",E132:AI132,"=15")/4,4)+SUMIFS(E132:AI132,E131:AI131,"=Р",E132:AI132,"=16")/4+CEILING(SUMIFS(E132:AI132,E131:AI131,"=Р1",E132:AI132,"=13")/4,4)+CEILING(SUMIFS(E132:AI132,E131:AI131,"=Р1",E132:AI132,"=14")/4,4)+CEILING(SUMIFS(E132:AI132,E131:AI131,"=Р1",E132:AI132,"=15")/4,4)+SUMIFS(E132:AI132,E131:AI131,"=Р1",E132:AI132,"=16")/4</f>
        <v>0</v>
      </c>
      <c r="AO131" s="211">
        <f>IFERROR(SUMIF(E131:AI131,"=РВ",E132:AI132)+SUMIF(E131:AI131,"=ВЧ/РВ",E132:AI132)+SUMIF(E131:AI131,"=РН/РВ",E132:AI132)+SUMIF(E131:AI131,"=Р1/РВ",E132:AI132)+SUMIF(E131:AI131,"=ВЧ2/РВ",E132:AI132)+SUMIF(E131:AI131,"=Р2/РВ",E132:AI132),0)</f>
        <v>0</v>
      </c>
      <c r="AP131" s="211">
        <f>IFERROR(COUNTIF(E131:AI131,"=ВВ")+COUNTIF(E131:AI131,"=Р1/ВВ")+COUNTIF(E131:AI131,"=РН/ВВ")+COUNTIF(E131:AI131,"=ВЧ/ВВ"),0)</f>
        <v>1</v>
      </c>
      <c r="AQ131" s="211">
        <f>SUM(AR131:AZ131)</f>
        <v>164</v>
      </c>
      <c r="AR131" s="211">
        <f>IFERROR(SUMIF(E131:AI131,"=В",E132:AI132)+SUMIF(E131:AI131,"=Ч",E132:AI132)+SUMIF(E131:AI131,"=ВБ",E132:AI132),0)</f>
        <v>0</v>
      </c>
      <c r="AS131" s="211">
        <f>IFERROR(SUMIF(E131:AI131,"=Н",E132:AI132),0)</f>
        <v>0</v>
      </c>
      <c r="AT131" s="211">
        <f>IFERROR(SUMIF(E131:AI131,"=НА",E132:AI132),0)</f>
        <v>0</v>
      </c>
      <c r="AU131" s="211">
        <f>IFERROR(SUMIF(E131:AI131,"=ВП",E132:AI132),0)</f>
        <v>0</v>
      </c>
      <c r="AV131" s="211">
        <f>IFERROR(SUMIF(E131:AI131,"=ДД",E132:AI132),0)</f>
        <v>0</v>
      </c>
      <c r="AW131" s="202">
        <f>IFERROR(SUMIF(E131:AI131,"=ДО",E132:AI132),0)</f>
        <v>0</v>
      </c>
      <c r="AX131" s="211">
        <f>IFERROR(SUMIF(E131:AI131,"=ТН",E132:AI132),0)</f>
        <v>164</v>
      </c>
      <c r="AY131" s="211">
        <f>IFERROR(SUMIF(E131:AI131,"=ВД",E132:AI132),0)</f>
        <v>0</v>
      </c>
      <c r="AZ131" s="312">
        <f>IFERROR(SUMIF(E131:AI131,"=ІН",E132:AI132),0)+SUMIF(E131:AI131,"=НЗ",E132:AI132)</f>
        <v>0</v>
      </c>
    </row>
    <row r="132" spans="1:52" s="163" customFormat="1" ht="21.75" customHeight="1" thickBot="1" x14ac:dyDescent="0.25">
      <c r="A132" s="331"/>
      <c r="B132" s="331"/>
      <c r="C132" s="229"/>
      <c r="D132" s="229"/>
      <c r="E132" s="192">
        <v>16</v>
      </c>
      <c r="F132" s="192">
        <v>8</v>
      </c>
      <c r="G132" s="192"/>
      <c r="H132" s="192"/>
      <c r="I132" s="192">
        <v>16</v>
      </c>
      <c r="J132" s="192">
        <v>8</v>
      </c>
      <c r="K132" s="192"/>
      <c r="L132" s="192"/>
      <c r="M132" s="192">
        <v>16</v>
      </c>
      <c r="N132" s="192">
        <v>8</v>
      </c>
      <c r="O132" s="192"/>
      <c r="P132" s="192"/>
      <c r="Q132" s="192">
        <v>16</v>
      </c>
      <c r="R132" s="192">
        <v>8</v>
      </c>
      <c r="S132" s="192"/>
      <c r="T132" s="192"/>
      <c r="U132" s="192">
        <v>14</v>
      </c>
      <c r="V132" s="192">
        <v>8</v>
      </c>
      <c r="W132" s="192"/>
      <c r="X132" s="192"/>
      <c r="Y132" s="192">
        <v>14</v>
      </c>
      <c r="Z132" s="192">
        <v>8</v>
      </c>
      <c r="AA132" s="192"/>
      <c r="AB132" s="192"/>
      <c r="AC132" s="192">
        <v>16</v>
      </c>
      <c r="AD132" s="192">
        <v>8</v>
      </c>
      <c r="AE132" s="192"/>
      <c r="AF132" s="192"/>
      <c r="AG132" s="192" t="s">
        <v>491</v>
      </c>
      <c r="AH132" s="192" t="s">
        <v>492</v>
      </c>
      <c r="AI132" s="192" t="s">
        <v>493</v>
      </c>
      <c r="AJ132" s="325"/>
      <c r="AK132" s="334"/>
      <c r="AL132" s="286"/>
      <c r="AM132" s="286"/>
      <c r="AN132" s="212"/>
      <c r="AO132" s="286"/>
      <c r="AP132" s="212"/>
      <c r="AQ132" s="286"/>
      <c r="AR132" s="286"/>
      <c r="AS132" s="286"/>
      <c r="AT132" s="286"/>
      <c r="AU132" s="286"/>
      <c r="AV132" s="286"/>
      <c r="AW132" s="203"/>
      <c r="AX132" s="286"/>
      <c r="AY132" s="286"/>
      <c r="AZ132" s="329"/>
    </row>
    <row r="133" spans="1:52" ht="20.100000000000001" customHeight="1" x14ac:dyDescent="0.2">
      <c r="A133" s="330">
        <f t="shared" si="44"/>
        <v>59</v>
      </c>
      <c r="B133" s="330" t="s">
        <v>254</v>
      </c>
      <c r="C133" s="228">
        <v>1561</v>
      </c>
      <c r="D133" s="228" t="s">
        <v>65</v>
      </c>
      <c r="E133" s="191" t="s">
        <v>142</v>
      </c>
      <c r="F133" s="191" t="s">
        <v>142</v>
      </c>
      <c r="G133" s="191" t="s">
        <v>4</v>
      </c>
      <c r="H133" s="191" t="s">
        <v>4</v>
      </c>
      <c r="I133" s="191" t="s">
        <v>4</v>
      </c>
      <c r="J133" s="191" t="s">
        <v>4</v>
      </c>
      <c r="K133" s="191" t="s">
        <v>4</v>
      </c>
      <c r="L133" s="191" t="s">
        <v>142</v>
      </c>
      <c r="M133" s="191" t="s">
        <v>142</v>
      </c>
      <c r="N133" s="191" t="s">
        <v>4</v>
      </c>
      <c r="O133" s="191" t="s">
        <v>4</v>
      </c>
      <c r="P133" s="191" t="s">
        <v>4</v>
      </c>
      <c r="Q133" s="191" t="s">
        <v>4</v>
      </c>
      <c r="R133" s="191" t="s">
        <v>4</v>
      </c>
      <c r="S133" s="191" t="s">
        <v>142</v>
      </c>
      <c r="T133" s="191" t="s">
        <v>142</v>
      </c>
      <c r="U133" s="191" t="s">
        <v>4</v>
      </c>
      <c r="V133" s="191" t="s">
        <v>4</v>
      </c>
      <c r="W133" s="191" t="s">
        <v>4</v>
      </c>
      <c r="X133" s="191" t="s">
        <v>4</v>
      </c>
      <c r="Y133" s="191" t="s">
        <v>4</v>
      </c>
      <c r="Z133" s="191" t="s">
        <v>142</v>
      </c>
      <c r="AA133" s="191" t="s">
        <v>142</v>
      </c>
      <c r="AB133" s="191" t="s">
        <v>4</v>
      </c>
      <c r="AC133" s="191" t="s">
        <v>4</v>
      </c>
      <c r="AD133" s="191" t="s">
        <v>4</v>
      </c>
      <c r="AE133" s="191" t="s">
        <v>4</v>
      </c>
      <c r="AF133" s="191" t="s">
        <v>4</v>
      </c>
      <c r="AG133" s="191" t="s">
        <v>142</v>
      </c>
      <c r="AH133" s="191" t="s">
        <v>142</v>
      </c>
      <c r="AI133" s="191" t="s">
        <v>4</v>
      </c>
      <c r="AJ133" s="324">
        <f>IFERROR(COUNTIF(E133:AI133,"=Р")+COUNTIF(E133:AI133,"=Р1")+COUNTIF(E133:AI133,"=ВЧ")+COUNTIF(E133:AI133,"=РН")+COUNTIF(E133:AI133,"=Р2")+COUNTIF(E133:AI133,"=Р1/РВ")+COUNTIF(E133:AI133,"=Р2/РВ")+COUNTIF(E133:AI133,"=ВЧ/РВ")+COUNTIF(E133:AI133,"=РН/РВ"),0)</f>
        <v>21</v>
      </c>
      <c r="AK133" s="333">
        <f>IFERROR(SUMIF(E133:AI133,"=Р2",E134:AI134)+SUMIF(E133:AI133,"=ВЧ/РВ",E134:AI134)+SUMIF(E133:AI133,"=РН/РВ",E134:AI134)+SUMIF(E133:AI133,"=Р1/РВ",E134:AI134)+SUMIF(E133:AI133,"=ВЧ2/РВ",E134:AI134)+SUMIF(E133:AI133,"=Р2/РВ",E134:AI134)+SUMIF(E133:AI133,"=Р",E134:AI134)+SUMIF(E133:AI133,"=Р1",E134:AI134)+SUMIF(E133:AI133,"=ВЧ1",E134:AI134)+SUMIF(E133:AI133,"=РН",E134:AI134)+SUMIF(E133:AI133,"=ВЧ",E134:AI134),0)+AL133</f>
        <v>167.99999999999997</v>
      </c>
      <c r="AL133" s="211">
        <f>IFERROR(SUMIF(E133:AI133,"=НУ",E134:AI134),0)</f>
        <v>0</v>
      </c>
      <c r="AM133" s="211">
        <f>IFERROR(SUMIF(E133:AI133,"=РН",E134:AI134)+SUMIF(E133:AI133,"=РН/РВ",E134:AI134)+SUMIFS(E134:AI134,E133:AI133,"=Р2",E134:AI134,"=8"),0)</f>
        <v>0</v>
      </c>
      <c r="AN133" s="211">
        <f>IFERROR(SUMIF(E133:AI133,"=ВЧ",E134:AI134)+SUMIF(E133:AI133,"=ВЧ/РВ",E134:AI134)+CEILING(COUNTIFS(E133:AI133,"=Р2",E134:AI134,"=7")*4,1)+CEILING(COUNTIFS(E133:AI133,"=Р2/РВ",E134:AI134,"=7")*4,1)+SUMIFS(E134:AI134,E133:AI133,"=Р1/РВ",E134:AI134,"=12")/6+SUMIFS(E134:AI134,E133:AI133,"=ВЧ2/РВ",E134:AI134,"=4")/2+SUMIFS(E134:AI134,E133:AI133,"=Р1",E134:AI134,"=12")/6+SUMIFS(E134:AI134,E133:AI133,"=Р1",E134:AI134,"=8")/4+SUMIF(E133:AI133,"=ВЧ1",E134:AI134)/2,0)+CEILING(SUMIFS(E134:AI134,E133:AI133,"=Р",E134:AI134,"=13")/4,4)+CEILING(SUMIFS(E134:AI134,E133:AI133,"=Р",E134:AI134,"=14")/4,4)+CEILING(SUMIFS(E134:AI134,E133:AI133,"=Р",E134:AI134,"=15")/4,4)+SUMIFS(E134:AI134,E133:AI133,"=Р",E134:AI134,"=16")/4+CEILING(SUMIFS(E134:AI134,E133:AI133,"=Р1",E134:AI134,"=13")/4,4)+CEILING(SUMIFS(E134:AI134,E133:AI133,"=Р1",E134:AI134,"=14")/4,4)+CEILING(SUMIFS(E134:AI134,E133:AI133,"=Р1",E134:AI134,"=15")/4,4)+SUMIFS(E134:AI134,E133:AI133,"=Р1",E134:AI134,"=16")/4</f>
        <v>0</v>
      </c>
      <c r="AO133" s="211">
        <f>IFERROR(SUMIF(E133:AI133,"=РВ",E134:AI134)+SUMIF(E133:AI133,"=ВЧ/РВ",E134:AI134)+SUMIF(E133:AI133,"=РН/РВ",E134:AI134)+SUMIF(E133:AI133,"=Р1/РВ",E134:AI134)+SUMIF(E133:AI133,"=ВЧ2/РВ",E134:AI134)+SUMIF(E133:AI133,"=Р2/РВ",E134:AI134),0)</f>
        <v>0</v>
      </c>
      <c r="AP133" s="211">
        <f>IFERROR(COUNTIF(E133:AI133,"=ВВ")+COUNTIF(E133:AI133,"=Р1/ВВ")+COUNTIF(E133:AI133,"=РН/ВВ")+COUNTIF(E133:AI133,"=ВЧ/ВВ"),0)</f>
        <v>10</v>
      </c>
      <c r="AQ133" s="211">
        <f>SUM(AR133:AZ133)</f>
        <v>0</v>
      </c>
      <c r="AR133" s="211">
        <f>IFERROR(SUMIF(E133:AI133,"=В",E134:AI134)+SUMIF(E133:AI133,"=Ч",E134:AI134)+SUMIF(E133:AI133,"=ВБ",E134:AI134),0)</f>
        <v>0</v>
      </c>
      <c r="AS133" s="211">
        <f>IFERROR(SUMIF(E133:AI133,"=Н",E134:AI134),0)</f>
        <v>0</v>
      </c>
      <c r="AT133" s="211">
        <f>IFERROR(SUMIF(E133:AI133,"=НА",E134:AI134),0)</f>
        <v>0</v>
      </c>
      <c r="AU133" s="211">
        <f>IFERROR(SUMIF(E133:AI133,"=ВП",E134:AI134),0)</f>
        <v>0</v>
      </c>
      <c r="AV133" s="211">
        <f>IFERROR(SUMIF(E133:AI133,"=ДД",E134:AI134),0)</f>
        <v>0</v>
      </c>
      <c r="AW133" s="202">
        <f>IFERROR(SUMIF(E133:AI133,"=ДО",E134:AI134),0)</f>
        <v>0</v>
      </c>
      <c r="AX133" s="211">
        <f>IFERROR(SUMIF(E133:AI133,"=ТН",E134:AI134),0)</f>
        <v>0</v>
      </c>
      <c r="AY133" s="211">
        <f>IFERROR(SUMIF(E133:AI133,"=ВД",E134:AI134),0)</f>
        <v>0</v>
      </c>
      <c r="AZ133" s="312">
        <f>IFERROR(SUMIF(E133:AI133,"=ІН",E134:AI134),0)+SUMIF(E133:AI133,"=НЗ",E134:AI134)</f>
        <v>0</v>
      </c>
    </row>
    <row r="134" spans="1:52" ht="25.5" customHeight="1" thickBot="1" x14ac:dyDescent="0.25">
      <c r="A134" s="331"/>
      <c r="B134" s="331"/>
      <c r="C134" s="229"/>
      <c r="D134" s="229"/>
      <c r="E134" s="192"/>
      <c r="F134" s="192"/>
      <c r="G134" s="192">
        <v>8.1999999999999993</v>
      </c>
      <c r="H134" s="192">
        <v>8.1999999999999993</v>
      </c>
      <c r="I134" s="192">
        <v>8.1999999999999993</v>
      </c>
      <c r="J134" s="192">
        <v>8.1999999999999993</v>
      </c>
      <c r="K134" s="192">
        <v>7</v>
      </c>
      <c r="L134" s="192"/>
      <c r="M134" s="192"/>
      <c r="N134" s="192">
        <v>8.1999999999999993</v>
      </c>
      <c r="O134" s="192">
        <v>8.1999999999999993</v>
      </c>
      <c r="P134" s="192">
        <v>8.1999999999999993</v>
      </c>
      <c r="Q134" s="192">
        <v>8.1999999999999993</v>
      </c>
      <c r="R134" s="192">
        <v>7.2</v>
      </c>
      <c r="S134" s="192"/>
      <c r="T134" s="192"/>
      <c r="U134" s="192">
        <v>8.1999999999999993</v>
      </c>
      <c r="V134" s="192">
        <v>8.1999999999999993</v>
      </c>
      <c r="W134" s="192">
        <v>8.1999999999999993</v>
      </c>
      <c r="X134" s="192">
        <v>8.1999999999999993</v>
      </c>
      <c r="Y134" s="192">
        <v>7.2</v>
      </c>
      <c r="Z134" s="192"/>
      <c r="AA134" s="192"/>
      <c r="AB134" s="192">
        <v>8.1999999999999993</v>
      </c>
      <c r="AC134" s="192">
        <v>8.1999999999999993</v>
      </c>
      <c r="AD134" s="192">
        <v>8.1999999999999993</v>
      </c>
      <c r="AE134" s="192">
        <v>8.1999999999999993</v>
      </c>
      <c r="AF134" s="192">
        <v>7.2</v>
      </c>
      <c r="AG134" s="192"/>
      <c r="AH134" s="192"/>
      <c r="AI134" s="192">
        <v>8.1999999999999993</v>
      </c>
      <c r="AJ134" s="335"/>
      <c r="AK134" s="334"/>
      <c r="AL134" s="286"/>
      <c r="AM134" s="286"/>
      <c r="AN134" s="212"/>
      <c r="AO134" s="286"/>
      <c r="AP134" s="212"/>
      <c r="AQ134" s="286"/>
      <c r="AR134" s="286"/>
      <c r="AS134" s="286"/>
      <c r="AT134" s="286"/>
      <c r="AU134" s="286"/>
      <c r="AV134" s="286"/>
      <c r="AW134" s="203"/>
      <c r="AX134" s="286"/>
      <c r="AY134" s="286"/>
      <c r="AZ134" s="329"/>
    </row>
    <row r="135" spans="1:52" ht="22.5" customHeight="1" x14ac:dyDescent="0.2">
      <c r="A135" s="330">
        <f t="shared" si="44"/>
        <v>60</v>
      </c>
      <c r="B135" s="330" t="s">
        <v>282</v>
      </c>
      <c r="C135" s="228">
        <v>1944</v>
      </c>
      <c r="D135" s="228" t="s">
        <v>65</v>
      </c>
      <c r="E135" s="191" t="s">
        <v>142</v>
      </c>
      <c r="F135" s="191" t="s">
        <v>142</v>
      </c>
      <c r="G135" s="191" t="s">
        <v>4</v>
      </c>
      <c r="H135" s="191" t="s">
        <v>4</v>
      </c>
      <c r="I135" s="191" t="s">
        <v>4</v>
      </c>
      <c r="J135" s="191" t="s">
        <v>4</v>
      </c>
      <c r="K135" s="191" t="s">
        <v>4</v>
      </c>
      <c r="L135" s="191" t="s">
        <v>142</v>
      </c>
      <c r="M135" s="191" t="s">
        <v>142</v>
      </c>
      <c r="N135" s="191" t="s">
        <v>4</v>
      </c>
      <c r="O135" s="191" t="s">
        <v>4</v>
      </c>
      <c r="P135" s="191" t="s">
        <v>4</v>
      </c>
      <c r="Q135" s="191" t="s">
        <v>4</v>
      </c>
      <c r="R135" s="191" t="s">
        <v>4</v>
      </c>
      <c r="S135" s="191" t="s">
        <v>142</v>
      </c>
      <c r="T135" s="191" t="s">
        <v>142</v>
      </c>
      <c r="U135" s="191" t="s">
        <v>4</v>
      </c>
      <c r="V135" s="191" t="s">
        <v>4</v>
      </c>
      <c r="W135" s="191" t="s">
        <v>4</v>
      </c>
      <c r="X135" s="191" t="s">
        <v>4</v>
      </c>
      <c r="Y135" s="191" t="s">
        <v>52</v>
      </c>
      <c r="Z135" s="191" t="s">
        <v>52</v>
      </c>
      <c r="AA135" s="191" t="s">
        <v>52</v>
      </c>
      <c r="AB135" s="191" t="s">
        <v>52</v>
      </c>
      <c r="AC135" s="191" t="s">
        <v>52</v>
      </c>
      <c r="AD135" s="191" t="s">
        <v>52</v>
      </c>
      <c r="AE135" s="191" t="s">
        <v>52</v>
      </c>
      <c r="AF135" s="191" t="s">
        <v>52</v>
      </c>
      <c r="AG135" s="191" t="s">
        <v>52</v>
      </c>
      <c r="AH135" s="191" t="s">
        <v>52</v>
      </c>
      <c r="AI135" s="191" t="s">
        <v>52</v>
      </c>
      <c r="AJ135" s="332">
        <f>IFERROR(COUNTIF(E135:AI135,"=Р")+COUNTIF(E135:AI135,"=Р1")+COUNTIF(E135:AI135,"=ВЧ")+COUNTIF(E135:AI135,"=РН")+COUNTIF(E135:AI135,"=Р2")+COUNTIF(E135:AI135,"=Р1/РВ")+COUNTIF(E135:AI135,"=Р2/РВ")+COUNTIF(E135:AI135,"=ВЧ/РВ")+COUNTIF(E135:AI135,"=РН/РВ"),0)</f>
        <v>14</v>
      </c>
      <c r="AK135" s="333">
        <f>IFERROR(SUMIF(E135:AI135,"=Р2",E136:AI136)+SUMIF(E135:AI135,"=ВЧ/РВ",E136:AI136)+SUMIF(E135:AI135,"=РН/РВ",E136:AI136)+SUMIF(E135:AI135,"=Р1/РВ",E136:AI136)+SUMIF(E135:AI135,"=ВЧ2/РВ",E136:AI136)+SUMIF(E135:AI135,"=Р2/РВ",E136:AI136)+SUMIF(E135:AI135,"=Р",E136:AI136)+SUMIF(E135:AI135,"=Р1",E136:AI136)+SUMIF(E135:AI135,"=ВЧ1",E136:AI136)+SUMIF(E135:AI135,"=РН",E136:AI136)+SUMIF(E135:AI135,"=ВЧ",E136:AI136),0)+AL135</f>
        <v>112.60000000000002</v>
      </c>
      <c r="AL135" s="211">
        <f>IFERROR(SUMIF(E135:AI135,"=НУ",E136:AI136),0)</f>
        <v>0</v>
      </c>
      <c r="AM135" s="211">
        <f>IFERROR(SUMIF(E135:AI135,"=РН",E136:AI136)+SUMIF(E135:AI135,"=РН/РВ",E136:AI136)+SUMIFS(E136:AI136,E135:AI135,"=Р2",E136:AI136,"=8"),0)</f>
        <v>0</v>
      </c>
      <c r="AN135" s="211">
        <f>IFERROR(SUMIF(E135:AI135,"=ВЧ",E136:AI136)+SUMIF(E135:AI135,"=ВЧ/РВ",E136:AI136)+CEILING(COUNTIFS(E135:AI135,"=Р2",E136:AI136,"=7")*4,1)+CEILING(COUNTIFS(E135:AI135,"=Р2/РВ",E136:AI136,"=7")*4,1)+SUMIFS(E136:AI136,E135:AI135,"=Р1/РВ",E136:AI136,"=12")/6+SUMIFS(E136:AI136,E135:AI135,"=ВЧ2/РВ",E136:AI136,"=4")/2+SUMIFS(E136:AI136,E135:AI135,"=Р1",E136:AI136,"=12")/6+SUMIFS(E136:AI136,E135:AI135,"=Р1",E136:AI136,"=8")/4+SUMIF(E135:AI135,"=ВЧ1",E136:AI136)/2,0)+CEILING(SUMIFS(E136:AI136,E135:AI135,"=Р",E136:AI136,"=13")/4,4)+CEILING(SUMIFS(E136:AI136,E135:AI135,"=Р",E136:AI136,"=14")/4,4)+CEILING(SUMIFS(E136:AI136,E135:AI135,"=Р",E136:AI136,"=15")/4,4)+SUMIFS(E136:AI136,E135:AI135,"=Р",E136:AI136,"=16")/4+CEILING(SUMIFS(E136:AI136,E135:AI135,"=Р1",E136:AI136,"=13")/4,4)+CEILING(SUMIFS(E136:AI136,E135:AI135,"=Р1",E136:AI136,"=14")/4,4)+CEILING(SUMIFS(E136:AI136,E135:AI135,"=Р1",E136:AI136,"=15")/4,4)+SUMIFS(E136:AI136,E135:AI135,"=Р1",E136:AI136,"=16")/4</f>
        <v>0</v>
      </c>
      <c r="AO135" s="211">
        <f>IFERROR(SUMIF(E135:AI135,"=РВ",E136:AI136)+SUMIF(E135:AI135,"=ВЧ/РВ",E136:AI136)+SUMIF(E135:AI135,"=РН/РВ",E136:AI136)+SUMIF(E135:AI135,"=Р1/РВ",E136:AI136)+SUMIF(E135:AI135,"=ВЧ2/РВ",E136:AI136)+SUMIF(E135:AI135,"=Р2/РВ",E136:AI136),0)</f>
        <v>0</v>
      </c>
      <c r="AP135" s="211">
        <f>IFERROR(COUNTIF(E135:AI135,"=ВВ")+COUNTIF(E135:AI135,"=Р1/ВВ")+COUNTIF(E135:AI135,"=РН/ВВ")+COUNTIF(E135:AI135,"=ВЧ/ВВ"),0)</f>
        <v>6</v>
      </c>
      <c r="AQ135" s="211">
        <f>SUM(AR135:AZ135)</f>
        <v>55.400000000000006</v>
      </c>
      <c r="AR135" s="211">
        <f>IFERROR(SUMIF(E135:AI135,"=В",E136:AI136)+SUMIF(E135:AI135,"=Ч",E136:AI136)+SUMIF(E135:AI135,"=ВБ",E136:AI136),0)</f>
        <v>0</v>
      </c>
      <c r="AS135" s="211">
        <f>IFERROR(SUMIF(E135:AI135,"=Н",E136:AI136),0)</f>
        <v>0</v>
      </c>
      <c r="AT135" s="211">
        <f>IFERROR(SUMIF(E135:AI135,"=НА",E136:AI136),0)</f>
        <v>0</v>
      </c>
      <c r="AU135" s="211">
        <f>IFERROR(SUMIF(E135:AI135,"=ВП",E136:AI136),0)</f>
        <v>0</v>
      </c>
      <c r="AV135" s="211">
        <f>IFERROR(SUMIF(E135:AI135,"=ДД",E136:AI136),0)</f>
        <v>0</v>
      </c>
      <c r="AW135" s="202">
        <f>IFERROR(SUMIF(E135:AI135,"=ДО",E136:AI136),0)</f>
        <v>0</v>
      </c>
      <c r="AX135" s="211">
        <f>IFERROR(SUMIF(E135:AI135,"=ТН",E136:AI136),0)</f>
        <v>55.400000000000006</v>
      </c>
      <c r="AY135" s="211">
        <f>IFERROR(SUMIF(E135:AI135,"=ВД",E136:AI136),0)</f>
        <v>0</v>
      </c>
      <c r="AZ135" s="312">
        <f>IFERROR(SUMIF(E135:AI135,"=ІН",E136:AI136),0)+SUMIF(E135:AI135,"=НЗ",E136:AI136)</f>
        <v>0</v>
      </c>
    </row>
    <row r="136" spans="1:52" ht="20.100000000000001" customHeight="1" thickBot="1" x14ac:dyDescent="0.25">
      <c r="A136" s="331"/>
      <c r="B136" s="331"/>
      <c r="C136" s="229"/>
      <c r="D136" s="229"/>
      <c r="E136" s="192"/>
      <c r="F136" s="192"/>
      <c r="G136" s="192">
        <v>8.1999999999999993</v>
      </c>
      <c r="H136" s="192">
        <v>8.1999999999999993</v>
      </c>
      <c r="I136" s="192">
        <v>8.1999999999999993</v>
      </c>
      <c r="J136" s="192">
        <v>8.1999999999999993</v>
      </c>
      <c r="K136" s="192">
        <v>7</v>
      </c>
      <c r="L136" s="192"/>
      <c r="M136" s="192"/>
      <c r="N136" s="192">
        <v>8.1999999999999993</v>
      </c>
      <c r="O136" s="192">
        <v>8.1999999999999993</v>
      </c>
      <c r="P136" s="192">
        <v>8.1999999999999993</v>
      </c>
      <c r="Q136" s="192">
        <v>8.1999999999999993</v>
      </c>
      <c r="R136" s="192">
        <v>7.2</v>
      </c>
      <c r="S136" s="192"/>
      <c r="T136" s="192"/>
      <c r="U136" s="192">
        <v>8.1999999999999993</v>
      </c>
      <c r="V136" s="192">
        <v>8.1999999999999993</v>
      </c>
      <c r="W136" s="192">
        <v>8.1999999999999993</v>
      </c>
      <c r="X136" s="192">
        <v>8.1999999999999993</v>
      </c>
      <c r="Y136" s="192">
        <v>7.2</v>
      </c>
      <c r="Z136" s="192"/>
      <c r="AA136" s="192"/>
      <c r="AB136" s="192">
        <v>8.1999999999999993</v>
      </c>
      <c r="AC136" s="192">
        <v>8.1999999999999993</v>
      </c>
      <c r="AD136" s="192">
        <v>8.1999999999999993</v>
      </c>
      <c r="AE136" s="192">
        <v>8.1999999999999993</v>
      </c>
      <c r="AF136" s="192">
        <v>7.2</v>
      </c>
      <c r="AG136" s="192"/>
      <c r="AH136" s="192"/>
      <c r="AI136" s="192">
        <v>8.1999999999999993</v>
      </c>
      <c r="AJ136" s="335"/>
      <c r="AK136" s="334"/>
      <c r="AL136" s="286"/>
      <c r="AM136" s="286"/>
      <c r="AN136" s="212"/>
      <c r="AO136" s="286"/>
      <c r="AP136" s="212"/>
      <c r="AQ136" s="286"/>
      <c r="AR136" s="286"/>
      <c r="AS136" s="286"/>
      <c r="AT136" s="286"/>
      <c r="AU136" s="286"/>
      <c r="AV136" s="286"/>
      <c r="AW136" s="203"/>
      <c r="AX136" s="286"/>
      <c r="AY136" s="286"/>
      <c r="AZ136" s="329"/>
    </row>
    <row r="137" spans="1:52" ht="19.5" customHeight="1" x14ac:dyDescent="0.2">
      <c r="A137" s="330">
        <f t="shared" si="44"/>
        <v>61</v>
      </c>
      <c r="B137" s="330" t="s">
        <v>284</v>
      </c>
      <c r="C137" s="228">
        <v>1184</v>
      </c>
      <c r="D137" s="228" t="s">
        <v>65</v>
      </c>
      <c r="E137" s="191" t="s">
        <v>43</v>
      </c>
      <c r="F137" s="191" t="s">
        <v>142</v>
      </c>
      <c r="G137" s="191" t="s">
        <v>142</v>
      </c>
      <c r="H137" s="191" t="s">
        <v>4</v>
      </c>
      <c r="I137" s="191" t="s">
        <v>43</v>
      </c>
      <c r="J137" s="191" t="s">
        <v>142</v>
      </c>
      <c r="K137" s="191" t="s">
        <v>142</v>
      </c>
      <c r="L137" s="191" t="s">
        <v>4</v>
      </c>
      <c r="M137" s="191" t="s">
        <v>43</v>
      </c>
      <c r="N137" s="191" t="s">
        <v>142</v>
      </c>
      <c r="O137" s="191" t="s">
        <v>142</v>
      </c>
      <c r="P137" s="191" t="s">
        <v>4</v>
      </c>
      <c r="Q137" s="191" t="s">
        <v>43</v>
      </c>
      <c r="R137" s="191" t="s">
        <v>142</v>
      </c>
      <c r="S137" s="191" t="s">
        <v>142</v>
      </c>
      <c r="T137" s="191" t="s">
        <v>4</v>
      </c>
      <c r="U137" s="191" t="s">
        <v>43</v>
      </c>
      <c r="V137" s="191" t="s">
        <v>142</v>
      </c>
      <c r="W137" s="191" t="s">
        <v>142</v>
      </c>
      <c r="X137" s="191" t="s">
        <v>4</v>
      </c>
      <c r="Y137" s="191" t="s">
        <v>43</v>
      </c>
      <c r="Z137" s="191" t="s">
        <v>142</v>
      </c>
      <c r="AA137" s="191" t="s">
        <v>142</v>
      </c>
      <c r="AB137" s="191" t="s">
        <v>4</v>
      </c>
      <c r="AC137" s="191" t="s">
        <v>43</v>
      </c>
      <c r="AD137" s="191" t="s">
        <v>142</v>
      </c>
      <c r="AE137" s="191" t="s">
        <v>142</v>
      </c>
      <c r="AF137" s="191" t="s">
        <v>4</v>
      </c>
      <c r="AG137" s="191" t="s">
        <v>43</v>
      </c>
      <c r="AH137" s="191" t="s">
        <v>142</v>
      </c>
      <c r="AI137" s="191" t="s">
        <v>142</v>
      </c>
      <c r="AJ137" s="332">
        <f>IFERROR(COUNTIF(E137:AI137,"=Р")+COUNTIF(E137:AI137,"=Р1")+COUNTIF(E137:AI137,"=ВЧ")+COUNTIF(E137:AI137,"=РН")+COUNTIF(E137:AI137,"=Р2")+COUNTIF(E137:AI137,"=Р1/РВ")+COUNTIF(E137:AI137,"=Р2/РВ")+COUNTIF(E137:AI137,"=ВЧ/РВ")+COUNTIF(E137:AI137,"=РН/РВ"),0)</f>
        <v>15</v>
      </c>
      <c r="AK137" s="333">
        <f>IFERROR(SUMIF(E137:AI137,"=Р2",E138:AI138)+SUMIF(E137:AI137,"=ВЧ/РВ",E138:AI138)+SUMIF(E137:AI137,"=РН/РВ",E138:AI138)+SUMIF(E137:AI137,"=Р1/РВ",E138:AI138)+SUMIF(E137:AI137,"=ВЧ2/РВ",E138:AI138)+SUMIF(E137:AI137,"=Р2/РВ",E138:AI138)+SUMIF(E137:AI137,"=Р",E138:AI138)+SUMIF(E137:AI137,"=Р1",E138:AI138)+SUMIF(E137:AI137,"=ВЧ1",E138:AI138)+SUMIF(E137:AI137,"=РН",E138:AI138)+SUMIF(E137:AI137,"=ВЧ",E138:AI138),0)+AL137</f>
        <v>168</v>
      </c>
      <c r="AL137" s="211">
        <f>IFERROR(SUMIF(E137:AI137,"=НУ",E138:AI138),0)</f>
        <v>0</v>
      </c>
      <c r="AM137" s="211">
        <f>IFERROR(SUMIF(E137:AI137,"=РН",E138:AI138)+SUMIF(E137:AI137,"=РН/РВ",E138:AI138)+SUMIFS(E138:AI138,E137:AI137,"=Р2",E138:AI138,"=8"),0)</f>
        <v>64</v>
      </c>
      <c r="AN137" s="211">
        <f>IFERROR(SUMIF(E137:AI137,"=ВЧ",E138:AI138)+SUMIF(E137:AI137,"=ВЧ/РВ",E138:AI138)+CEILING(COUNTIFS(E137:AI137,"=Р2",E138:AI138,"=7")*4,1)+CEILING(COUNTIFS(E137:AI137,"=Р2/РВ",E138:AI138,"=7")*4,1)+SUMIFS(E138:AI138,E137:AI137,"=Р1/РВ",E138:AI138,"=12")/6+SUMIFS(E138:AI138,E137:AI137,"=ВЧ2/РВ",E138:AI138,"=4")/2+SUMIFS(E138:AI138,E137:AI137,"=Р1",E138:AI138,"=12")/6+SUMIFS(E138:AI138,E137:AI137,"=Р1",E138:AI138,"=8")/4+SUMIF(E137:AI137,"=ВЧ1",E138:AI138)/2,0)+CEILING(SUMIFS(E138:AI138,E137:AI137,"=Р",E138:AI138,"=13")/4,4)+CEILING(SUMIFS(E138:AI138,E137:AI137,"=Р",E138:AI138,"=14")/4,4)+CEILING(SUMIFS(E138:AI138,E137:AI137,"=Р",E138:AI138,"=15")/4,4)+SUMIFS(E138:AI138,E137:AI137,"=Р",E138:AI138,"=16")/4+CEILING(SUMIFS(E138:AI138,E137:AI137,"=Р1",E138:AI138,"=13")/4,4)+CEILING(SUMIFS(E138:AI138,E137:AI137,"=Р1",E138:AI138,"=14")/4,4)+CEILING(SUMIFS(E138:AI138,E137:AI137,"=Р1",E138:AI138,"=15")/4,4)+SUMIFS(E138:AI138,E137:AI137,"=Р1",E138:AI138,"=16")/4</f>
        <v>28</v>
      </c>
      <c r="AO137" s="211">
        <f>IFERROR(SUMIF(E137:AI137,"=РВ",E138:AI138)+SUMIF(E137:AI137,"=ВЧ/РВ",E138:AI138)+SUMIF(E137:AI137,"=РН/РВ",E138:AI138)+SUMIF(E137:AI137,"=Р1/РВ",E138:AI138)+SUMIF(E137:AI137,"=ВЧ2/РВ",E138:AI138)+SUMIF(E137:AI137,"=Р2/РВ",E138:AI138),0)</f>
        <v>0</v>
      </c>
      <c r="AP137" s="211">
        <f>IFERROR(COUNTIF(E137:AI137,"=ВВ")+COUNTIF(E137:AI137,"=Р1/ВВ")+COUNTIF(E137:AI137,"=РН/ВВ")+COUNTIF(E137:AI137,"=ВЧ/ВВ"),0)</f>
        <v>16</v>
      </c>
      <c r="AQ137" s="211">
        <f>SUM(AR137:AZ137)</f>
        <v>0</v>
      </c>
      <c r="AR137" s="211">
        <f>IFERROR(SUMIF(E137:AI137,"=В",E138:AI138)+SUMIF(E137:AI137,"=Ч",E138:AI138)+SUMIF(E137:AI137,"=ВБ",E138:AI138),0)</f>
        <v>0</v>
      </c>
      <c r="AS137" s="211">
        <f>IFERROR(SUMIF(E137:AI137,"=Н",E138:AI138),0)</f>
        <v>0</v>
      </c>
      <c r="AT137" s="211">
        <f>IFERROR(SUMIF(E137:AI137,"=НА",E138:AI138),0)</f>
        <v>0</v>
      </c>
      <c r="AU137" s="211">
        <f>IFERROR(SUMIF(E137:AI137,"=ВП",E138:AI138),0)</f>
        <v>0</v>
      </c>
      <c r="AV137" s="211">
        <f>IFERROR(SUMIF(E137:AI137,"=ДД",E138:AI138),0)</f>
        <v>0</v>
      </c>
      <c r="AW137" s="202">
        <f>IFERROR(SUMIF(E137:AI137,"=ДО",E138:AI138),0)</f>
        <v>0</v>
      </c>
      <c r="AX137" s="211">
        <f>IFERROR(SUMIF(E137:AI137,"=ТН",E138:AI138),0)</f>
        <v>0</v>
      </c>
      <c r="AY137" s="211">
        <f>IFERROR(SUMIF(E137:AI137,"=ВД",E138:AI138),0)</f>
        <v>0</v>
      </c>
      <c r="AZ137" s="312">
        <f>IFERROR(SUMIF(E137:AI137,"=ІН",E138:AI138),0)+SUMIF(E137:AI137,"=НЗ",E138:AI138)</f>
        <v>0</v>
      </c>
    </row>
    <row r="138" spans="1:52" ht="22.5" customHeight="1" thickBot="1" x14ac:dyDescent="0.25">
      <c r="A138" s="331"/>
      <c r="B138" s="331"/>
      <c r="C138" s="229"/>
      <c r="D138" s="229"/>
      <c r="E138" s="192">
        <v>8</v>
      </c>
      <c r="F138" s="192"/>
      <c r="G138" s="192"/>
      <c r="H138" s="192">
        <v>16</v>
      </c>
      <c r="I138" s="192">
        <v>8</v>
      </c>
      <c r="J138" s="192"/>
      <c r="K138" s="192"/>
      <c r="L138" s="192">
        <v>16</v>
      </c>
      <c r="M138" s="192">
        <v>8</v>
      </c>
      <c r="N138" s="192"/>
      <c r="O138" s="192"/>
      <c r="P138" s="192">
        <v>13</v>
      </c>
      <c r="Q138" s="192">
        <v>8</v>
      </c>
      <c r="R138" s="192"/>
      <c r="S138" s="192"/>
      <c r="T138" s="192">
        <v>13</v>
      </c>
      <c r="U138" s="192">
        <v>8</v>
      </c>
      <c r="V138" s="192"/>
      <c r="W138" s="192"/>
      <c r="X138" s="192">
        <v>14</v>
      </c>
      <c r="Y138" s="192">
        <v>8</v>
      </c>
      <c r="Z138" s="192"/>
      <c r="AA138" s="192"/>
      <c r="AB138" s="192">
        <v>16</v>
      </c>
      <c r="AC138" s="192">
        <v>8</v>
      </c>
      <c r="AD138" s="192"/>
      <c r="AE138" s="192"/>
      <c r="AF138" s="192">
        <v>16</v>
      </c>
      <c r="AG138" s="192">
        <v>8</v>
      </c>
      <c r="AH138" s="192"/>
      <c r="AI138" s="192"/>
      <c r="AJ138" s="335"/>
      <c r="AK138" s="334"/>
      <c r="AL138" s="286"/>
      <c r="AM138" s="286"/>
      <c r="AN138" s="212"/>
      <c r="AO138" s="286"/>
      <c r="AP138" s="212"/>
      <c r="AQ138" s="286"/>
      <c r="AR138" s="286"/>
      <c r="AS138" s="286"/>
      <c r="AT138" s="286"/>
      <c r="AU138" s="286"/>
      <c r="AV138" s="286"/>
      <c r="AW138" s="203"/>
      <c r="AX138" s="286"/>
      <c r="AY138" s="286"/>
      <c r="AZ138" s="329"/>
    </row>
    <row r="139" spans="1:52" ht="23.25" customHeight="1" x14ac:dyDescent="0.2">
      <c r="A139" s="330">
        <f t="shared" si="44"/>
        <v>62</v>
      </c>
      <c r="B139" s="330" t="s">
        <v>255</v>
      </c>
      <c r="C139" s="228">
        <v>1190</v>
      </c>
      <c r="D139" s="228" t="s">
        <v>65</v>
      </c>
      <c r="E139" s="191" t="s">
        <v>142</v>
      </c>
      <c r="F139" s="191" t="s">
        <v>142</v>
      </c>
      <c r="G139" s="191" t="s">
        <v>4</v>
      </c>
      <c r="H139" s="191" t="s">
        <v>4</v>
      </c>
      <c r="I139" s="191" t="s">
        <v>4</v>
      </c>
      <c r="J139" s="191" t="s">
        <v>4</v>
      </c>
      <c r="K139" s="191" t="s">
        <v>4</v>
      </c>
      <c r="L139" s="191" t="s">
        <v>142</v>
      </c>
      <c r="M139" s="191" t="s">
        <v>142</v>
      </c>
      <c r="N139" s="191" t="s">
        <v>4</v>
      </c>
      <c r="O139" s="191" t="s">
        <v>4</v>
      </c>
      <c r="P139" s="191" t="s">
        <v>4</v>
      </c>
      <c r="Q139" s="191" t="s">
        <v>4</v>
      </c>
      <c r="R139" s="191" t="s">
        <v>4</v>
      </c>
      <c r="S139" s="191" t="s">
        <v>142</v>
      </c>
      <c r="T139" s="191" t="s">
        <v>142</v>
      </c>
      <c r="U139" s="191" t="s">
        <v>4</v>
      </c>
      <c r="V139" s="191" t="s">
        <v>4</v>
      </c>
      <c r="W139" s="191" t="s">
        <v>4</v>
      </c>
      <c r="X139" s="191" t="s">
        <v>4</v>
      </c>
      <c r="Y139" s="191" t="s">
        <v>4</v>
      </c>
      <c r="Z139" s="191" t="s">
        <v>142</v>
      </c>
      <c r="AA139" s="191" t="s">
        <v>142</v>
      </c>
      <c r="AB139" s="191" t="s">
        <v>4</v>
      </c>
      <c r="AC139" s="191" t="s">
        <v>4</v>
      </c>
      <c r="AD139" s="191" t="s">
        <v>4</v>
      </c>
      <c r="AE139" s="191" t="s">
        <v>4</v>
      </c>
      <c r="AF139" s="191" t="s">
        <v>4</v>
      </c>
      <c r="AG139" s="191" t="s">
        <v>142</v>
      </c>
      <c r="AH139" s="191" t="s">
        <v>142</v>
      </c>
      <c r="AI139" s="191" t="s">
        <v>4</v>
      </c>
      <c r="AJ139" s="332">
        <f>IFERROR(COUNTIF(E139:AI139,"=Р")+COUNTIF(E139:AI139,"=Р1")+COUNTIF(E139:AI139,"=ВЧ")+COUNTIF(E139:AI139,"=РН")+COUNTIF(E139:AI139,"=Р2")+COUNTIF(E139:AI139,"=Р1/РВ")+COUNTIF(E139:AI139,"=Р2/РВ")+COUNTIF(E139:AI139,"=ВЧ/РВ")+COUNTIF(E139:AI139,"=РН/РВ"),0)</f>
        <v>21</v>
      </c>
      <c r="AK139" s="333">
        <f>IFERROR(SUMIF(E139:AI139,"=Р2",E140:AI140)+SUMIF(E139:AI139,"=ВЧ/РВ",E140:AI140)+SUMIF(E139:AI139,"=РН/РВ",E140:AI140)+SUMIF(E139:AI139,"=Р1/РВ",E140:AI140)+SUMIF(E139:AI139,"=ВЧ2/РВ",E140:AI140)+SUMIF(E139:AI139,"=Р2/РВ",E140:AI140)+SUMIF(E139:AI139,"=Р",E140:AI140)+SUMIF(E139:AI139,"=Р1",E140:AI140)+SUMIF(E139:AI139,"=ВЧ1",E140:AI140)+SUMIF(E139:AI139,"=РН",E140:AI140)+SUMIF(E139:AI139,"=ВЧ",E140:AI140),0)+AL139</f>
        <v>167.99999999999997</v>
      </c>
      <c r="AL139" s="211">
        <f>IFERROR(SUMIF(E139:AI139,"=НУ",E140:AI140),0)</f>
        <v>0</v>
      </c>
      <c r="AM139" s="211">
        <f>IFERROR(SUMIF(E139:AI139,"=РН",E140:AI140)+SUMIF(E139:AI139,"=РН/РВ",E140:AI140)+SUMIFS(E140:AI140,E139:AI139,"=Р2",E140:AI140,"=8"),0)</f>
        <v>0</v>
      </c>
      <c r="AN139" s="211">
        <f>IFERROR(SUMIF(E139:AI139,"=ВЧ",E140:AI140)+SUMIF(E139:AI139,"=ВЧ/РВ",E140:AI140)+CEILING(COUNTIFS(E139:AI139,"=Р2",E140:AI140,"=7")*4,1)+CEILING(COUNTIFS(E139:AI139,"=Р2/РВ",E140:AI140,"=7")*4,1)+SUMIFS(E140:AI140,E139:AI139,"=Р1/РВ",E140:AI140,"=12")/6+SUMIFS(E140:AI140,E139:AI139,"=ВЧ2/РВ",E140:AI140,"=4")/2+SUMIFS(E140:AI140,E139:AI139,"=Р1",E140:AI140,"=12")/6+SUMIFS(E140:AI140,E139:AI139,"=Р1",E140:AI140,"=8")/4+SUMIF(E139:AI139,"=ВЧ1",E140:AI140)/2,0)+CEILING(SUMIFS(E140:AI140,E139:AI139,"=Р",E140:AI140,"=13")/4,4)+CEILING(SUMIFS(E140:AI140,E139:AI139,"=Р",E140:AI140,"=14")/4,4)+CEILING(SUMIFS(E140:AI140,E139:AI139,"=Р",E140:AI140,"=15")/4,4)+SUMIFS(E140:AI140,E139:AI139,"=Р",E140:AI140,"=16")/4+CEILING(SUMIFS(E140:AI140,E139:AI139,"=Р1",E140:AI140,"=13")/4,4)+CEILING(SUMIFS(E140:AI140,E139:AI139,"=Р1",E140:AI140,"=14")/4,4)+CEILING(SUMIFS(E140:AI140,E139:AI139,"=Р1",E140:AI140,"=15")/4,4)+SUMIFS(E140:AI140,E139:AI139,"=Р1",E140:AI140,"=16")/4</f>
        <v>0</v>
      </c>
      <c r="AO139" s="211">
        <f>IFERROR(SUMIF(E139:AI139,"=РВ",E140:AI140)+SUMIF(E139:AI139,"=ВЧ/РВ",E140:AI140)+SUMIF(E139:AI139,"=РН/РВ",E140:AI140)+SUMIF(E139:AI139,"=Р1/РВ",E140:AI140)+SUMIF(E139:AI139,"=ВЧ2/РВ",E140:AI140)+SUMIF(E139:AI139,"=Р2/РВ",E140:AI140),0)</f>
        <v>0</v>
      </c>
      <c r="AP139" s="211">
        <f>IFERROR(COUNTIF(E139:AI139,"=ВВ")+COUNTIF(E139:AI139,"=Р1/ВВ")+COUNTIF(E139:AI139,"=РН/ВВ")+COUNTIF(E139:AI139,"=ВЧ/ВВ"),0)</f>
        <v>10</v>
      </c>
      <c r="AQ139" s="211">
        <f>SUM(AR139:AZ139)</f>
        <v>0</v>
      </c>
      <c r="AR139" s="211">
        <f>IFERROR(SUMIF(E139:AI139,"=В",E140:AI140)+SUMIF(E139:AI139,"=Ч",E140:AI140)+SUMIF(E139:AI139,"=ВБ",E140:AI140),0)</f>
        <v>0</v>
      </c>
      <c r="AS139" s="211">
        <f>IFERROR(SUMIF(E139:AI139,"=Н",E140:AI140),0)</f>
        <v>0</v>
      </c>
      <c r="AT139" s="211">
        <f>IFERROR(SUMIF(E139:AI139,"=НА",E140:AI140),0)</f>
        <v>0</v>
      </c>
      <c r="AU139" s="211">
        <f>IFERROR(SUMIF(E139:AI139,"=ВП",E140:AI140),0)</f>
        <v>0</v>
      </c>
      <c r="AV139" s="211">
        <f>IFERROR(SUMIF(E139:AI139,"=ДД",E140:AI140),0)</f>
        <v>0</v>
      </c>
      <c r="AW139" s="202">
        <f>IFERROR(SUMIF(E139:AI139,"=ДО",E140:AI140),0)</f>
        <v>0</v>
      </c>
      <c r="AX139" s="211">
        <f>IFERROR(SUMIF(E139:AI139,"=ТН",E140:AI140),0)</f>
        <v>0</v>
      </c>
      <c r="AY139" s="211">
        <f>IFERROR(SUMIF(E139:AI139,"=ВД",E140:AI140),0)</f>
        <v>0</v>
      </c>
      <c r="AZ139" s="312">
        <f>IFERROR(SUMIF(E139:AI139,"=ІН",E140:AI140),0)+SUMIF(E139:AI139,"=НЗ",E140:AI140)</f>
        <v>0</v>
      </c>
    </row>
    <row r="140" spans="1:52" ht="20.100000000000001" customHeight="1" thickBot="1" x14ac:dyDescent="0.25">
      <c r="A140" s="331"/>
      <c r="B140" s="331"/>
      <c r="C140" s="229"/>
      <c r="D140" s="229"/>
      <c r="E140" s="192"/>
      <c r="F140" s="192"/>
      <c r="G140" s="192">
        <v>8.1999999999999993</v>
      </c>
      <c r="H140" s="192">
        <v>8.1999999999999993</v>
      </c>
      <c r="I140" s="192">
        <v>8.1999999999999993</v>
      </c>
      <c r="J140" s="192">
        <v>8.1999999999999993</v>
      </c>
      <c r="K140" s="192">
        <v>7</v>
      </c>
      <c r="L140" s="192"/>
      <c r="M140" s="192"/>
      <c r="N140" s="192">
        <v>8.1999999999999993</v>
      </c>
      <c r="O140" s="192">
        <v>8.1999999999999993</v>
      </c>
      <c r="P140" s="192">
        <v>8.1999999999999993</v>
      </c>
      <c r="Q140" s="192">
        <v>8.1999999999999993</v>
      </c>
      <c r="R140" s="192">
        <v>7.2</v>
      </c>
      <c r="S140" s="192"/>
      <c r="T140" s="192"/>
      <c r="U140" s="192">
        <v>8.1999999999999993</v>
      </c>
      <c r="V140" s="192">
        <v>8.1999999999999993</v>
      </c>
      <c r="W140" s="192">
        <v>8.1999999999999993</v>
      </c>
      <c r="X140" s="192">
        <v>8.1999999999999993</v>
      </c>
      <c r="Y140" s="192">
        <v>7.2</v>
      </c>
      <c r="Z140" s="192"/>
      <c r="AA140" s="192"/>
      <c r="AB140" s="192">
        <v>8.1999999999999993</v>
      </c>
      <c r="AC140" s="192">
        <v>8.1999999999999993</v>
      </c>
      <c r="AD140" s="192">
        <v>8.1999999999999993</v>
      </c>
      <c r="AE140" s="192">
        <v>8.1999999999999993</v>
      </c>
      <c r="AF140" s="192">
        <v>7.2</v>
      </c>
      <c r="AG140" s="192"/>
      <c r="AH140" s="192"/>
      <c r="AI140" s="192">
        <v>8.1999999999999993</v>
      </c>
      <c r="AJ140" s="325"/>
      <c r="AK140" s="356"/>
      <c r="AL140" s="311"/>
      <c r="AM140" s="311"/>
      <c r="AN140" s="212"/>
      <c r="AO140" s="311"/>
      <c r="AP140" s="212"/>
      <c r="AQ140" s="311"/>
      <c r="AR140" s="311"/>
      <c r="AS140" s="286"/>
      <c r="AT140" s="311"/>
      <c r="AU140" s="311"/>
      <c r="AV140" s="311"/>
      <c r="AW140" s="203"/>
      <c r="AX140" s="311"/>
      <c r="AY140" s="311"/>
      <c r="AZ140" s="329"/>
    </row>
    <row r="141" spans="1:52" ht="21.75" customHeight="1" x14ac:dyDescent="0.2">
      <c r="A141" s="330">
        <f t="shared" si="44"/>
        <v>63</v>
      </c>
      <c r="B141" s="330" t="s">
        <v>271</v>
      </c>
      <c r="C141" s="228">
        <v>2144</v>
      </c>
      <c r="D141" s="228" t="s">
        <v>65</v>
      </c>
      <c r="E141" s="191" t="s">
        <v>43</v>
      </c>
      <c r="F141" s="191" t="s">
        <v>142</v>
      </c>
      <c r="G141" s="191" t="s">
        <v>142</v>
      </c>
      <c r="H141" s="191" t="s">
        <v>4</v>
      </c>
      <c r="I141" s="191" t="s">
        <v>43</v>
      </c>
      <c r="J141" s="191" t="s">
        <v>142</v>
      </c>
      <c r="K141" s="191" t="s">
        <v>142</v>
      </c>
      <c r="L141" s="191" t="s">
        <v>4</v>
      </c>
      <c r="M141" s="191" t="s">
        <v>43</v>
      </c>
      <c r="N141" s="191" t="s">
        <v>142</v>
      </c>
      <c r="O141" s="191" t="s">
        <v>142</v>
      </c>
      <c r="P141" s="191" t="s">
        <v>4</v>
      </c>
      <c r="Q141" s="191" t="s">
        <v>43</v>
      </c>
      <c r="R141" s="191" t="s">
        <v>142</v>
      </c>
      <c r="S141" s="191" t="s">
        <v>142</v>
      </c>
      <c r="T141" s="191" t="s">
        <v>4</v>
      </c>
      <c r="U141" s="191" t="s">
        <v>43</v>
      </c>
      <c r="V141" s="191" t="s">
        <v>142</v>
      </c>
      <c r="W141" s="191" t="s">
        <v>142</v>
      </c>
      <c r="X141" s="191" t="s">
        <v>4</v>
      </c>
      <c r="Y141" s="191" t="s">
        <v>43</v>
      </c>
      <c r="Z141" s="191" t="s">
        <v>142</v>
      </c>
      <c r="AA141" s="191" t="s">
        <v>142</v>
      </c>
      <c r="AB141" s="191" t="s">
        <v>4</v>
      </c>
      <c r="AC141" s="191" t="s">
        <v>43</v>
      </c>
      <c r="AD141" s="191" t="s">
        <v>142</v>
      </c>
      <c r="AE141" s="191" t="s">
        <v>142</v>
      </c>
      <c r="AF141" s="191" t="s">
        <v>4</v>
      </c>
      <c r="AG141" s="191" t="s">
        <v>43</v>
      </c>
      <c r="AH141" s="191" t="s">
        <v>142</v>
      </c>
      <c r="AI141" s="191" t="s">
        <v>142</v>
      </c>
      <c r="AJ141" s="332">
        <f>IFERROR(COUNTIF(E141:AI141,"=Р")+COUNTIF(E141:AI141,"=Р1")+COUNTIF(E141:AI141,"=ВЧ")+COUNTIF(E141:AI141,"=РН")+COUNTIF(E141:AI141,"=Р2")+COUNTIF(E141:AI141,"=Р1/РВ")+COUNTIF(E141:AI141,"=Р2/РВ")+COUNTIF(E141:AI141,"=ВЧ/РВ")+COUNTIF(E141:AI141,"=РН/РВ"),0)</f>
        <v>15</v>
      </c>
      <c r="AK141" s="333">
        <f>IFERROR(SUMIF(E141:AI141,"=Р2",E142:AI142)+SUMIF(E141:AI141,"=ВЧ/РВ",E142:AI142)+SUMIF(E141:AI141,"=РН/РВ",E142:AI142)+SUMIF(E141:AI141,"=Р1/РВ",E142:AI142)+SUMIF(E141:AI141,"=ВЧ2/РВ",E142:AI142)+SUMIF(E141:AI141,"=Р2/РВ",E142:AI142)+SUMIF(E141:AI141,"=Р",E142:AI142)+SUMIF(E141:AI141,"=Р1",E142:AI142)+SUMIF(E141:AI141,"=ВЧ1",E142:AI142)+SUMIF(E141:AI141,"=РН",E142:AI142)+SUMIF(E141:AI141,"=ВЧ",E142:AI142),0)+AL141</f>
        <v>168</v>
      </c>
      <c r="AL141" s="211">
        <f>IFERROR(SUMIF(E141:AI141,"=НУ",E142:AI142),0)</f>
        <v>0</v>
      </c>
      <c r="AM141" s="211">
        <f>IFERROR(SUMIF(E141:AI141,"=РН",E142:AI142)+SUMIF(E141:AI141,"=РН/РВ",E142:AI142)+SUMIFS(E142:AI142,E141:AI141,"=Р2",E142:AI142,"=8"),0)</f>
        <v>64</v>
      </c>
      <c r="AN141" s="211">
        <f>IFERROR(SUMIF(E141:AI141,"=ВЧ",E142:AI142)+SUMIF(E141:AI141,"=ВЧ/РВ",E142:AI142)+CEILING(COUNTIFS(E141:AI141,"=Р2",E142:AI142,"=7")*4,1)+CEILING(COUNTIFS(E141:AI141,"=Р2/РВ",E142:AI142,"=7")*4,1)+SUMIFS(E142:AI142,E141:AI141,"=Р1/РВ",E142:AI142,"=12")/6+SUMIFS(E142:AI142,E141:AI141,"=ВЧ2/РВ",E142:AI142,"=4")/2+SUMIFS(E142:AI142,E141:AI141,"=Р1",E142:AI142,"=12")/6+SUMIFS(E142:AI142,E141:AI141,"=Р1",E142:AI142,"=8")/4+SUMIF(E141:AI141,"=ВЧ1",E142:AI142)/2,0)+CEILING(SUMIFS(E142:AI142,E141:AI141,"=Р",E142:AI142,"=13")/4,4)+CEILING(SUMIFS(E142:AI142,E141:AI141,"=Р",E142:AI142,"=14")/4,4)+CEILING(SUMIFS(E142:AI142,E141:AI141,"=Р",E142:AI142,"=15")/4,4)+SUMIFS(E142:AI142,E141:AI141,"=Р",E142:AI142,"=16")/4+CEILING(SUMIFS(E142:AI142,E141:AI141,"=Р1",E142:AI142,"=13")/4,4)+CEILING(SUMIFS(E142:AI142,E141:AI141,"=Р1",E142:AI142,"=14")/4,4)+CEILING(SUMIFS(E142:AI142,E141:AI141,"=Р1",E142:AI142,"=15")/4,4)+SUMIFS(E142:AI142,E141:AI141,"=Р1",E142:AI142,"=16")/4</f>
        <v>28</v>
      </c>
      <c r="AO141" s="211">
        <f>IFERROR(SUMIF(E141:AI141,"=РВ",E142:AI142)+SUMIF(E141:AI141,"=ВЧ/РВ",E142:AI142)+SUMIF(E141:AI141,"=РН/РВ",E142:AI142)+SUMIF(E141:AI141,"=Р1/РВ",E142:AI142)+SUMIF(E141:AI141,"=ВЧ2/РВ",E142:AI142)+SUMIF(E141:AI141,"=Р2/РВ",E142:AI142),0)</f>
        <v>0</v>
      </c>
      <c r="AP141" s="211">
        <f>IFERROR(COUNTIF(E141:AI141,"=ВВ")+COUNTIF(E141:AI141,"=Р1/ВВ")+COUNTIF(E141:AI141,"=РН/ВВ")+COUNTIF(E141:AI141,"=ВЧ/ВВ"),0)</f>
        <v>16</v>
      </c>
      <c r="AQ141" s="211">
        <f>SUM(AR141:AZ141)</f>
        <v>0</v>
      </c>
      <c r="AR141" s="211">
        <f>IFERROR(SUMIF(E141:AI141,"=В",E142:AI142)+SUMIF(E141:AI141,"=Ч",E142:AI142)+SUMIF(E141:AI141,"=ВБ",E142:AI142),0)</f>
        <v>0</v>
      </c>
      <c r="AS141" s="211">
        <f>IFERROR(SUMIF(E141:AI141,"=Н",E142:AI142),0)</f>
        <v>0</v>
      </c>
      <c r="AT141" s="211">
        <f>IFERROR(SUMIF(E141:AI141,"=НА",E142:AI142),0)</f>
        <v>0</v>
      </c>
      <c r="AU141" s="211">
        <f>IFERROR(SUMIF(E141:AI141,"=ВП",E142:AI142),0)</f>
        <v>0</v>
      </c>
      <c r="AV141" s="211">
        <f>IFERROR(SUMIF(E141:AI141,"=ДД",E142:AI142),0)</f>
        <v>0</v>
      </c>
      <c r="AW141" s="202">
        <f>IFERROR(SUMIF(E141:AI141,"=ДО",E142:AI142),0)</f>
        <v>0</v>
      </c>
      <c r="AX141" s="211">
        <f>IFERROR(SUMIF(E141:AI141,"=ТН",E142:AI142),0)</f>
        <v>0</v>
      </c>
      <c r="AY141" s="211">
        <f>IFERROR(SUMIF(E141:AI141,"=ВД",E142:AI142),0)</f>
        <v>0</v>
      </c>
      <c r="AZ141" s="312">
        <f>IFERROR(SUMIF(E141:AI141,"=ІН",E142:AI142),0)+SUMIF(E141:AI141,"=НЗ",E142:AI142)</f>
        <v>0</v>
      </c>
    </row>
    <row r="142" spans="1:52" ht="21.75" customHeight="1" thickBot="1" x14ac:dyDescent="0.25">
      <c r="A142" s="331"/>
      <c r="B142" s="331"/>
      <c r="C142" s="229"/>
      <c r="D142" s="229"/>
      <c r="E142" s="192">
        <v>8</v>
      </c>
      <c r="F142" s="192"/>
      <c r="G142" s="192"/>
      <c r="H142" s="192">
        <v>16</v>
      </c>
      <c r="I142" s="192">
        <v>8</v>
      </c>
      <c r="J142" s="192"/>
      <c r="K142" s="192"/>
      <c r="L142" s="192">
        <v>16</v>
      </c>
      <c r="M142" s="192">
        <v>8</v>
      </c>
      <c r="N142" s="192"/>
      <c r="O142" s="192"/>
      <c r="P142" s="192">
        <v>13</v>
      </c>
      <c r="Q142" s="192">
        <v>8</v>
      </c>
      <c r="R142" s="192"/>
      <c r="S142" s="192"/>
      <c r="T142" s="192">
        <v>13</v>
      </c>
      <c r="U142" s="192">
        <v>8</v>
      </c>
      <c r="V142" s="192"/>
      <c r="W142" s="192"/>
      <c r="X142" s="192">
        <v>14</v>
      </c>
      <c r="Y142" s="192">
        <v>8</v>
      </c>
      <c r="Z142" s="192"/>
      <c r="AA142" s="192"/>
      <c r="AB142" s="192">
        <v>16</v>
      </c>
      <c r="AC142" s="192">
        <v>8</v>
      </c>
      <c r="AD142" s="192"/>
      <c r="AE142" s="192"/>
      <c r="AF142" s="192">
        <v>16</v>
      </c>
      <c r="AG142" s="192">
        <v>8</v>
      </c>
      <c r="AH142" s="192"/>
      <c r="AI142" s="192"/>
      <c r="AJ142" s="325"/>
      <c r="AK142" s="334"/>
      <c r="AL142" s="286"/>
      <c r="AM142" s="286"/>
      <c r="AN142" s="212"/>
      <c r="AO142" s="286"/>
      <c r="AP142" s="212"/>
      <c r="AQ142" s="286"/>
      <c r="AR142" s="286"/>
      <c r="AS142" s="286"/>
      <c r="AT142" s="286"/>
      <c r="AU142" s="286"/>
      <c r="AV142" s="286"/>
      <c r="AW142" s="203"/>
      <c r="AX142" s="286"/>
      <c r="AY142" s="286"/>
      <c r="AZ142" s="329"/>
    </row>
    <row r="143" spans="1:52" s="163" customFormat="1" ht="21.75" customHeight="1" x14ac:dyDescent="0.2">
      <c r="A143" s="330">
        <f t="shared" si="44"/>
        <v>64</v>
      </c>
      <c r="B143" s="330" t="s">
        <v>356</v>
      </c>
      <c r="C143" s="228">
        <v>1792</v>
      </c>
      <c r="D143" s="228" t="s">
        <v>72</v>
      </c>
      <c r="E143" s="191" t="s">
        <v>142</v>
      </c>
      <c r="F143" s="191" t="s">
        <v>4</v>
      </c>
      <c r="G143" s="191" t="s">
        <v>41</v>
      </c>
      <c r="H143" s="191" t="s">
        <v>43</v>
      </c>
      <c r="I143" s="191" t="s">
        <v>142</v>
      </c>
      <c r="J143" s="191" t="s">
        <v>142</v>
      </c>
      <c r="K143" s="191" t="s">
        <v>309</v>
      </c>
      <c r="L143" s="191" t="s">
        <v>43</v>
      </c>
      <c r="M143" s="191" t="s">
        <v>142</v>
      </c>
      <c r="N143" s="191" t="s">
        <v>4</v>
      </c>
      <c r="O143" s="191" t="s">
        <v>41</v>
      </c>
      <c r="P143" s="191" t="s">
        <v>43</v>
      </c>
      <c r="Q143" s="191" t="s">
        <v>142</v>
      </c>
      <c r="R143" s="191" t="s">
        <v>4</v>
      </c>
      <c r="S143" s="191" t="s">
        <v>41</v>
      </c>
      <c r="T143" s="191" t="s">
        <v>43</v>
      </c>
      <c r="U143" s="191" t="s">
        <v>142</v>
      </c>
      <c r="V143" s="191" t="s">
        <v>4</v>
      </c>
      <c r="W143" s="191" t="s">
        <v>41</v>
      </c>
      <c r="X143" s="191" t="s">
        <v>43</v>
      </c>
      <c r="Y143" s="191" t="s">
        <v>142</v>
      </c>
      <c r="Z143" s="191" t="s">
        <v>4</v>
      </c>
      <c r="AA143" s="191" t="s">
        <v>41</v>
      </c>
      <c r="AB143" s="191" t="s">
        <v>43</v>
      </c>
      <c r="AC143" s="191" t="s">
        <v>142</v>
      </c>
      <c r="AD143" s="191" t="s">
        <v>4</v>
      </c>
      <c r="AE143" s="191" t="s">
        <v>41</v>
      </c>
      <c r="AF143" s="191" t="s">
        <v>43</v>
      </c>
      <c r="AG143" s="191" t="s">
        <v>142</v>
      </c>
      <c r="AH143" s="191" t="s">
        <v>4</v>
      </c>
      <c r="AI143" s="191" t="s">
        <v>41</v>
      </c>
      <c r="AJ143" s="332">
        <f>IFERROR(COUNTIF(E143:AI143,"=Р")+COUNTIF(E143:AI143,"=Р1")+COUNTIF(E143:AI143,"=ВЧ")+COUNTIF(E143:AI143,"=РН")+COUNTIF(E143:AI143,"=Р2")+COUNTIF(E143:AI143,"=Р1/РВ")+COUNTIF(E143:AI143,"=Р2/РВ")+COUNTIF(E143:AI143,"=ВЧ/РВ")+COUNTIF(E143:AI143,"=РН/РВ"),0)</f>
        <v>21</v>
      </c>
      <c r="AK143" s="333">
        <f>IFERROR(SUMIF(E143:AI143,"=Р2",E144:AI144)+SUMIF(E143:AI143,"=ВЧ/РВ",E144:AI144)+SUMIF(E143:AI143,"=РН/РВ",E144:AI144)+SUMIF(E143:AI143,"=Р1/РВ",E144:AI144)+SUMIF(E143:AI143,"=ВЧ2/РВ",E144:AI144)+SUMIF(E143:AI143,"=Р2/РВ",E144:AI144)+SUMIF(E143:AI143,"=Р",E144:AI144)+SUMIF(E143:AI143,"=Р1",E144:AI144)+SUMIF(E143:AI143,"=ВЧ1",E144:AI144)+SUMIF(E143:AI143,"=РН",E144:AI144)+SUMIF(E143:AI143,"=ВЧ",E144:AI144),0)+AL143</f>
        <v>168</v>
      </c>
      <c r="AL143" s="211">
        <f>IFERROR(SUMIF(E143:AI143,"=НУ",E144:AI144),0)</f>
        <v>0</v>
      </c>
      <c r="AM143" s="211">
        <f>IFERROR(SUMIF(E143:AI143,"=РН",E144:AI144)+SUMIF(E143:AI143,"=РН/РВ",E144:AI144)+SUMIFS(E144:AI144,E143:AI143,"=Р2",E144:AI144,"=8"),0)</f>
        <v>56</v>
      </c>
      <c r="AN143" s="211">
        <f>IFERROR(SUMIF(E143:AI143,"=ВЧ",E144:AI144)+SUMIF(E143:AI143,"=ВЧ/РВ",E144:AI144)+CEILING(COUNTIFS(E143:AI143,"=Р2",E144:AI144,"=7")*4,1)+CEILING(COUNTIFS(E143:AI143,"=Р2/РВ",E144:AI144,"=7")*4,1)+SUMIFS(E144:AI144,E143:AI143,"=Р1/РВ",E144:AI144,"=12")/6+SUMIFS(E144:AI144,E143:AI143,"=ВЧ2/РВ",E144:AI144,"=4")/2+SUMIFS(E144:AI144,E143:AI143,"=Р1",E144:AI144,"=12")/6+SUMIFS(E144:AI144,E143:AI143,"=Р1",E144:AI144,"=8")/4+SUMIF(E143:AI143,"=ВЧ1",E144:AI144)/2,0)+CEILING(SUMIFS(E144:AI144,E143:AI143,"=Р",E144:AI144,"=13")/4,4)+CEILING(SUMIFS(E144:AI144,E143:AI143,"=Р",E144:AI144,"=14")/4,4)+CEILING(SUMIFS(E144:AI144,E143:AI143,"=Р",E144:AI144,"=15")/4,4)+SUMIFS(E144:AI144,E143:AI143,"=Р",E144:AI144,"=16")/4+CEILING(SUMIFS(E144:AI144,E143:AI143,"=Р1",E144:AI144,"=13")/4,4)+CEILING(SUMIFS(E144:AI144,E143:AI143,"=Р1",E144:AI144,"=14")/4,4)+CEILING(SUMIFS(E144:AI144,E143:AI143,"=Р1",E144:AI144,"=15")/4,4)+SUMIFS(E144:AI144,E143:AI143,"=Р1",E144:AI144,"=16")/4</f>
        <v>30</v>
      </c>
      <c r="AO143" s="211">
        <f>IFERROR(SUMIF(E143:AI143,"=РВ",E144:AI144)+SUMIF(E143:AI143,"=ВЧ/РВ",E144:AI144)+SUMIF(E143:AI143,"=РН/РВ",E144:AI144)+SUMIF(E143:AI143,"=Р1/РВ",E144:AI144)+SUMIF(E143:AI143,"=ВЧ2/РВ",E144:AI144)+SUMIF(E143:AI143,"=Р2/РВ",E144:AI144),0)</f>
        <v>0</v>
      </c>
      <c r="AP143" s="211">
        <f>IFERROR(COUNTIF(E143:AI143,"=ВВ")+COUNTIF(E143:AI143,"=Р1/ВВ")+COUNTIF(E143:AI143,"=РН/ВВ")+COUNTIF(E143:AI143,"=ВЧ/ВВ"),0)</f>
        <v>9</v>
      </c>
      <c r="AQ143" s="211">
        <f>SUM(AR143:AZ143)</f>
        <v>0</v>
      </c>
      <c r="AR143" s="211">
        <f>IFERROR(SUMIF(E143:AI143,"=В",E144:AI144)+SUMIF(E143:AI143,"=Ч",E144:AI144)+SUMIF(E143:AI143,"=ВБ",E144:AI144),0)</f>
        <v>0</v>
      </c>
      <c r="AS143" s="211">
        <f>IFERROR(SUMIF(E143:AI143,"=Н",E144:AI144),0)</f>
        <v>0</v>
      </c>
      <c r="AT143" s="211">
        <f>IFERROR(SUMIF(E143:AI143,"=НА",E144:AI144),0)</f>
        <v>0</v>
      </c>
      <c r="AU143" s="211">
        <f>IFERROR(SUMIF(E143:AI143,"=ВП",E144:AI144),0)</f>
        <v>0</v>
      </c>
      <c r="AV143" s="211">
        <f>IFERROR(SUMIF(E143:AI143,"=ДД",E144:AI144),0)</f>
        <v>0</v>
      </c>
      <c r="AW143" s="202">
        <f>IFERROR(SUMIF(E143:AI143,"=ДО",E144:AI144),0)</f>
        <v>0</v>
      </c>
      <c r="AX143" s="211">
        <f>IFERROR(SUMIF(E143:AI143,"=ТН",E144:AI144),0)</f>
        <v>0</v>
      </c>
      <c r="AY143" s="211">
        <f>IFERROR(SUMIF(E143:AI143,"=ВД",E144:AI144),0)</f>
        <v>0</v>
      </c>
      <c r="AZ143" s="312">
        <f>IFERROR(SUMIF(E143:AI143,"=ІН",E144:AI144),0)+SUMIF(E143:AI143,"=НЗ",E144:AI144)</f>
        <v>0</v>
      </c>
    </row>
    <row r="144" spans="1:52" s="163" customFormat="1" ht="21.75" customHeight="1" thickBot="1" x14ac:dyDescent="0.25">
      <c r="A144" s="331"/>
      <c r="B144" s="331"/>
      <c r="C144" s="229"/>
      <c r="D144" s="229"/>
      <c r="E144" s="192"/>
      <c r="F144" s="192">
        <v>12</v>
      </c>
      <c r="G144" s="192">
        <v>4</v>
      </c>
      <c r="H144" s="192">
        <v>8</v>
      </c>
      <c r="I144" s="192"/>
      <c r="J144" s="192"/>
      <c r="K144" s="192">
        <v>4</v>
      </c>
      <c r="L144" s="192">
        <v>8</v>
      </c>
      <c r="M144" s="192"/>
      <c r="N144" s="192">
        <v>12</v>
      </c>
      <c r="O144" s="192">
        <v>4</v>
      </c>
      <c r="P144" s="192">
        <v>8</v>
      </c>
      <c r="Q144" s="192"/>
      <c r="R144" s="192">
        <v>8</v>
      </c>
      <c r="S144" s="192">
        <v>4</v>
      </c>
      <c r="T144" s="192">
        <v>8</v>
      </c>
      <c r="U144" s="192"/>
      <c r="V144" s="192">
        <v>12</v>
      </c>
      <c r="W144" s="192">
        <v>4</v>
      </c>
      <c r="X144" s="192">
        <v>8</v>
      </c>
      <c r="Y144" s="192"/>
      <c r="Z144" s="192">
        <v>12</v>
      </c>
      <c r="AA144" s="192">
        <v>4</v>
      </c>
      <c r="AB144" s="192">
        <v>8</v>
      </c>
      <c r="AC144" s="192"/>
      <c r="AD144" s="192">
        <v>12</v>
      </c>
      <c r="AE144" s="192">
        <v>4</v>
      </c>
      <c r="AF144" s="192">
        <v>8</v>
      </c>
      <c r="AG144" s="192"/>
      <c r="AH144" s="192">
        <v>12</v>
      </c>
      <c r="AI144" s="192">
        <v>4</v>
      </c>
      <c r="AJ144" s="325"/>
      <c r="AK144" s="334"/>
      <c r="AL144" s="286"/>
      <c r="AM144" s="286"/>
      <c r="AN144" s="212"/>
      <c r="AO144" s="286"/>
      <c r="AP144" s="212"/>
      <c r="AQ144" s="286"/>
      <c r="AR144" s="286"/>
      <c r="AS144" s="286"/>
      <c r="AT144" s="286"/>
      <c r="AU144" s="286"/>
      <c r="AV144" s="286"/>
      <c r="AW144" s="203"/>
      <c r="AX144" s="286"/>
      <c r="AY144" s="286"/>
      <c r="AZ144" s="329"/>
    </row>
    <row r="145" spans="1:52" s="163" customFormat="1" ht="21.75" customHeight="1" x14ac:dyDescent="0.2">
      <c r="A145" s="330">
        <f t="shared" si="44"/>
        <v>65</v>
      </c>
      <c r="B145" s="330" t="s">
        <v>435</v>
      </c>
      <c r="C145" s="228">
        <v>2061</v>
      </c>
      <c r="D145" s="228" t="s">
        <v>72</v>
      </c>
      <c r="E145" s="191" t="s">
        <v>142</v>
      </c>
      <c r="F145" s="191" t="s">
        <v>142</v>
      </c>
      <c r="G145" s="191" t="s">
        <v>4</v>
      </c>
      <c r="H145" s="191" t="s">
        <v>43</v>
      </c>
      <c r="I145" s="191" t="s">
        <v>142</v>
      </c>
      <c r="J145" s="191" t="s">
        <v>142</v>
      </c>
      <c r="K145" s="191" t="s">
        <v>4</v>
      </c>
      <c r="L145" s="191" t="s">
        <v>43</v>
      </c>
      <c r="M145" s="191" t="s">
        <v>142</v>
      </c>
      <c r="N145" s="191" t="s">
        <v>142</v>
      </c>
      <c r="O145" s="191" t="s">
        <v>4</v>
      </c>
      <c r="P145" s="191" t="s">
        <v>43</v>
      </c>
      <c r="Q145" s="191" t="s">
        <v>142</v>
      </c>
      <c r="R145" s="191" t="s">
        <v>142</v>
      </c>
      <c r="S145" s="191" t="s">
        <v>4</v>
      </c>
      <c r="T145" s="191" t="s">
        <v>43</v>
      </c>
      <c r="U145" s="191" t="s">
        <v>142</v>
      </c>
      <c r="V145" s="191" t="s">
        <v>142</v>
      </c>
      <c r="W145" s="191" t="s">
        <v>4</v>
      </c>
      <c r="X145" s="191" t="s">
        <v>43</v>
      </c>
      <c r="Y145" s="191" t="s">
        <v>142</v>
      </c>
      <c r="Z145" s="191" t="s">
        <v>142</v>
      </c>
      <c r="AA145" s="191" t="s">
        <v>4</v>
      </c>
      <c r="AB145" s="191" t="s">
        <v>43</v>
      </c>
      <c r="AC145" s="191" t="s">
        <v>142</v>
      </c>
      <c r="AD145" s="191" t="s">
        <v>142</v>
      </c>
      <c r="AE145" s="191" t="s">
        <v>4</v>
      </c>
      <c r="AF145" s="191" t="s">
        <v>43</v>
      </c>
      <c r="AG145" s="191"/>
      <c r="AH145" s="191"/>
      <c r="AI145" s="191"/>
      <c r="AJ145" s="332">
        <f>IFERROR(COUNTIF(E145:AI145,"=Р")+COUNTIF(E145:AI145,"=Р1")+COUNTIF(E145:AI145,"=ВЧ")+COUNTIF(E145:AI145,"=РН")+COUNTIF(E145:AI145,"=Р2")+COUNTIF(E145:AI145,"=Р1/РВ")+COUNTIF(E145:AI145,"=Р2/РВ")+COUNTIF(E145:AI145,"=ВЧ/РВ")+COUNTIF(E145:AI145,"=РН/РВ"),0)</f>
        <v>14</v>
      </c>
      <c r="AK145" s="333">
        <f>IFERROR(SUMIF(E145:AI145,"=Р2",E146:AI146)+SUMIF(E145:AI145,"=ВЧ/РВ",E146:AI146)+SUMIF(E145:AI145,"=РН/РВ",E146:AI146)+SUMIF(E145:AI145,"=Р1/РВ",E146:AI146)+SUMIF(E145:AI145,"=ВЧ2/РВ",E146:AI146)+SUMIF(E145:AI145,"=Р2/РВ",E146:AI146)+SUMIF(E145:AI145,"=Р",E146:AI146)+SUMIF(E145:AI145,"=Р1",E146:AI146)+SUMIF(E145:AI145,"=ВЧ1",E146:AI146)+SUMIF(E145:AI145,"=РН",E146:AI146)+SUMIF(E145:AI145,"=ВЧ",E146:AI146),0)+AL145</f>
        <v>164</v>
      </c>
      <c r="AL145" s="211">
        <f>IFERROR(SUMIF(E145:AI145,"=НУ",E146:AI146),0)</f>
        <v>0</v>
      </c>
      <c r="AM145" s="211">
        <f>IFERROR(SUMIF(E145:AI145,"=РН",E146:AI146)+SUMIF(E145:AI145,"=РН/РВ",E146:AI146)+SUMIFS(E146:AI146,E145:AI145,"=Р2",E146:AI146,"=8"),0)</f>
        <v>56</v>
      </c>
      <c r="AN145" s="211">
        <f>IFERROR(SUMIF(E145:AI145,"=ВЧ",E146:AI146)+SUMIF(E145:AI145,"=ВЧ/РВ",E146:AI146)+CEILING(COUNTIFS(E145:AI145,"=Р2",E146:AI146,"=7")*4,1)+CEILING(COUNTIFS(E145:AI145,"=Р2/РВ",E146:AI146,"=7")*4,1)+SUMIFS(E146:AI146,E145:AI145,"=Р1/РВ",E146:AI146,"=12")/6+SUMIFS(E146:AI146,E145:AI145,"=ВЧ2/РВ",E146:AI146,"=4")/2+SUMIFS(E146:AI146,E145:AI145,"=Р1",E146:AI146,"=12")/6+SUMIFS(E146:AI146,E145:AI145,"=Р1",E146:AI146,"=8")/4+SUMIF(E145:AI145,"=ВЧ1",E146:AI146)/2,0)+CEILING(SUMIFS(E146:AI146,E145:AI145,"=Р",E146:AI146,"=13")/4,4)+CEILING(SUMIFS(E146:AI146,E145:AI145,"=Р",E146:AI146,"=14")/4,4)+CEILING(SUMIFS(E146:AI146,E145:AI145,"=Р",E146:AI146,"=15")/4,4)+SUMIFS(E146:AI146,E145:AI145,"=Р",E146:AI146,"=16")/4+CEILING(SUMIFS(E146:AI146,E145:AI145,"=Р1",E146:AI146,"=13")/4,4)+CEILING(SUMIFS(E146:AI146,E145:AI145,"=Р1",E146:AI146,"=14")/4,4)+CEILING(SUMIFS(E146:AI146,E145:AI145,"=Р1",E146:AI146,"=15")/4,4)+SUMIFS(E146:AI146,E145:AI145,"=Р1",E146:AI146,"=16")/4</f>
        <v>28</v>
      </c>
      <c r="AO145" s="211">
        <f>IFERROR(SUMIF(E145:AI145,"=РВ",E146:AI146)+SUMIF(E145:AI145,"=ВЧ/РВ",E146:AI146)+SUMIF(E145:AI145,"=РН/РВ",E146:AI146)+SUMIF(E145:AI145,"=Р1/РВ",E146:AI146)+SUMIF(E145:AI145,"=ВЧ2/РВ",E146:AI146)+SUMIF(E145:AI145,"=Р2/РВ",E146:AI146),0)</f>
        <v>0</v>
      </c>
      <c r="AP145" s="211">
        <f>IFERROR(COUNTIF(E145:AI145,"=ВВ")+COUNTIF(E145:AI145,"=Р1/ВВ")+COUNTIF(E145:AI145,"=РН/ВВ")+COUNTIF(E145:AI145,"=ВЧ/ВВ"),0)</f>
        <v>14</v>
      </c>
      <c r="AQ145" s="211">
        <f>SUM(AR145:AZ145)</f>
        <v>0</v>
      </c>
      <c r="AR145" s="211">
        <f>IFERROR(SUMIF(E145:AI145,"=В",E146:AI146)+SUMIF(E145:AI145,"=Ч",E146:AI146)+SUMIF(E145:AI145,"=ВБ",E146:AI146),0)</f>
        <v>0</v>
      </c>
      <c r="AS145" s="211">
        <f>IFERROR(SUMIF(E145:AI145,"=Н",E146:AI146),0)</f>
        <v>0</v>
      </c>
      <c r="AT145" s="211">
        <f>IFERROR(SUMIF(E145:AI145,"=НА",E146:AI146),0)</f>
        <v>0</v>
      </c>
      <c r="AU145" s="211">
        <f>IFERROR(SUMIF(E145:AI145,"=ВП",E146:AI146),0)</f>
        <v>0</v>
      </c>
      <c r="AV145" s="211">
        <f>IFERROR(SUMIF(E145:AI145,"=ДД",E146:AI146),0)</f>
        <v>0</v>
      </c>
      <c r="AW145" s="202">
        <f>IFERROR(SUMIF(E145:AI145,"=ДО",E146:AI146),0)</f>
        <v>0</v>
      </c>
      <c r="AX145" s="211">
        <f>IFERROR(SUMIF(E145:AI145,"=ТН",E146:AI146),0)</f>
        <v>0</v>
      </c>
      <c r="AY145" s="211">
        <f>IFERROR(SUMIF(E145:AI145,"=ВД",E146:AI146),0)</f>
        <v>0</v>
      </c>
      <c r="AZ145" s="312">
        <f>IFERROR(SUMIF(E145:AI145,"=ІН",E146:AI146),0)+SUMIF(E145:AI145,"=НЗ",E146:AI146)</f>
        <v>0</v>
      </c>
    </row>
    <row r="146" spans="1:52" s="163" customFormat="1" ht="21.75" customHeight="1" thickBot="1" x14ac:dyDescent="0.25">
      <c r="A146" s="331"/>
      <c r="B146" s="331"/>
      <c r="C146" s="229"/>
      <c r="D146" s="229"/>
      <c r="E146" s="192"/>
      <c r="F146" s="192"/>
      <c r="G146" s="192">
        <v>15</v>
      </c>
      <c r="H146" s="192">
        <v>8</v>
      </c>
      <c r="I146" s="192"/>
      <c r="J146" s="192"/>
      <c r="K146" s="192">
        <v>13</v>
      </c>
      <c r="L146" s="192">
        <v>8</v>
      </c>
      <c r="M146" s="192"/>
      <c r="N146" s="192"/>
      <c r="O146" s="192">
        <v>16</v>
      </c>
      <c r="P146" s="192">
        <v>8</v>
      </c>
      <c r="Q146" s="192"/>
      <c r="R146" s="192"/>
      <c r="S146" s="192">
        <v>16</v>
      </c>
      <c r="T146" s="192">
        <v>8</v>
      </c>
      <c r="U146" s="192"/>
      <c r="V146" s="192"/>
      <c r="W146" s="192">
        <v>16</v>
      </c>
      <c r="X146" s="192">
        <v>8</v>
      </c>
      <c r="Y146" s="192"/>
      <c r="Z146" s="192"/>
      <c r="AA146" s="192">
        <v>16</v>
      </c>
      <c r="AB146" s="192">
        <v>8</v>
      </c>
      <c r="AC146" s="192"/>
      <c r="AD146" s="192"/>
      <c r="AE146" s="192">
        <v>16</v>
      </c>
      <c r="AF146" s="192">
        <v>8</v>
      </c>
      <c r="AG146" s="192" t="s">
        <v>491</v>
      </c>
      <c r="AH146" s="192" t="s">
        <v>492</v>
      </c>
      <c r="AI146" s="192" t="s">
        <v>493</v>
      </c>
      <c r="AJ146" s="325"/>
      <c r="AK146" s="334"/>
      <c r="AL146" s="286"/>
      <c r="AM146" s="286"/>
      <c r="AN146" s="212"/>
      <c r="AO146" s="286"/>
      <c r="AP146" s="212"/>
      <c r="AQ146" s="286"/>
      <c r="AR146" s="286"/>
      <c r="AS146" s="286"/>
      <c r="AT146" s="286"/>
      <c r="AU146" s="286"/>
      <c r="AV146" s="286"/>
      <c r="AW146" s="203"/>
      <c r="AX146" s="286"/>
      <c r="AY146" s="286"/>
      <c r="AZ146" s="329"/>
    </row>
    <row r="147" spans="1:52" s="163" customFormat="1" ht="21.75" customHeight="1" x14ac:dyDescent="0.2">
      <c r="A147" s="330">
        <f t="shared" si="44"/>
        <v>66</v>
      </c>
      <c r="B147" s="330" t="s">
        <v>436</v>
      </c>
      <c r="C147" s="228">
        <v>1869</v>
      </c>
      <c r="D147" s="228" t="s">
        <v>72</v>
      </c>
      <c r="E147" s="191" t="s">
        <v>142</v>
      </c>
      <c r="F147" s="191" t="s">
        <v>4</v>
      </c>
      <c r="G147" s="191" t="s">
        <v>43</v>
      </c>
      <c r="H147" s="191" t="s">
        <v>142</v>
      </c>
      <c r="I147" s="191" t="s">
        <v>142</v>
      </c>
      <c r="J147" s="191" t="s">
        <v>4</v>
      </c>
      <c r="K147" s="191" t="s">
        <v>43</v>
      </c>
      <c r="L147" s="191" t="s">
        <v>142</v>
      </c>
      <c r="M147" s="191" t="s">
        <v>142</v>
      </c>
      <c r="N147" s="191" t="s">
        <v>4</v>
      </c>
      <c r="O147" s="191" t="s">
        <v>43</v>
      </c>
      <c r="P147" s="191" t="s">
        <v>142</v>
      </c>
      <c r="Q147" s="191" t="s">
        <v>142</v>
      </c>
      <c r="R147" s="191" t="s">
        <v>4</v>
      </c>
      <c r="S147" s="191" t="s">
        <v>43</v>
      </c>
      <c r="T147" s="191" t="s">
        <v>142</v>
      </c>
      <c r="U147" s="191" t="s">
        <v>142</v>
      </c>
      <c r="V147" s="191" t="s">
        <v>4</v>
      </c>
      <c r="W147" s="191" t="s">
        <v>43</v>
      </c>
      <c r="X147" s="191" t="s">
        <v>142</v>
      </c>
      <c r="Y147" s="191" t="s">
        <v>142</v>
      </c>
      <c r="Z147" s="191" t="s">
        <v>4</v>
      </c>
      <c r="AA147" s="191" t="s">
        <v>43</v>
      </c>
      <c r="AB147" s="191" t="s">
        <v>142</v>
      </c>
      <c r="AC147" s="191" t="s">
        <v>142</v>
      </c>
      <c r="AD147" s="191" t="s">
        <v>4</v>
      </c>
      <c r="AE147" s="191" t="s">
        <v>43</v>
      </c>
      <c r="AF147" s="191" t="s">
        <v>142</v>
      </c>
      <c r="AG147" s="191"/>
      <c r="AH147" s="191"/>
      <c r="AI147" s="191"/>
      <c r="AJ147" s="324">
        <f>IFERROR(COUNTIF(E147:AI147,"=Р")+COUNTIF(E147:AI147,"=Р1")+COUNTIF(E147:AI147,"=ВЧ")+COUNTIF(E147:AI147,"=РН")+COUNTIF(E147:AI147,"=Р2")+COUNTIF(E147:AI147,"=Р1/РВ")+COUNTIF(E147:AI147,"=Р2/РВ")+COUNTIF(E147:AI147,"=ВЧ/РВ")+COUNTIF(E147:AI147,"=РН/РВ"),0)</f>
        <v>14</v>
      </c>
      <c r="AK147" s="333">
        <f>IFERROR(SUMIF(E147:AI147,"=Р2",E148:AI148)+SUMIF(E147:AI147,"=ВЧ/РВ",E148:AI148)+SUMIF(E147:AI147,"=РН/РВ",E148:AI148)+SUMIF(E147:AI147,"=Р1/РВ",E148:AI148)+SUMIF(E147:AI147,"=ВЧ2/РВ",E148:AI148)+SUMIF(E147:AI147,"=Р2/РВ",E148:AI148)+SUMIF(E147:AI147,"=Р",E148:AI148)+SUMIF(E147:AI147,"=Р1",E148:AI148)+SUMIF(E147:AI147,"=ВЧ1",E148:AI148)+SUMIF(E147:AI147,"=РН",E148:AI148)+SUMIF(E147:AI147,"=ВЧ",E148:AI148),0)+AL147</f>
        <v>164</v>
      </c>
      <c r="AL147" s="211">
        <f>IFERROR(SUMIF(E147:AI147,"=НУ",E148:AI148),0)</f>
        <v>0</v>
      </c>
      <c r="AM147" s="211">
        <f>IFERROR(SUMIF(E147:AI147,"=РН",E148:AI148)+SUMIF(E147:AI147,"=РН/РВ",E148:AI148)+SUMIFS(E148:AI148,E147:AI147,"=Р2",E148:AI148,"=8"),0)</f>
        <v>56</v>
      </c>
      <c r="AN147" s="211">
        <f>IFERROR(SUMIF(E147:AI147,"=ВЧ",E148:AI148)+SUMIF(E147:AI147,"=ВЧ/РВ",E148:AI148)+CEILING(COUNTIFS(E147:AI147,"=Р2",E148:AI148,"=7")*4,1)+CEILING(COUNTIFS(E147:AI147,"=Р2/РВ",E148:AI148,"=7")*4,1)+SUMIFS(E148:AI148,E147:AI147,"=Р1/РВ",E148:AI148,"=12")/6+SUMIFS(E148:AI148,E147:AI147,"=ВЧ2/РВ",E148:AI148,"=4")/2+SUMIFS(E148:AI148,E147:AI147,"=Р1",E148:AI148,"=12")/6+SUMIFS(E148:AI148,E147:AI147,"=Р1",E148:AI148,"=8")/4+SUMIF(E147:AI147,"=ВЧ1",E148:AI148)/2,0)+CEILING(SUMIFS(E148:AI148,E147:AI147,"=Р",E148:AI148,"=13")/4,4)+CEILING(SUMIFS(E148:AI148,E147:AI147,"=Р",E148:AI148,"=14")/4,4)+CEILING(SUMIFS(E148:AI148,E147:AI147,"=Р",E148:AI148,"=15")/4,4)+SUMIFS(E148:AI148,E147:AI147,"=Р",E148:AI148,"=16")/4+CEILING(SUMIFS(E148:AI148,E147:AI147,"=Р1",E148:AI148,"=13")/4,4)+CEILING(SUMIFS(E148:AI148,E147:AI147,"=Р1",E148:AI148,"=14")/4,4)+CEILING(SUMIFS(E148:AI148,E147:AI147,"=Р1",E148:AI148,"=15")/4,4)+SUMIFS(E148:AI148,E147:AI147,"=Р1",E148:AI148,"=16")/4</f>
        <v>28</v>
      </c>
      <c r="AO147" s="211">
        <f>IFERROR(SUMIF(E147:AI147,"=РВ",E148:AI148)+SUMIF(E147:AI147,"=ВЧ/РВ",E148:AI148)+SUMIF(E147:AI147,"=РН/РВ",E148:AI148)+SUMIF(E147:AI147,"=Р1/РВ",E148:AI148)+SUMIF(E147:AI147,"=ВЧ2/РВ",E148:AI148)+SUMIF(E147:AI147,"=Р2/РВ",E148:AI148),0)</f>
        <v>0</v>
      </c>
      <c r="AP147" s="211">
        <f>IFERROR(COUNTIF(E147:AI147,"=ВВ")+COUNTIF(E147:AI147,"=Р1/ВВ")+COUNTIF(E147:AI147,"=РН/ВВ")+COUNTIF(E147:AI147,"=ВЧ/ВВ"),0)</f>
        <v>14</v>
      </c>
      <c r="AQ147" s="211">
        <f>SUM(AR147:AZ147)</f>
        <v>0</v>
      </c>
      <c r="AR147" s="211">
        <f>IFERROR(SUMIF(E147:AI147,"=В",E148:AI148)+SUMIF(E147:AI147,"=Ч",E148:AI148)+SUMIF(E147:AI147,"=ВБ",E148:AI148),0)</f>
        <v>0</v>
      </c>
      <c r="AS147" s="211">
        <f>IFERROR(SUMIF(E147:AI147,"=Н",E148:AI148),0)</f>
        <v>0</v>
      </c>
      <c r="AT147" s="211">
        <f>IFERROR(SUMIF(E147:AI147,"=НА",E148:AI148),0)</f>
        <v>0</v>
      </c>
      <c r="AU147" s="211">
        <f>IFERROR(SUMIF(E147:AI147,"=ВП",E148:AI148),0)</f>
        <v>0</v>
      </c>
      <c r="AV147" s="211">
        <f>IFERROR(SUMIF(E147:AI147,"=ДД",E148:AI148),0)</f>
        <v>0</v>
      </c>
      <c r="AW147" s="202">
        <f>IFERROR(SUMIF(E147:AI147,"=ДО",E148:AI148),0)</f>
        <v>0</v>
      </c>
      <c r="AX147" s="211">
        <f>IFERROR(SUMIF(E147:AI147,"=ТН",E148:AI148),0)</f>
        <v>0</v>
      </c>
      <c r="AY147" s="211">
        <f>IFERROR(SUMIF(E147:AI147,"=ВД",E148:AI148),0)</f>
        <v>0</v>
      </c>
      <c r="AZ147" s="312">
        <f>IFERROR(SUMIF(E147:AI147,"=ІН",E148:AI148),0)+SUMIF(E147:AI147,"=НЗ",E148:AI148)</f>
        <v>0</v>
      </c>
    </row>
    <row r="148" spans="1:52" s="163" customFormat="1" ht="21.75" customHeight="1" thickBot="1" x14ac:dyDescent="0.25">
      <c r="A148" s="331"/>
      <c r="B148" s="331"/>
      <c r="C148" s="229"/>
      <c r="D148" s="229"/>
      <c r="E148" s="192"/>
      <c r="F148" s="192">
        <v>13</v>
      </c>
      <c r="G148" s="192">
        <v>8</v>
      </c>
      <c r="H148" s="192"/>
      <c r="I148" s="192"/>
      <c r="J148" s="192">
        <v>15</v>
      </c>
      <c r="K148" s="192">
        <v>8</v>
      </c>
      <c r="L148" s="192"/>
      <c r="M148" s="192"/>
      <c r="N148" s="192">
        <v>16</v>
      </c>
      <c r="O148" s="192">
        <v>8</v>
      </c>
      <c r="P148" s="192"/>
      <c r="Q148" s="192"/>
      <c r="R148" s="192">
        <v>16</v>
      </c>
      <c r="S148" s="192">
        <v>8</v>
      </c>
      <c r="T148" s="192"/>
      <c r="U148" s="192"/>
      <c r="V148" s="192">
        <v>16</v>
      </c>
      <c r="W148" s="192">
        <v>8</v>
      </c>
      <c r="X148" s="192"/>
      <c r="Y148" s="192"/>
      <c r="Z148" s="192">
        <v>16</v>
      </c>
      <c r="AA148" s="192">
        <v>8</v>
      </c>
      <c r="AB148" s="192"/>
      <c r="AC148" s="192"/>
      <c r="AD148" s="192">
        <v>16</v>
      </c>
      <c r="AE148" s="192">
        <v>8</v>
      </c>
      <c r="AF148" s="192"/>
      <c r="AG148" s="192" t="s">
        <v>491</v>
      </c>
      <c r="AH148" s="192" t="s">
        <v>492</v>
      </c>
      <c r="AI148" s="192" t="s">
        <v>493</v>
      </c>
      <c r="AJ148" s="335"/>
      <c r="AK148" s="334"/>
      <c r="AL148" s="286"/>
      <c r="AM148" s="286"/>
      <c r="AN148" s="212"/>
      <c r="AO148" s="286"/>
      <c r="AP148" s="212"/>
      <c r="AQ148" s="286"/>
      <c r="AR148" s="286"/>
      <c r="AS148" s="286"/>
      <c r="AT148" s="286"/>
      <c r="AU148" s="286"/>
      <c r="AV148" s="286"/>
      <c r="AW148" s="203"/>
      <c r="AX148" s="286"/>
      <c r="AY148" s="286"/>
      <c r="AZ148" s="329"/>
    </row>
    <row r="149" spans="1:52" s="163" customFormat="1" ht="20.100000000000001" customHeight="1" x14ac:dyDescent="0.2">
      <c r="A149" s="330">
        <f t="shared" si="44"/>
        <v>67</v>
      </c>
      <c r="B149" s="336" t="s">
        <v>441</v>
      </c>
      <c r="C149" s="293">
        <v>2208</v>
      </c>
      <c r="D149" s="293" t="s">
        <v>72</v>
      </c>
      <c r="E149" s="191" t="s">
        <v>43</v>
      </c>
      <c r="F149" s="191" t="s">
        <v>142</v>
      </c>
      <c r="G149" s="191" t="s">
        <v>142</v>
      </c>
      <c r="H149" s="191" t="s">
        <v>4</v>
      </c>
      <c r="I149" s="191" t="s">
        <v>43</v>
      </c>
      <c r="J149" s="191" t="s">
        <v>142</v>
      </c>
      <c r="K149" s="191" t="s">
        <v>142</v>
      </c>
      <c r="L149" s="191" t="s">
        <v>4</v>
      </c>
      <c r="M149" s="191" t="s">
        <v>43</v>
      </c>
      <c r="N149" s="191" t="s">
        <v>142</v>
      </c>
      <c r="O149" s="191" t="s">
        <v>142</v>
      </c>
      <c r="P149" s="191" t="s">
        <v>4</v>
      </c>
      <c r="Q149" s="191" t="s">
        <v>43</v>
      </c>
      <c r="R149" s="191" t="s">
        <v>142</v>
      </c>
      <c r="S149" s="191" t="s">
        <v>142</v>
      </c>
      <c r="T149" s="191" t="s">
        <v>4</v>
      </c>
      <c r="U149" s="191" t="s">
        <v>43</v>
      </c>
      <c r="V149" s="191" t="s">
        <v>142</v>
      </c>
      <c r="W149" s="191" t="s">
        <v>142</v>
      </c>
      <c r="X149" s="191" t="s">
        <v>4</v>
      </c>
      <c r="Y149" s="191" t="s">
        <v>43</v>
      </c>
      <c r="Z149" s="191" t="s">
        <v>142</v>
      </c>
      <c r="AA149" s="191" t="s">
        <v>142</v>
      </c>
      <c r="AB149" s="191" t="s">
        <v>4</v>
      </c>
      <c r="AC149" s="191" t="s">
        <v>43</v>
      </c>
      <c r="AD149" s="191" t="s">
        <v>142</v>
      </c>
      <c r="AE149" s="191" t="s">
        <v>142</v>
      </c>
      <c r="AF149" s="191" t="s">
        <v>4</v>
      </c>
      <c r="AG149" s="191"/>
      <c r="AH149" s="191"/>
      <c r="AI149" s="191"/>
      <c r="AJ149" s="332">
        <f>IFERROR(COUNTIF(E149:AI149,"=Р")+COUNTIF(E149:AI149,"=Р1")+COUNTIF(E149:AI149,"=ВЧ")+COUNTIF(E149:AI149,"=РН")+COUNTIF(E149:AI149,"=Р2")+COUNTIF(E149:AI149,"=Р1/РВ")+COUNTIF(E149:AI149,"=Р2/РВ")+COUNTIF(E149:AI149,"=ВЧ/РВ")+COUNTIF(E149:AI149,"=РН/РВ"),0)</f>
        <v>14</v>
      </c>
      <c r="AK149" s="333">
        <f>IFERROR(SUMIF(E149:AI149,"=Р2",E150:AI150)+SUMIF(E149:AI149,"=ВЧ/РВ",E150:AI150)+SUMIF(E149:AI149,"=РН/РВ",E150:AI150)+SUMIF(E149:AI149,"=Р1/РВ",E150:AI150)+SUMIF(E149:AI149,"=ВЧ2/РВ",E150:AI150)+SUMIF(E149:AI149,"=Р2/РВ",E150:AI150)+SUMIF(E149:AI149,"=Р",E150:AI150)+SUMIF(E149:AI149,"=Р1",E150:AI150)+SUMIF(E149:AI149,"=ВЧ1",E150:AI150)+SUMIF(E149:AI149,"=РН",E150:AI150)+SUMIF(E149:AI149,"=ВЧ",E150:AI150),0)+AL149</f>
        <v>164</v>
      </c>
      <c r="AL149" s="211">
        <f>IFERROR(SUMIF(E149:AI149,"=НУ",E150:AI150),0)</f>
        <v>0</v>
      </c>
      <c r="AM149" s="211">
        <f>IFERROR(SUMIF(E149:AI149,"=РН",E150:AI150)+SUMIF(E149:AI149,"=РН/РВ",E150:AI150)+SUMIFS(E150:AI150,E149:AI149,"=Р2",E150:AI150,"=8"),0)</f>
        <v>56</v>
      </c>
      <c r="AN149" s="211">
        <f>IFERROR(SUMIF(E149:AI149,"=ВЧ",E150:AI150)+SUMIF(E149:AI149,"=ВЧ/РВ",E150:AI150)+CEILING(COUNTIFS(E149:AI149,"=Р2",E150:AI150,"=7")*4,1)+CEILING(COUNTIFS(E149:AI149,"=Р2/РВ",E150:AI150,"=7")*4,1)+SUMIFS(E150:AI150,E149:AI149,"=Р1/РВ",E150:AI150,"=12")/6+SUMIFS(E150:AI150,E149:AI149,"=ВЧ2/РВ",E150:AI150,"=4")/2+SUMIFS(E150:AI150,E149:AI149,"=Р1",E150:AI150,"=12")/6+SUMIFS(E150:AI150,E149:AI149,"=Р1",E150:AI150,"=8")/4+SUMIF(E149:AI149,"=ВЧ1",E150:AI150)/2,0)+CEILING(SUMIFS(E150:AI150,E149:AI149,"=Р",E150:AI150,"=13")/4,4)+CEILING(SUMIFS(E150:AI150,E149:AI149,"=Р",E150:AI150,"=14")/4,4)+CEILING(SUMIFS(E150:AI150,E149:AI149,"=Р",E150:AI150,"=15")/4,4)+SUMIFS(E150:AI150,E149:AI149,"=Р",E150:AI150,"=16")/4+CEILING(SUMIFS(E150:AI150,E149:AI149,"=Р1",E150:AI150,"=13")/4,4)+CEILING(SUMIFS(E150:AI150,E149:AI149,"=Р1",E150:AI150,"=14")/4,4)+CEILING(SUMIFS(E150:AI150,E149:AI149,"=Р1",E150:AI150,"=15")/4,4)+SUMIFS(E150:AI150,E149:AI149,"=Р1",E150:AI150,"=16")/4</f>
        <v>28</v>
      </c>
      <c r="AO149" s="211">
        <f>IFERROR(SUMIF(E149:AI149,"=РВ",E150:AI150)+SUMIF(E149:AI149,"=ВЧ/РВ",E150:AI150)+SUMIF(E149:AI149,"=РН/РВ",E150:AI150)+SUMIF(E149:AI149,"=Р1/РВ",E150:AI150)+SUMIF(E149:AI149,"=ВЧ2/РВ",E150:AI150)+SUMIF(E149:AI149,"=Р2/РВ",E150:AI150),0)</f>
        <v>0</v>
      </c>
      <c r="AP149" s="211">
        <f>IFERROR(COUNTIF(E149:AI149,"=ВВ")+COUNTIF(E149:AI149,"=Р1/ВВ")+COUNTIF(E149:AI149,"=РН/ВВ")+COUNTIF(E149:AI149,"=ВЧ/ВВ"),0)</f>
        <v>14</v>
      </c>
      <c r="AQ149" s="211">
        <f>SUM(AR149:AZ149)</f>
        <v>0</v>
      </c>
      <c r="AR149" s="211">
        <f>IFERROR(SUMIF(E149:AI149,"=В",E150:AI150)+SUMIF(E149:AI149,"=Ч",E150:AI150)+SUMIF(E149:AI149,"=ВБ",E150:AI150),0)</f>
        <v>0</v>
      </c>
      <c r="AS149" s="211">
        <f>IFERROR(SUMIF(E149:AI149,"=Н",E150:AI150),0)</f>
        <v>0</v>
      </c>
      <c r="AT149" s="211">
        <f>IFERROR(SUMIF(E149:AI149,"=НА",E150:AI150),0)</f>
        <v>0</v>
      </c>
      <c r="AU149" s="211">
        <f>IFERROR(SUMIF(E149:AI149,"=ВП",E150:AI150),0)</f>
        <v>0</v>
      </c>
      <c r="AV149" s="211">
        <f>IFERROR(SUMIF(E149:AI149,"=ДД",E150:AI150),0)</f>
        <v>0</v>
      </c>
      <c r="AW149" s="202">
        <f>IFERROR(SUMIF(E149:AI149,"=ДО",E150:AI150),0)</f>
        <v>0</v>
      </c>
      <c r="AX149" s="211">
        <f>IFERROR(SUMIF(E149:AI149,"=ТН",E150:AI150),0)</f>
        <v>0</v>
      </c>
      <c r="AY149" s="211">
        <f>IFERROR(SUMIF(E149:AI149,"=ВД",E150:AI150),0)</f>
        <v>0</v>
      </c>
      <c r="AZ149" s="312">
        <f>IFERROR(SUMIF(E149:AI149,"=ІН",E150:AI150),0)+SUMIF(E149:AI149,"=НЗ",E150:AI150)</f>
        <v>0</v>
      </c>
    </row>
    <row r="150" spans="1:52" s="163" customFormat="1" ht="24" customHeight="1" thickBot="1" x14ac:dyDescent="0.25">
      <c r="A150" s="331"/>
      <c r="B150" s="331"/>
      <c r="C150" s="229"/>
      <c r="D150" s="229"/>
      <c r="E150" s="192">
        <v>8</v>
      </c>
      <c r="F150" s="192"/>
      <c r="G150" s="192"/>
      <c r="H150" s="192">
        <v>16</v>
      </c>
      <c r="I150" s="192">
        <v>8</v>
      </c>
      <c r="J150" s="192"/>
      <c r="K150" s="192"/>
      <c r="L150" s="192">
        <v>16</v>
      </c>
      <c r="M150" s="192">
        <v>8</v>
      </c>
      <c r="N150" s="192"/>
      <c r="O150" s="192"/>
      <c r="P150" s="192">
        <v>14</v>
      </c>
      <c r="Q150" s="192">
        <v>8</v>
      </c>
      <c r="R150" s="192"/>
      <c r="S150" s="192"/>
      <c r="T150" s="192">
        <v>16</v>
      </c>
      <c r="U150" s="192">
        <v>8</v>
      </c>
      <c r="V150" s="192"/>
      <c r="W150" s="192"/>
      <c r="X150" s="192">
        <v>14</v>
      </c>
      <c r="Y150" s="192">
        <v>8</v>
      </c>
      <c r="Z150" s="192"/>
      <c r="AA150" s="192"/>
      <c r="AB150" s="192">
        <v>16</v>
      </c>
      <c r="AC150" s="192">
        <v>8</v>
      </c>
      <c r="AD150" s="192"/>
      <c r="AE150" s="192"/>
      <c r="AF150" s="192">
        <v>16</v>
      </c>
      <c r="AG150" s="192" t="s">
        <v>491</v>
      </c>
      <c r="AH150" s="192" t="s">
        <v>492</v>
      </c>
      <c r="AI150" s="192" t="s">
        <v>493</v>
      </c>
      <c r="AJ150" s="325"/>
      <c r="AK150" s="334"/>
      <c r="AL150" s="286"/>
      <c r="AM150" s="286"/>
      <c r="AN150" s="212"/>
      <c r="AO150" s="286"/>
      <c r="AP150" s="212"/>
      <c r="AQ150" s="286"/>
      <c r="AR150" s="286"/>
      <c r="AS150" s="286"/>
      <c r="AT150" s="286"/>
      <c r="AU150" s="286"/>
      <c r="AV150" s="286"/>
      <c r="AW150" s="203"/>
      <c r="AX150" s="286"/>
      <c r="AY150" s="286"/>
      <c r="AZ150" s="329"/>
    </row>
    <row r="151" spans="1:52" ht="20.100000000000001" customHeight="1" x14ac:dyDescent="0.2">
      <c r="A151" s="330">
        <f t="shared" si="44"/>
        <v>68</v>
      </c>
      <c r="B151" s="348" t="s">
        <v>256</v>
      </c>
      <c r="C151" s="230">
        <v>1223</v>
      </c>
      <c r="D151" s="230" t="s">
        <v>65</v>
      </c>
      <c r="E151" s="191" t="s">
        <v>4</v>
      </c>
      <c r="F151" s="191" t="s">
        <v>43</v>
      </c>
      <c r="G151" s="191" t="s">
        <v>142</v>
      </c>
      <c r="H151" s="191" t="s">
        <v>142</v>
      </c>
      <c r="I151" s="191" t="s">
        <v>4</v>
      </c>
      <c r="J151" s="191" t="s">
        <v>43</v>
      </c>
      <c r="K151" s="191" t="s">
        <v>142</v>
      </c>
      <c r="L151" s="191" t="s">
        <v>142</v>
      </c>
      <c r="M151" s="191" t="s">
        <v>4</v>
      </c>
      <c r="N151" s="191" t="s">
        <v>43</v>
      </c>
      <c r="O151" s="191" t="s">
        <v>142</v>
      </c>
      <c r="P151" s="191" t="s">
        <v>142</v>
      </c>
      <c r="Q151" s="191" t="s">
        <v>4</v>
      </c>
      <c r="R151" s="191" t="s">
        <v>43</v>
      </c>
      <c r="S151" s="191" t="s">
        <v>142</v>
      </c>
      <c r="T151" s="191" t="s">
        <v>142</v>
      </c>
      <c r="U151" s="191" t="s">
        <v>4</v>
      </c>
      <c r="V151" s="191" t="s">
        <v>43</v>
      </c>
      <c r="W151" s="191" t="s">
        <v>142</v>
      </c>
      <c r="X151" s="191" t="s">
        <v>142</v>
      </c>
      <c r="Y151" s="191" t="s">
        <v>4</v>
      </c>
      <c r="Z151" s="191" t="s">
        <v>43</v>
      </c>
      <c r="AA151" s="191" t="s">
        <v>142</v>
      </c>
      <c r="AB151" s="191" t="s">
        <v>142</v>
      </c>
      <c r="AC151" s="191" t="s">
        <v>4</v>
      </c>
      <c r="AD151" s="191" t="s">
        <v>43</v>
      </c>
      <c r="AE151" s="191" t="s">
        <v>142</v>
      </c>
      <c r="AF151" s="191" t="s">
        <v>142</v>
      </c>
      <c r="AG151" s="191" t="s">
        <v>4</v>
      </c>
      <c r="AH151" s="191" t="s">
        <v>43</v>
      </c>
      <c r="AI151" s="191" t="s">
        <v>142</v>
      </c>
      <c r="AJ151" s="350">
        <f>IFERROR(COUNTIF(E151:AI151,"=Р")+COUNTIF(E151:AI151,"=Р1")+COUNTIF(E151:AI151,"=ВЧ")+COUNTIF(E151:AI151,"=РН")+COUNTIF(E151:AI151,"=Р2")+COUNTIF(E151:AI151,"=Р1/РВ")+COUNTIF(E151:AI151,"=Р2/РВ")+COUNTIF(E151:AI151,"=ВЧ/РВ")+COUNTIF(E151:AI151,"=РН/РВ"),0)</f>
        <v>16</v>
      </c>
      <c r="AK151" s="357">
        <f>IFERROR(SUMIF(E151:AI151,"=Р2",E152:AI152)+SUMIF(E151:AI151,"=ВЧ/РВ",E152:AI152)+SUMIF(E151:AI151,"=РН/РВ",E152:AI152)+SUMIF(E151:AI151,"=Р1/РВ",E152:AI152)+SUMIF(E151:AI151,"=ВЧ2/РВ",E152:AI152)+SUMIF(E151:AI151,"=Р2/РВ",E152:AI152)+SUMIF(E151:AI151,"=Р",E152:AI152)+SUMIF(E151:AI151,"=Р1",E152:AI152)+SUMIF(E151:AI151,"=ВЧ1",E152:AI152)+SUMIF(E151:AI151,"=РН",E152:AI152)+SUMIF(E151:AI151,"=ВЧ",E152:AI152),0)+AL151</f>
        <v>168</v>
      </c>
      <c r="AL151" s="202">
        <f>IFERROR(SUMIF(E151:AI151,"=НУ",E152:AI152),0)</f>
        <v>0</v>
      </c>
      <c r="AM151" s="202">
        <f>IFERROR(SUMIF(E151:AI151,"=РН",E152:AI152)+SUMIF(E151:AI151,"=РН/РВ",E152:AI152)+SUMIFS(E152:AI152,E151:AI151,"=Р2",E152:AI152,"=8"),0)</f>
        <v>64</v>
      </c>
      <c r="AN151" s="211">
        <f>IFERROR(SUMIF(E151:AI151,"=ВЧ",E152:AI152)+SUMIF(E151:AI151,"=ВЧ/РВ",E152:AI152)+CEILING(COUNTIFS(E151:AI151,"=Р2",E152:AI152,"=7")*4,1)+CEILING(COUNTIFS(E151:AI151,"=Р2/РВ",E152:AI152,"=7")*4,1)+SUMIFS(E152:AI152,E151:AI151,"=Р1/РВ",E152:AI152,"=12")/6+SUMIFS(E152:AI152,E151:AI151,"=ВЧ2/РВ",E152:AI152,"=4")/2+SUMIFS(E152:AI152,E151:AI151,"=Р1",E152:AI152,"=12")/6+SUMIFS(E152:AI152,E151:AI151,"=Р1",E152:AI152,"=8")/4+SUMIF(E151:AI151,"=ВЧ1",E152:AI152)/2,0)+CEILING(SUMIFS(E152:AI152,E151:AI151,"=Р",E152:AI152,"=13")/4,8)+CEILING(SUMIFS(E152:AI152,E151:AI151,"=Р",E152:AI152,"=14")/4,4)+CEILING(SUMIFS(E152:AI152,E151:AI151,"=Р",E152:AI152,"=15")/4,4)+SUMIFS(E152:AI152,E151:AI151,"=Р",E152:AI152,"=16")/4+CEILING(SUMIFS(E152:AI152,E151:AI151,"=Р1",E152:AI152,"=13")/4,4)+CEILING(SUMIFS(E152:AI152,E151:AI151,"=Р1",E152:AI152,"=14")/4,4)+CEILING(SUMIFS(E152:AI152,E151:AI151,"=Р1",E152:AI152,"=15")/4,4)+SUMIFS(E152:AI152,E151:AI151,"=Р1",E152:AI152,"=16")/4</f>
        <v>32</v>
      </c>
      <c r="AO151" s="202">
        <f>IFERROR(SUMIF(E151:AI151,"=РВ",E152:AI152)+SUMIF(E151:AI151,"=ВЧ/РВ",E152:AI152)+SUMIF(E151:AI151,"=РН/РВ",E152:AI152)+SUMIF(E151:AI151,"=Р1/РВ",E152:AI152)+SUMIF(E151:AI151,"=ВЧ2/РВ",E152:AI152)+SUMIF(E151:AI151,"=Р2/РВ",E152:AI152),0)</f>
        <v>0</v>
      </c>
      <c r="AP151" s="202">
        <f>IFERROR(COUNTIF(E151:AI151,"=ВВ")+COUNTIF(E151:AI151,"=Р1/ВВ")+COUNTIF(E151:AI151,"=РН/ВВ")+COUNTIF(E151:AI151,"=ВЧ/ВВ"),0)</f>
        <v>15</v>
      </c>
      <c r="AQ151" s="202">
        <f>SUM(AR151:AZ151)</f>
        <v>0</v>
      </c>
      <c r="AR151" s="202">
        <f>IFERROR(SUMIF(E151:AI151,"=В",E152:AI152)+SUMIF(E151:AI151,"=Ч",E152:AI152)+SUMIF(E151:AI151,"=ВБ",E152:AI152),0)</f>
        <v>0</v>
      </c>
      <c r="AS151" s="211">
        <f>IFERROR(SUMIF(E151:AI151,"=Н",E152:AI152),0)</f>
        <v>0</v>
      </c>
      <c r="AT151" s="202">
        <f>IFERROR(SUMIF(E151:AI151,"=НА",E152:AI152),0)</f>
        <v>0</v>
      </c>
      <c r="AU151" s="202">
        <f>IFERROR(SUMIF(E151:AI151,"=ВП",E152:AI152),0)</f>
        <v>0</v>
      </c>
      <c r="AV151" s="202">
        <f>IFERROR(SUMIF(E151:AI151,"=ДД",E152:AI152),0)</f>
        <v>0</v>
      </c>
      <c r="AW151" s="202">
        <f>IFERROR(SUMIF(E151:AI151,"=ДО",E152:AI152),0)</f>
        <v>0</v>
      </c>
      <c r="AX151" s="202">
        <f>IFERROR(SUMIF(E151:AI151,"=ТН",E152:AI152),0)</f>
        <v>0</v>
      </c>
      <c r="AY151" s="202">
        <f>IFERROR(SUMIF(E151:AI151,"=ВД",E152:AI152),0)</f>
        <v>0</v>
      </c>
      <c r="AZ151" s="312">
        <f>IFERROR(SUMIF(E151:AI151,"=ІН",E152:AI152),0)+SUMIF(E151:AI151,"=НЗ",E152:AI152)</f>
        <v>0</v>
      </c>
    </row>
    <row r="152" spans="1:52" ht="20.100000000000001" customHeight="1" thickBot="1" x14ac:dyDescent="0.25">
      <c r="A152" s="331"/>
      <c r="B152" s="349"/>
      <c r="C152" s="231"/>
      <c r="D152" s="231"/>
      <c r="E152" s="192">
        <v>13</v>
      </c>
      <c r="F152" s="192">
        <v>8</v>
      </c>
      <c r="G152" s="192"/>
      <c r="H152" s="192"/>
      <c r="I152" s="192">
        <v>13</v>
      </c>
      <c r="J152" s="192">
        <v>8</v>
      </c>
      <c r="K152" s="192"/>
      <c r="L152" s="192"/>
      <c r="M152" s="192">
        <v>13</v>
      </c>
      <c r="N152" s="192">
        <v>8</v>
      </c>
      <c r="O152" s="192"/>
      <c r="P152" s="192"/>
      <c r="Q152" s="192">
        <v>13</v>
      </c>
      <c r="R152" s="192">
        <v>8</v>
      </c>
      <c r="S152" s="192"/>
      <c r="T152" s="192"/>
      <c r="U152" s="192">
        <v>13</v>
      </c>
      <c r="V152" s="192">
        <v>8</v>
      </c>
      <c r="W152" s="192"/>
      <c r="X152" s="192"/>
      <c r="Y152" s="192">
        <v>13</v>
      </c>
      <c r="Z152" s="192">
        <v>8</v>
      </c>
      <c r="AA152" s="192"/>
      <c r="AB152" s="192"/>
      <c r="AC152" s="192">
        <v>13</v>
      </c>
      <c r="AD152" s="192">
        <v>8</v>
      </c>
      <c r="AE152" s="192"/>
      <c r="AF152" s="192"/>
      <c r="AG152" s="192">
        <v>13</v>
      </c>
      <c r="AH152" s="192">
        <v>8</v>
      </c>
      <c r="AI152" s="192"/>
      <c r="AJ152" s="351"/>
      <c r="AK152" s="358"/>
      <c r="AL152" s="203"/>
      <c r="AM152" s="203"/>
      <c r="AN152" s="212"/>
      <c r="AO152" s="203"/>
      <c r="AP152" s="203"/>
      <c r="AQ152" s="203"/>
      <c r="AR152" s="203"/>
      <c r="AS152" s="286"/>
      <c r="AT152" s="203"/>
      <c r="AU152" s="203"/>
      <c r="AV152" s="203"/>
      <c r="AW152" s="203"/>
      <c r="AX152" s="203"/>
      <c r="AY152" s="203"/>
      <c r="AZ152" s="329"/>
    </row>
    <row r="153" spans="1:52" ht="20.100000000000001" customHeight="1" x14ac:dyDescent="0.2">
      <c r="A153" s="330">
        <f t="shared" si="44"/>
        <v>69</v>
      </c>
      <c r="B153" s="330" t="s">
        <v>257</v>
      </c>
      <c r="C153" s="228">
        <v>2125</v>
      </c>
      <c r="D153" s="228" t="s">
        <v>65</v>
      </c>
      <c r="E153" s="191" t="s">
        <v>142</v>
      </c>
      <c r="F153" s="191" t="s">
        <v>4</v>
      </c>
      <c r="G153" s="191" t="s">
        <v>43</v>
      </c>
      <c r="H153" s="191" t="s">
        <v>142</v>
      </c>
      <c r="I153" s="191" t="s">
        <v>142</v>
      </c>
      <c r="J153" s="191" t="s">
        <v>4</v>
      </c>
      <c r="K153" s="191" t="s">
        <v>43</v>
      </c>
      <c r="L153" s="191" t="s">
        <v>142</v>
      </c>
      <c r="M153" s="191" t="s">
        <v>142</v>
      </c>
      <c r="N153" s="191" t="s">
        <v>4</v>
      </c>
      <c r="O153" s="191" t="s">
        <v>43</v>
      </c>
      <c r="P153" s="191" t="s">
        <v>142</v>
      </c>
      <c r="Q153" s="191" t="s">
        <v>142</v>
      </c>
      <c r="R153" s="191" t="s">
        <v>4</v>
      </c>
      <c r="S153" s="191" t="s">
        <v>43</v>
      </c>
      <c r="T153" s="191" t="s">
        <v>142</v>
      </c>
      <c r="U153" s="191" t="s">
        <v>142</v>
      </c>
      <c r="V153" s="191" t="s">
        <v>4</v>
      </c>
      <c r="W153" s="191" t="s">
        <v>43</v>
      </c>
      <c r="X153" s="191" t="s">
        <v>142</v>
      </c>
      <c r="Y153" s="191" t="s">
        <v>142</v>
      </c>
      <c r="Z153" s="191" t="s">
        <v>4</v>
      </c>
      <c r="AA153" s="191" t="s">
        <v>43</v>
      </c>
      <c r="AB153" s="191" t="s">
        <v>142</v>
      </c>
      <c r="AC153" s="191" t="s">
        <v>142</v>
      </c>
      <c r="AD153" s="191" t="s">
        <v>4</v>
      </c>
      <c r="AE153" s="191" t="s">
        <v>43</v>
      </c>
      <c r="AF153" s="191" t="s">
        <v>142</v>
      </c>
      <c r="AG153" s="191" t="s">
        <v>142</v>
      </c>
      <c r="AH153" s="191" t="s">
        <v>4</v>
      </c>
      <c r="AI153" s="191" t="s">
        <v>43</v>
      </c>
      <c r="AJ153" s="332">
        <f>IFERROR(COUNTIF(E153:AI153,"=Р")+COUNTIF(E153:AI153,"=Р1")+COUNTIF(E153:AI153,"=ВЧ")+COUNTIF(E153:AI153,"=РН")+COUNTIF(E153:AI153,"=Р2")+COUNTIF(E153:AI153,"=Р1/РВ")+COUNTIF(E153:AI153,"=Р2/РВ")+COUNTIF(E153:AI153,"=ВЧ/РВ")+COUNTIF(E153:AI153,"=РН/РВ"),0)</f>
        <v>16</v>
      </c>
      <c r="AK153" s="333">
        <f>IFERROR(SUMIF(E153:AI153,"=Р2",E154:AI154)+SUMIF(E153:AI153,"=ВЧ/РВ",E154:AI154)+SUMIF(E153:AI153,"=РН/РВ",E154:AI154)+SUMIF(E153:AI153,"=Р1/РВ",E154:AI154)+SUMIF(E153:AI153,"=ВЧ2/РВ",E154:AI154)+SUMIF(E153:AI153,"=Р2/РВ",E154:AI154)+SUMIF(E153:AI153,"=Р",E154:AI154)+SUMIF(E153:AI153,"=Р1",E154:AI154)+SUMIF(E153:AI153,"=ВЧ1",E154:AI154)+SUMIF(E153:AI153,"=РН",E154:AI154)+SUMIF(E153:AI153,"=ВЧ",E154:AI154),0)+AL153</f>
        <v>168</v>
      </c>
      <c r="AL153" s="211">
        <f>IFERROR(SUMIF(E153:AI153,"=НУ",E154:AI154),0)</f>
        <v>0</v>
      </c>
      <c r="AM153" s="211">
        <f>IFERROR(SUMIF(E153:AI153,"=РН",E154:AI154)+SUMIF(E153:AI153,"=РН/РВ",E154:AI154)+SUMIFS(E154:AI154,E153:AI153,"=Р2",E154:AI154,"=8"),0)</f>
        <v>64</v>
      </c>
      <c r="AN153" s="211">
        <f>IFERROR(SUMIF(E153:AI153,"=ВЧ",E154:AI154)+SUMIF(E153:AI153,"=ВЧ/РВ",E154:AI154)+CEILING(COUNTIFS(E153:AI153,"=Р2",E154:AI154,"=7")*4,1)+CEILING(COUNTIFS(E153:AI153,"=Р2/РВ",E154:AI154,"=7")*4,1)+SUMIFS(E154:AI154,E153:AI153,"=Р1/РВ",E154:AI154,"=12")/6+SUMIFS(E154:AI154,E153:AI153,"=ВЧ2/РВ",E154:AI154,"=4")/2+SUMIFS(E154:AI154,E153:AI153,"=Р1",E154:AI154,"=12")/6+SUMIFS(E154:AI154,E153:AI153,"=Р1",E154:AI154,"=8")/4+SUMIF(E153:AI153,"=ВЧ1",E154:AI154)/2,0)+CEILING(SUMIFS(E154:AI154,E153:AI153,"=Р",E154:AI154,"=13")/4,8)+CEILING(SUMIFS(E154:AI154,E153:AI153,"=Р",E154:AI154,"=14")/4,4)+CEILING(SUMIFS(E154:AI154,E153:AI153,"=Р",E154:AI154,"=15")/4,4)+SUMIFS(E154:AI154,E153:AI153,"=Р",E154:AI154,"=16")/4+CEILING(SUMIFS(E154:AI154,E153:AI153,"=Р1",E154:AI154,"=13")/4,4)+CEILING(SUMIFS(E154:AI154,E153:AI153,"=Р1",E154:AI154,"=14")/4,4)+CEILING(SUMIFS(E154:AI154,E153:AI153,"=Р1",E154:AI154,"=15")/4,4)+SUMIFS(E154:AI154,E153:AI153,"=Р1",E154:AI154,"=16")/4</f>
        <v>32</v>
      </c>
      <c r="AO153" s="211">
        <f>IFERROR(SUMIF(E153:AI153,"=РВ",E154:AI154)+SUMIF(E153:AI153,"=ВЧ/РВ",E154:AI154)+SUMIF(E153:AI153,"=РН/РВ",E154:AI154)+SUMIF(E153:AI153,"=Р1/РВ",E154:AI154)+SUMIF(E153:AI153,"=ВЧ2/РВ",E154:AI154)+SUMIF(E153:AI153,"=Р2/РВ",E154:AI154),0)</f>
        <v>0</v>
      </c>
      <c r="AP153" s="211">
        <f>IFERROR(COUNTIF(E153:AI153,"=ВВ")+COUNTIF(E153:AI153,"=Р1/ВВ")+COUNTIF(E153:AI153,"=РН/ВВ")+COUNTIF(E153:AI153,"=ВЧ/ВВ"),0)</f>
        <v>15</v>
      </c>
      <c r="AQ153" s="211">
        <f>SUM(AR153:AZ153)</f>
        <v>0</v>
      </c>
      <c r="AR153" s="211">
        <f>IFERROR(SUMIF(E153:AI153,"=В",E154:AI154)+SUMIF(E153:AI153,"=Ч",E154:AI154)+SUMIF(E153:AI153,"=ВБ",E154:AI154),0)</f>
        <v>0</v>
      </c>
      <c r="AS153" s="211">
        <f>IFERROR(SUMIF(E153:AI153,"=Н",E154:AI154),0)</f>
        <v>0</v>
      </c>
      <c r="AT153" s="211">
        <f>IFERROR(SUMIF(E153:AI153,"=НА",E154:AI154),0)</f>
        <v>0</v>
      </c>
      <c r="AU153" s="211">
        <f>IFERROR(SUMIF(E153:AI153,"=ВП",E154:AI154),0)</f>
        <v>0</v>
      </c>
      <c r="AV153" s="211">
        <f>IFERROR(SUMIF(E153:AI153,"=ДД",E154:AI154),0)</f>
        <v>0</v>
      </c>
      <c r="AW153" s="202">
        <f>IFERROR(SUMIF(E153:AI153,"=ДО",E154:AI154),0)</f>
        <v>0</v>
      </c>
      <c r="AX153" s="211">
        <f>IFERROR(SUMIF(E153:AI153,"=ТН",E154:AI154),0)</f>
        <v>0</v>
      </c>
      <c r="AY153" s="211">
        <f>IFERROR(SUMIF(E153:AI153,"=ВД",E154:AI154),0)</f>
        <v>0</v>
      </c>
      <c r="AZ153" s="312">
        <f>IFERROR(SUMIF(E153:AI153,"=ІН",E154:AI154),0)+SUMIF(E153:AI153,"=НЗ",E154:AI154)</f>
        <v>0</v>
      </c>
    </row>
    <row r="154" spans="1:52" ht="20.100000000000001" customHeight="1" thickBot="1" x14ac:dyDescent="0.25">
      <c r="A154" s="331"/>
      <c r="B154" s="331"/>
      <c r="C154" s="229"/>
      <c r="D154" s="229"/>
      <c r="E154" s="192"/>
      <c r="F154" s="192">
        <v>13</v>
      </c>
      <c r="G154" s="192">
        <v>8</v>
      </c>
      <c r="H154" s="192"/>
      <c r="I154" s="192"/>
      <c r="J154" s="192">
        <v>13</v>
      </c>
      <c r="K154" s="192">
        <v>8</v>
      </c>
      <c r="L154" s="192"/>
      <c r="M154" s="192"/>
      <c r="N154" s="192">
        <v>13</v>
      </c>
      <c r="O154" s="192">
        <v>8</v>
      </c>
      <c r="P154" s="192"/>
      <c r="Q154" s="192"/>
      <c r="R154" s="192">
        <v>13</v>
      </c>
      <c r="S154" s="192">
        <v>8</v>
      </c>
      <c r="T154" s="192"/>
      <c r="U154" s="192"/>
      <c r="V154" s="192">
        <v>13</v>
      </c>
      <c r="W154" s="192">
        <v>8</v>
      </c>
      <c r="X154" s="192"/>
      <c r="Y154" s="192"/>
      <c r="Z154" s="192">
        <v>13</v>
      </c>
      <c r="AA154" s="192">
        <v>8</v>
      </c>
      <c r="AB154" s="192"/>
      <c r="AC154" s="192"/>
      <c r="AD154" s="192">
        <v>13</v>
      </c>
      <c r="AE154" s="192">
        <v>8</v>
      </c>
      <c r="AF154" s="192"/>
      <c r="AG154" s="192"/>
      <c r="AH154" s="192">
        <v>13</v>
      </c>
      <c r="AI154" s="192">
        <v>8</v>
      </c>
      <c r="AJ154" s="335"/>
      <c r="AK154" s="334"/>
      <c r="AL154" s="286"/>
      <c r="AM154" s="286"/>
      <c r="AN154" s="212"/>
      <c r="AO154" s="286"/>
      <c r="AP154" s="212"/>
      <c r="AQ154" s="286"/>
      <c r="AR154" s="286"/>
      <c r="AS154" s="286"/>
      <c r="AT154" s="286"/>
      <c r="AU154" s="286"/>
      <c r="AV154" s="286"/>
      <c r="AW154" s="203"/>
      <c r="AX154" s="286"/>
      <c r="AY154" s="286"/>
      <c r="AZ154" s="329"/>
    </row>
    <row r="155" spans="1:52" ht="20.25" customHeight="1" x14ac:dyDescent="0.2">
      <c r="A155" s="330">
        <f t="shared" si="44"/>
        <v>70</v>
      </c>
      <c r="B155" s="330" t="s">
        <v>258</v>
      </c>
      <c r="C155" s="228">
        <v>1194</v>
      </c>
      <c r="D155" s="228" t="s">
        <v>65</v>
      </c>
      <c r="E155" s="191" t="s">
        <v>4</v>
      </c>
      <c r="F155" s="191" t="s">
        <v>43</v>
      </c>
      <c r="G155" s="191" t="s">
        <v>142</v>
      </c>
      <c r="H155" s="191" t="s">
        <v>142</v>
      </c>
      <c r="I155" s="191" t="s">
        <v>4</v>
      </c>
      <c r="J155" s="191" t="s">
        <v>43</v>
      </c>
      <c r="K155" s="191" t="s">
        <v>142</v>
      </c>
      <c r="L155" s="191" t="s">
        <v>142</v>
      </c>
      <c r="M155" s="191" t="s">
        <v>4</v>
      </c>
      <c r="N155" s="191" t="s">
        <v>43</v>
      </c>
      <c r="O155" s="191" t="s">
        <v>142</v>
      </c>
      <c r="P155" s="191" t="s">
        <v>142</v>
      </c>
      <c r="Q155" s="191" t="s">
        <v>4</v>
      </c>
      <c r="R155" s="191" t="s">
        <v>43</v>
      </c>
      <c r="S155" s="191" t="s">
        <v>142</v>
      </c>
      <c r="T155" s="191" t="s">
        <v>142</v>
      </c>
      <c r="U155" s="191" t="s">
        <v>4</v>
      </c>
      <c r="V155" s="191" t="s">
        <v>43</v>
      </c>
      <c r="W155" s="191" t="s">
        <v>142</v>
      </c>
      <c r="X155" s="191" t="s">
        <v>142</v>
      </c>
      <c r="Y155" s="191" t="s">
        <v>4</v>
      </c>
      <c r="Z155" s="191" t="s">
        <v>43</v>
      </c>
      <c r="AA155" s="191" t="s">
        <v>142</v>
      </c>
      <c r="AB155" s="191" t="s">
        <v>142</v>
      </c>
      <c r="AC155" s="191" t="s">
        <v>4</v>
      </c>
      <c r="AD155" s="191" t="s">
        <v>43</v>
      </c>
      <c r="AE155" s="191" t="s">
        <v>142</v>
      </c>
      <c r="AF155" s="191" t="s">
        <v>142</v>
      </c>
      <c r="AG155" s="191" t="s">
        <v>4</v>
      </c>
      <c r="AH155" s="191" t="s">
        <v>43</v>
      </c>
      <c r="AI155" s="191" t="s">
        <v>142</v>
      </c>
      <c r="AJ155" s="332">
        <f>IFERROR(COUNTIF(E155:AI155,"=Р")+COUNTIF(E155:AI155,"=Р1")+COUNTIF(E155:AI155,"=ВЧ")+COUNTIF(E155:AI155,"=РН")+COUNTIF(E155:AI155,"=Р2")+COUNTIF(E155:AI155,"=Р1/РВ")+COUNTIF(E155:AI155,"=Р2/РВ")+COUNTIF(E155:AI155,"=ВЧ/РВ")+COUNTIF(E155:AI155,"=РН/РВ"),0)</f>
        <v>16</v>
      </c>
      <c r="AK155" s="333">
        <f>IFERROR(SUMIF(E155:AI155,"=Р2",E156:AI156)+SUMIF(E155:AI155,"=ВЧ/РВ",E156:AI156)+SUMIF(E155:AI155,"=РН/РВ",E156:AI156)+SUMIF(E155:AI155,"=Р1/РВ",E156:AI156)+SUMIF(E155:AI155,"=ВЧ2/РВ",E156:AI156)+SUMIF(E155:AI155,"=Р2/РВ",E156:AI156)+SUMIF(E155:AI155,"=Р",E156:AI156)+SUMIF(E155:AI155,"=Р1",E156:AI156)+SUMIF(E155:AI155,"=ВЧ1",E156:AI156)+SUMIF(E155:AI155,"=РН",E156:AI156)+SUMIF(E155:AI155,"=ВЧ",E156:AI156),0)+AL155</f>
        <v>168</v>
      </c>
      <c r="AL155" s="211">
        <f>IFERROR(SUMIF(E155:AI155,"=НУ",E156:AI156),0)</f>
        <v>0</v>
      </c>
      <c r="AM155" s="211">
        <f>IFERROR(SUMIF(E155:AI155,"=РН",E156:AI156)+SUMIF(E155:AI155,"=РН/РВ",E156:AI156)+SUMIFS(E156:AI156,E155:AI155,"=Р2",E156:AI156,"=8"),0)</f>
        <v>64</v>
      </c>
      <c r="AN155" s="211">
        <f>IFERROR(SUMIF(E155:AI155,"=ВЧ",E156:AI156)+SUMIF(E155:AI155,"=ВЧ/РВ",E156:AI156)+CEILING(COUNTIFS(E155:AI155,"=Р2",E156:AI156,"=7")*4,1)+CEILING(COUNTIFS(E155:AI155,"=Р2/РВ",E156:AI156,"=7")*4,1)+SUMIFS(E156:AI156,E155:AI155,"=Р1/РВ",E156:AI156,"=12")/6+SUMIFS(E156:AI156,E155:AI155,"=ВЧ2/РВ",E156:AI156,"=4")/2+SUMIFS(E156:AI156,E155:AI155,"=Р1",E156:AI156,"=12")/6+SUMIFS(E156:AI156,E155:AI155,"=Р1",E156:AI156,"=8")/4+SUMIF(E155:AI155,"=ВЧ1",E156:AI156)/2,0)+CEILING(SUMIFS(E156:AI156,E155:AI155,"=Р",E156:AI156,"=13")/4,8)+CEILING(SUMIFS(E156:AI156,E155:AI155,"=Р",E156:AI156,"=14")/4,4)+CEILING(SUMIFS(E156:AI156,E155:AI155,"=Р",E156:AI156,"=15")/4,4)+SUMIFS(E156:AI156,E155:AI155,"=Р",E156:AI156,"=16")/4+CEILING(SUMIFS(E156:AI156,E155:AI155,"=Р1",E156:AI156,"=13")/4,4)+CEILING(SUMIFS(E156:AI156,E155:AI155,"=Р1",E156:AI156,"=14")/4,4)+CEILING(SUMIFS(E156:AI156,E155:AI155,"=Р1",E156:AI156,"=15")/4,4)+SUMIFS(E156:AI156,E155:AI155,"=Р1",E156:AI156,"=16")/4</f>
        <v>32</v>
      </c>
      <c r="AO155" s="211">
        <f>IFERROR(SUMIF(E155:AI155,"=РВ",E156:AI156)+SUMIF(E155:AI155,"=ВЧ/РВ",E156:AI156)+SUMIF(E155:AI155,"=РН/РВ",E156:AI156)+SUMIF(E155:AI155,"=Р1/РВ",E156:AI156)+SUMIF(E155:AI155,"=ВЧ2/РВ",E156:AI156)+SUMIF(E155:AI155,"=Р2/РВ",E156:AI156),0)</f>
        <v>0</v>
      </c>
      <c r="AP155" s="211">
        <f>IFERROR(COUNTIF(E155:AI155,"=ВВ")+COUNTIF(E155:AI155,"=Р1/ВВ")+COUNTIF(E155:AI155,"=РН/ВВ")+COUNTIF(E155:AI155,"=ВЧ/ВВ"),0)</f>
        <v>15</v>
      </c>
      <c r="AQ155" s="211">
        <f>SUM(AR155:AZ155)</f>
        <v>0</v>
      </c>
      <c r="AR155" s="211">
        <f>IFERROR(SUMIF(E155:AI155,"=В",E156:AI156)+SUMIF(E155:AI155,"=Ч",E156:AI156)+SUMIF(E155:AI155,"=ВБ",E156:AI156),0)</f>
        <v>0</v>
      </c>
      <c r="AS155" s="211">
        <f>IFERROR(SUMIF(E155:AI155,"=Н",E156:AI156),0)</f>
        <v>0</v>
      </c>
      <c r="AT155" s="211">
        <f>IFERROR(SUMIF(E155:AI155,"=НА",E156:AI156),0)</f>
        <v>0</v>
      </c>
      <c r="AU155" s="211">
        <f>IFERROR(SUMIF(E155:AI155,"=ВП",E156:AI156),0)</f>
        <v>0</v>
      </c>
      <c r="AV155" s="211">
        <f>IFERROR(SUMIF(E155:AI155,"=ДД",E156:AI156),0)</f>
        <v>0</v>
      </c>
      <c r="AW155" s="202">
        <f>IFERROR(SUMIF(E155:AI155,"=ДО",E156:AI156),0)</f>
        <v>0</v>
      </c>
      <c r="AX155" s="211">
        <f>IFERROR(SUMIF(E155:AI155,"=ТН",E156:AI156),0)</f>
        <v>0</v>
      </c>
      <c r="AY155" s="211">
        <f>IFERROR(SUMIF(E155:AI155,"=ВД",E156:AI156),0)</f>
        <v>0</v>
      </c>
      <c r="AZ155" s="312">
        <f>IFERROR(SUMIF(E155:AI155,"=ІН",E156:AI156),0)+SUMIF(E155:AI155,"=НЗ",E156:AI156)</f>
        <v>0</v>
      </c>
    </row>
    <row r="156" spans="1:52" ht="20.100000000000001" customHeight="1" thickBot="1" x14ac:dyDescent="0.25">
      <c r="A156" s="331"/>
      <c r="B156" s="331"/>
      <c r="C156" s="229"/>
      <c r="D156" s="229"/>
      <c r="E156" s="192">
        <v>13</v>
      </c>
      <c r="F156" s="192">
        <v>8</v>
      </c>
      <c r="G156" s="192"/>
      <c r="H156" s="192"/>
      <c r="I156" s="192">
        <v>13</v>
      </c>
      <c r="J156" s="192">
        <v>8</v>
      </c>
      <c r="K156" s="192"/>
      <c r="L156" s="192"/>
      <c r="M156" s="192">
        <v>13</v>
      </c>
      <c r="N156" s="192">
        <v>8</v>
      </c>
      <c r="O156" s="192"/>
      <c r="P156" s="192"/>
      <c r="Q156" s="192">
        <v>13</v>
      </c>
      <c r="R156" s="192">
        <v>8</v>
      </c>
      <c r="S156" s="192"/>
      <c r="T156" s="192"/>
      <c r="U156" s="192">
        <v>13</v>
      </c>
      <c r="V156" s="192">
        <v>8</v>
      </c>
      <c r="W156" s="192"/>
      <c r="X156" s="192"/>
      <c r="Y156" s="192">
        <v>13</v>
      </c>
      <c r="Z156" s="192">
        <v>8</v>
      </c>
      <c r="AA156" s="192"/>
      <c r="AB156" s="192"/>
      <c r="AC156" s="192">
        <v>13</v>
      </c>
      <c r="AD156" s="192">
        <v>8</v>
      </c>
      <c r="AE156" s="192"/>
      <c r="AF156" s="192"/>
      <c r="AG156" s="192">
        <v>13</v>
      </c>
      <c r="AH156" s="192">
        <v>8</v>
      </c>
      <c r="AI156" s="192"/>
      <c r="AJ156" s="335"/>
      <c r="AK156" s="334"/>
      <c r="AL156" s="286"/>
      <c r="AM156" s="286"/>
      <c r="AN156" s="212"/>
      <c r="AO156" s="286"/>
      <c r="AP156" s="212"/>
      <c r="AQ156" s="286"/>
      <c r="AR156" s="286"/>
      <c r="AS156" s="286"/>
      <c r="AT156" s="286"/>
      <c r="AU156" s="286"/>
      <c r="AV156" s="286"/>
      <c r="AW156" s="203"/>
      <c r="AX156" s="286"/>
      <c r="AY156" s="286"/>
      <c r="AZ156" s="329"/>
    </row>
    <row r="157" spans="1:52" s="163" customFormat="1" ht="20.100000000000001" customHeight="1" x14ac:dyDescent="0.2">
      <c r="A157" s="330">
        <f t="shared" si="44"/>
        <v>71</v>
      </c>
      <c r="B157" s="336" t="s">
        <v>446</v>
      </c>
      <c r="C157" s="293">
        <v>1845</v>
      </c>
      <c r="D157" s="293" t="s">
        <v>72</v>
      </c>
      <c r="E157" s="191" t="s">
        <v>4</v>
      </c>
      <c r="F157" s="191" t="s">
        <v>43</v>
      </c>
      <c r="G157" s="191" t="s">
        <v>142</v>
      </c>
      <c r="H157" s="191" t="s">
        <v>142</v>
      </c>
      <c r="I157" s="191" t="s">
        <v>4</v>
      </c>
      <c r="J157" s="191" t="s">
        <v>43</v>
      </c>
      <c r="K157" s="191" t="s">
        <v>142</v>
      </c>
      <c r="L157" s="191" t="s">
        <v>142</v>
      </c>
      <c r="M157" s="191" t="s">
        <v>4</v>
      </c>
      <c r="N157" s="191" t="s">
        <v>43</v>
      </c>
      <c r="O157" s="191" t="s">
        <v>142</v>
      </c>
      <c r="P157" s="191" t="s">
        <v>142</v>
      </c>
      <c r="Q157" s="191" t="s">
        <v>4</v>
      </c>
      <c r="R157" s="191" t="s">
        <v>43</v>
      </c>
      <c r="S157" s="191" t="s">
        <v>142</v>
      </c>
      <c r="T157" s="191" t="s">
        <v>142</v>
      </c>
      <c r="U157" s="191" t="s">
        <v>4</v>
      </c>
      <c r="V157" s="191" t="s">
        <v>43</v>
      </c>
      <c r="W157" s="191" t="s">
        <v>142</v>
      </c>
      <c r="X157" s="191" t="s">
        <v>142</v>
      </c>
      <c r="Y157" s="191" t="s">
        <v>4</v>
      </c>
      <c r="Z157" s="191" t="s">
        <v>43</v>
      </c>
      <c r="AA157" s="191" t="s">
        <v>142</v>
      </c>
      <c r="AB157" s="191" t="s">
        <v>142</v>
      </c>
      <c r="AC157" s="191" t="s">
        <v>4</v>
      </c>
      <c r="AD157" s="191" t="s">
        <v>43</v>
      </c>
      <c r="AE157" s="191" t="s">
        <v>142</v>
      </c>
      <c r="AF157" s="191" t="s">
        <v>142</v>
      </c>
      <c r="AG157" s="191"/>
      <c r="AH157" s="191"/>
      <c r="AI157" s="191"/>
      <c r="AJ157" s="332">
        <f>IFERROR(COUNTIF(E157:AI157,"=Р")+COUNTIF(E157:AI157,"=Р1")+COUNTIF(E157:AI157,"=ВЧ")+COUNTIF(E157:AI157,"=РН")+COUNTIF(E157:AI157,"=Р2")+COUNTIF(E157:AI157,"=Р1/РВ")+COUNTIF(E157:AI157,"=Р2/РВ")+COUNTIF(E157:AI157,"=ВЧ/РВ")+COUNTIF(E157:AI157,"=РН/РВ"),0)</f>
        <v>14</v>
      </c>
      <c r="AK157" s="333">
        <f>IFERROR(SUMIF(E157:AI157,"=Р2",E158:AI158)+SUMIF(E157:AI157,"=ВЧ/РВ",E158:AI158)+SUMIF(E157:AI157,"=РН/РВ",E158:AI158)+SUMIF(E157:AI157,"=Р1/РВ",E158:AI158)+SUMIF(E157:AI157,"=ВЧ2/РВ",E158:AI158)+SUMIF(E157:AI157,"=Р2/РВ",E158:AI158)+SUMIF(E157:AI157,"=Р",E158:AI158)+SUMIF(E157:AI157,"=Р1",E158:AI158)+SUMIF(E157:AI157,"=ВЧ1",E158:AI158)+SUMIF(E157:AI157,"=РН",E158:AI158)+SUMIF(E157:AI157,"=ВЧ",E158:AI158),0)+AL157</f>
        <v>164</v>
      </c>
      <c r="AL157" s="211">
        <f>IFERROR(SUMIF(E157:AI157,"=НУ",E158:AI158),0)</f>
        <v>0</v>
      </c>
      <c r="AM157" s="211">
        <f>IFERROR(SUMIF(E157:AI157,"=РН",E158:AI158)+SUMIF(E157:AI157,"=РН/РВ",E158:AI158)+SUMIFS(E158:AI158,E157:AI157,"=Р2",E158:AI158,"=8"),0)</f>
        <v>56</v>
      </c>
      <c r="AN157" s="211">
        <f>IFERROR(SUMIF(E157:AI157,"=ВЧ",E158:AI158)+SUMIF(E157:AI157,"=ВЧ/РВ",E158:AI158)+CEILING(COUNTIFS(E157:AI157,"=Р2",E158:AI158,"=7")*4,1)+CEILING(COUNTIFS(E157:AI157,"=Р2/РВ",E158:AI158,"=7")*4,1)+SUMIFS(E158:AI158,E157:AI157,"=Р1/РВ",E158:AI158,"=12")/6+SUMIFS(E158:AI158,E157:AI157,"=ВЧ2/РВ",E158:AI158,"=4")/2+SUMIFS(E158:AI158,E157:AI157,"=Р1",E158:AI158,"=12")/6+SUMIFS(E158:AI158,E157:AI157,"=Р1",E158:AI158,"=8")/4+SUMIF(E157:AI157,"=ВЧ1",E158:AI158)/2,0)+CEILING(SUMIFS(E158:AI158,E157:AI157,"=Р",E158:AI158,"=13")/4,4)+CEILING(SUMIFS(E158:AI158,E157:AI157,"=Р",E158:AI158,"=14")/4,4)+CEILING(SUMIFS(E158:AI158,E157:AI157,"=Р",E158:AI158,"=15")/4,4)+SUMIFS(E158:AI158,E157:AI157,"=Р",E158:AI158,"=16")/4+CEILING(SUMIFS(E158:AI158,E157:AI157,"=Р1",E158:AI158,"=13")/4,4)+CEILING(SUMIFS(E158:AI158,E157:AI157,"=Р1",E158:AI158,"=14")/4,4)+CEILING(SUMIFS(E158:AI158,E157:AI157,"=Р1",E158:AI158,"=15")/4,4)+SUMIFS(E158:AI158,E157:AI157,"=Р1",E158:AI158,"=16")/4</f>
        <v>28</v>
      </c>
      <c r="AO157" s="211">
        <f>IFERROR(SUMIF(E157:AI157,"=РВ",E158:AI158)+SUMIF(E157:AI157,"=ВЧ/РВ",E158:AI158)+SUMIF(E157:AI157,"=РН/РВ",E158:AI158)+SUMIF(E157:AI157,"=Р1/РВ",E158:AI158)+SUMIF(E157:AI157,"=ВЧ2/РВ",E158:AI158)+SUMIF(E157:AI157,"=Р2/РВ",E158:AI158),0)</f>
        <v>0</v>
      </c>
      <c r="AP157" s="211">
        <f>IFERROR(COUNTIF(E157:AI157,"=ВВ")+COUNTIF(E157:AI157,"=Р1/ВВ")+COUNTIF(E157:AI157,"=РН/ВВ")+COUNTIF(E157:AI157,"=ВЧ/ВВ"),0)</f>
        <v>14</v>
      </c>
      <c r="AQ157" s="211">
        <f>SUM(AR157:AZ157)</f>
        <v>0</v>
      </c>
      <c r="AR157" s="211">
        <f>IFERROR(SUMIF(E157:AI157,"=В",E158:AI158)+SUMIF(E157:AI157,"=Ч",E158:AI158)+SUMIF(E157:AI157,"=ВБ",E158:AI158),0)</f>
        <v>0</v>
      </c>
      <c r="AS157" s="211">
        <f>IFERROR(SUMIF(E157:AI157,"=Н",E158:AI158),0)</f>
        <v>0</v>
      </c>
      <c r="AT157" s="211">
        <f>IFERROR(SUMIF(E157:AI157,"=НА",E158:AI158),0)</f>
        <v>0</v>
      </c>
      <c r="AU157" s="211">
        <f>IFERROR(SUMIF(E157:AI157,"=ВП",E158:AI158),0)</f>
        <v>0</v>
      </c>
      <c r="AV157" s="211">
        <f>IFERROR(SUMIF(E157:AI157,"=ДД",E158:AI158),0)</f>
        <v>0</v>
      </c>
      <c r="AW157" s="202">
        <f>IFERROR(SUMIF(E157:AI157,"=ДО",E158:AI158),0)</f>
        <v>0</v>
      </c>
      <c r="AX157" s="211">
        <f>IFERROR(SUMIF(E157:AI157,"=ТН",E158:AI158),0)</f>
        <v>0</v>
      </c>
      <c r="AY157" s="211">
        <f>IFERROR(SUMIF(E157:AI157,"=ВД",E158:AI158),0)</f>
        <v>0</v>
      </c>
      <c r="AZ157" s="312">
        <f>IFERROR(SUMIF(E157:AI157,"=ІН",E158:AI158),0)+SUMIF(E157:AI157,"=НЗ",E158:AI158)</f>
        <v>0</v>
      </c>
    </row>
    <row r="158" spans="1:52" s="163" customFormat="1" ht="24" customHeight="1" thickBot="1" x14ac:dyDescent="0.25">
      <c r="A158" s="331"/>
      <c r="B158" s="331"/>
      <c r="C158" s="229"/>
      <c r="D158" s="229"/>
      <c r="E158" s="192">
        <v>13</v>
      </c>
      <c r="F158" s="192">
        <v>8</v>
      </c>
      <c r="G158" s="192"/>
      <c r="H158" s="192"/>
      <c r="I158" s="192">
        <v>15</v>
      </c>
      <c r="J158" s="192">
        <v>8</v>
      </c>
      <c r="K158" s="192"/>
      <c r="L158" s="192"/>
      <c r="M158" s="192">
        <v>16</v>
      </c>
      <c r="N158" s="192">
        <v>8</v>
      </c>
      <c r="O158" s="192"/>
      <c r="P158" s="192"/>
      <c r="Q158" s="192">
        <v>16</v>
      </c>
      <c r="R158" s="192">
        <v>8</v>
      </c>
      <c r="S158" s="192"/>
      <c r="T158" s="192"/>
      <c r="U158" s="192">
        <v>16</v>
      </c>
      <c r="V158" s="192">
        <v>8</v>
      </c>
      <c r="W158" s="192"/>
      <c r="X158" s="192"/>
      <c r="Y158" s="192">
        <v>16</v>
      </c>
      <c r="Z158" s="192">
        <v>8</v>
      </c>
      <c r="AA158" s="192"/>
      <c r="AB158" s="192"/>
      <c r="AC158" s="192">
        <v>16</v>
      </c>
      <c r="AD158" s="192">
        <v>8</v>
      </c>
      <c r="AE158" s="192"/>
      <c r="AF158" s="192"/>
      <c r="AG158" s="192" t="s">
        <v>491</v>
      </c>
      <c r="AH158" s="192" t="s">
        <v>492</v>
      </c>
      <c r="AI158" s="192" t="s">
        <v>493</v>
      </c>
      <c r="AJ158" s="325"/>
      <c r="AK158" s="334"/>
      <c r="AL158" s="286"/>
      <c r="AM158" s="286"/>
      <c r="AN158" s="212"/>
      <c r="AO158" s="286"/>
      <c r="AP158" s="212"/>
      <c r="AQ158" s="286"/>
      <c r="AR158" s="286"/>
      <c r="AS158" s="286"/>
      <c r="AT158" s="286"/>
      <c r="AU158" s="286"/>
      <c r="AV158" s="286"/>
      <c r="AW158" s="203"/>
      <c r="AX158" s="286"/>
      <c r="AY158" s="286"/>
      <c r="AZ158" s="329"/>
    </row>
    <row r="159" spans="1:52" s="163" customFormat="1" ht="21.75" customHeight="1" x14ac:dyDescent="0.2">
      <c r="A159" s="330">
        <f t="shared" si="44"/>
        <v>72</v>
      </c>
      <c r="B159" s="330" t="s">
        <v>448</v>
      </c>
      <c r="C159" s="228">
        <v>1996</v>
      </c>
      <c r="D159" s="228" t="s">
        <v>72</v>
      </c>
      <c r="E159" s="191" t="s">
        <v>43</v>
      </c>
      <c r="F159" s="191" t="s">
        <v>142</v>
      </c>
      <c r="G159" s="191" t="s">
        <v>142</v>
      </c>
      <c r="H159" s="191" t="s">
        <v>4</v>
      </c>
      <c r="I159" s="191" t="s">
        <v>43</v>
      </c>
      <c r="J159" s="191" t="s">
        <v>142</v>
      </c>
      <c r="K159" s="191" t="s">
        <v>142</v>
      </c>
      <c r="L159" s="191" t="s">
        <v>4</v>
      </c>
      <c r="M159" s="191" t="s">
        <v>43</v>
      </c>
      <c r="N159" s="191" t="s">
        <v>142</v>
      </c>
      <c r="O159" s="191" t="s">
        <v>142</v>
      </c>
      <c r="P159" s="191" t="s">
        <v>4</v>
      </c>
      <c r="Q159" s="191" t="s">
        <v>43</v>
      </c>
      <c r="R159" s="191" t="s">
        <v>142</v>
      </c>
      <c r="S159" s="191" t="s">
        <v>142</v>
      </c>
      <c r="T159" s="191" t="s">
        <v>4</v>
      </c>
      <c r="U159" s="191" t="s">
        <v>43</v>
      </c>
      <c r="V159" s="191" t="s">
        <v>142</v>
      </c>
      <c r="W159" s="191" t="s">
        <v>142</v>
      </c>
      <c r="X159" s="191" t="s">
        <v>4</v>
      </c>
      <c r="Y159" s="191" t="s">
        <v>43</v>
      </c>
      <c r="Z159" s="191" t="s">
        <v>142</v>
      </c>
      <c r="AA159" s="191" t="s">
        <v>142</v>
      </c>
      <c r="AB159" s="191" t="s">
        <v>4</v>
      </c>
      <c r="AC159" s="191" t="s">
        <v>43</v>
      </c>
      <c r="AD159" s="191" t="s">
        <v>142</v>
      </c>
      <c r="AE159" s="191" t="s">
        <v>142</v>
      </c>
      <c r="AF159" s="191" t="s">
        <v>4</v>
      </c>
      <c r="AG159" s="191"/>
      <c r="AH159" s="191"/>
      <c r="AI159" s="191"/>
      <c r="AJ159" s="324">
        <f>IFERROR(COUNTIF(E159:AI159,"=Р")+COUNTIF(E159:AI159,"=Р1")+COUNTIF(E159:AI159,"=ВЧ")+COUNTIF(E159:AI159,"=РН")+COUNTIF(E159:AI159,"=Р2")+COUNTIF(E159:AI159,"=Р1/РВ")+COUNTIF(E159:AI159,"=Р2/РВ")+COUNTIF(E159:AI159,"=ВЧ/РВ")+COUNTIF(E159:AI159,"=РН/РВ"),0)</f>
        <v>14</v>
      </c>
      <c r="AK159" s="333">
        <f>IFERROR(SUMIF(E159:AI159,"=Р2",E160:AI160)+SUMIF(E159:AI159,"=ВЧ/РВ",E160:AI160)+SUMIF(E159:AI159,"=РН/РВ",E160:AI160)+SUMIF(E159:AI159,"=Р1/РВ",E160:AI160)+SUMIF(E159:AI159,"=ВЧ2/РВ",E160:AI160)+SUMIF(E159:AI159,"=Р2/РВ",E160:AI160)+SUMIF(E159:AI159,"=Р",E160:AI160)+SUMIF(E159:AI159,"=Р1",E160:AI160)+SUMIF(E159:AI159,"=ВЧ1",E160:AI160)+SUMIF(E159:AI159,"=РН",E160:AI160)+SUMIF(E159:AI159,"=ВЧ",E160:AI160),0)+AL159</f>
        <v>164</v>
      </c>
      <c r="AL159" s="211">
        <f>IFERROR(SUMIF(E159:AI159,"=НУ",E160:AI160),0)</f>
        <v>0</v>
      </c>
      <c r="AM159" s="211">
        <f>IFERROR(SUMIF(E159:AI159,"=РН",E160:AI160)+SUMIF(E159:AI159,"=РН/РВ",E160:AI160)+SUMIFS(E160:AI160,E159:AI159,"=Р2",E160:AI160,"=8"),0)</f>
        <v>56</v>
      </c>
      <c r="AN159" s="211">
        <f>IFERROR(SUMIF(E159:AI159,"=ВЧ",E160:AI160)+SUMIF(E159:AI159,"=ВЧ/РВ",E160:AI160)+CEILING(COUNTIFS(E159:AI159,"=Р2",E160:AI160,"=7")*4,1)+CEILING(COUNTIFS(E159:AI159,"=Р2/РВ",E160:AI160,"=7")*4,1)+SUMIFS(E160:AI160,E159:AI159,"=Р1/РВ",E160:AI160,"=12")/6+SUMIFS(E160:AI160,E159:AI159,"=ВЧ2/РВ",E160:AI160,"=4")/2+SUMIFS(E160:AI160,E159:AI159,"=Р1",E160:AI160,"=12")/6+SUMIFS(E160:AI160,E159:AI159,"=Р1",E160:AI160,"=8")/4+SUMIF(E159:AI159,"=ВЧ1",E160:AI160)/2,0)+CEILING(SUMIFS(E160:AI160,E159:AI159,"=Р",E160:AI160,"=13")/4,4)+CEILING(SUMIFS(E160:AI160,E159:AI159,"=Р",E160:AI160,"=14")/4,4)+CEILING(SUMIFS(E160:AI160,E159:AI159,"=Р",E160:AI160,"=15")/4,4)+SUMIFS(E160:AI160,E159:AI159,"=Р",E160:AI160,"=16")/4+CEILING(SUMIFS(E160:AI160,E159:AI159,"=Р1",E160:AI160,"=13")/4,4)+CEILING(SUMIFS(E160:AI160,E159:AI159,"=Р1",E160:AI160,"=14")/4,4)+CEILING(SUMIFS(E160:AI160,E159:AI159,"=Р1",E160:AI160,"=15")/4,4)+SUMIFS(E160:AI160,E159:AI159,"=Р1",E160:AI160,"=16")/4</f>
        <v>28</v>
      </c>
      <c r="AO159" s="211">
        <f>IFERROR(SUMIF(E159:AI159,"=РВ",E160:AI160)+SUMIF(E159:AI159,"=ВЧ/РВ",E160:AI160)+SUMIF(E159:AI159,"=РН/РВ",E160:AI160)+SUMIF(E159:AI159,"=Р1/РВ",E160:AI160)+SUMIF(E159:AI159,"=ВЧ2/РВ",E160:AI160)+SUMIF(E159:AI159,"=Р2/РВ",E160:AI160),0)</f>
        <v>0</v>
      </c>
      <c r="AP159" s="211">
        <f>IFERROR(COUNTIF(E159:AI159,"=ВВ")+COUNTIF(E159:AI159,"=Р1/ВВ")+COUNTIF(E159:AI159,"=РН/ВВ")+COUNTIF(E159:AI159,"=ВЧ/ВВ"),0)</f>
        <v>14</v>
      </c>
      <c r="AQ159" s="211">
        <f>SUM(AR159:AZ159)</f>
        <v>0</v>
      </c>
      <c r="AR159" s="211">
        <f>IFERROR(SUMIF(E159:AI159,"=В",E160:AI160)+SUMIF(E159:AI159,"=Ч",E160:AI160)+SUMIF(E159:AI159,"=ВБ",E160:AI160),0)</f>
        <v>0</v>
      </c>
      <c r="AS159" s="211">
        <f>IFERROR(SUMIF(E159:AI159,"=Н",E160:AI160),0)</f>
        <v>0</v>
      </c>
      <c r="AT159" s="211">
        <f>IFERROR(SUMIF(E159:AI159,"=НА",E160:AI160),0)</f>
        <v>0</v>
      </c>
      <c r="AU159" s="211">
        <f>IFERROR(SUMIF(E159:AI159,"=ВП",E160:AI160),0)</f>
        <v>0</v>
      </c>
      <c r="AV159" s="211">
        <f>IFERROR(SUMIF(E159:AI159,"=ДД",E160:AI160),0)</f>
        <v>0</v>
      </c>
      <c r="AW159" s="202">
        <f>IFERROR(SUMIF(E159:AI159,"=ДО",E160:AI160),0)</f>
        <v>0</v>
      </c>
      <c r="AX159" s="211">
        <f>IFERROR(SUMIF(E159:AI159,"=ТН",E160:AI160),0)</f>
        <v>0</v>
      </c>
      <c r="AY159" s="211">
        <f>IFERROR(SUMIF(E159:AI159,"=ВД",E160:AI160),0)</f>
        <v>0</v>
      </c>
      <c r="AZ159" s="312">
        <f>IFERROR(SUMIF(E159:AI159,"=ІН",E160:AI160),0)+SUMIF(E159:AI159,"=НЗ",E160:AI160)</f>
        <v>0</v>
      </c>
    </row>
    <row r="160" spans="1:52" s="163" customFormat="1" ht="21.75" customHeight="1" thickBot="1" x14ac:dyDescent="0.25">
      <c r="A160" s="331"/>
      <c r="B160" s="331"/>
      <c r="C160" s="229"/>
      <c r="D160" s="229"/>
      <c r="E160" s="192">
        <v>8</v>
      </c>
      <c r="F160" s="192"/>
      <c r="G160" s="192"/>
      <c r="H160" s="192">
        <v>16</v>
      </c>
      <c r="I160" s="192">
        <v>8</v>
      </c>
      <c r="J160" s="192"/>
      <c r="K160" s="192"/>
      <c r="L160" s="192">
        <v>16</v>
      </c>
      <c r="M160" s="192">
        <v>8</v>
      </c>
      <c r="N160" s="192"/>
      <c r="O160" s="192"/>
      <c r="P160" s="192">
        <v>13</v>
      </c>
      <c r="Q160" s="192">
        <v>8</v>
      </c>
      <c r="R160" s="192"/>
      <c r="S160" s="192"/>
      <c r="T160" s="192">
        <v>15</v>
      </c>
      <c r="U160" s="192">
        <v>8</v>
      </c>
      <c r="V160" s="192"/>
      <c r="W160" s="192"/>
      <c r="X160" s="192">
        <v>16</v>
      </c>
      <c r="Y160" s="192">
        <v>8</v>
      </c>
      <c r="Z160" s="192"/>
      <c r="AA160" s="192"/>
      <c r="AB160" s="192">
        <v>16</v>
      </c>
      <c r="AC160" s="192">
        <v>8</v>
      </c>
      <c r="AD160" s="192"/>
      <c r="AE160" s="192"/>
      <c r="AF160" s="192">
        <v>16</v>
      </c>
      <c r="AG160" s="192" t="s">
        <v>491</v>
      </c>
      <c r="AH160" s="192" t="s">
        <v>492</v>
      </c>
      <c r="AI160" s="192" t="s">
        <v>493</v>
      </c>
      <c r="AJ160" s="335"/>
      <c r="AK160" s="334"/>
      <c r="AL160" s="286"/>
      <c r="AM160" s="286"/>
      <c r="AN160" s="212"/>
      <c r="AO160" s="286"/>
      <c r="AP160" s="212"/>
      <c r="AQ160" s="286"/>
      <c r="AR160" s="286"/>
      <c r="AS160" s="286"/>
      <c r="AT160" s="286"/>
      <c r="AU160" s="286"/>
      <c r="AV160" s="286"/>
      <c r="AW160" s="203"/>
      <c r="AX160" s="286"/>
      <c r="AY160" s="286"/>
      <c r="AZ160" s="329"/>
    </row>
    <row r="161" spans="1:52" ht="20.100000000000001" customHeight="1" x14ac:dyDescent="0.2">
      <c r="A161" s="330">
        <f t="shared" si="44"/>
        <v>73</v>
      </c>
      <c r="B161" s="330" t="s">
        <v>259</v>
      </c>
      <c r="C161" s="228">
        <v>1197</v>
      </c>
      <c r="D161" s="228" t="s">
        <v>65</v>
      </c>
      <c r="E161" s="191" t="s">
        <v>142</v>
      </c>
      <c r="F161" s="191" t="s">
        <v>142</v>
      </c>
      <c r="G161" s="191" t="s">
        <v>4</v>
      </c>
      <c r="H161" s="191" t="s">
        <v>4</v>
      </c>
      <c r="I161" s="191" t="s">
        <v>4</v>
      </c>
      <c r="J161" s="191" t="s">
        <v>4</v>
      </c>
      <c r="K161" s="191" t="s">
        <v>4</v>
      </c>
      <c r="L161" s="191" t="s">
        <v>142</v>
      </c>
      <c r="M161" s="191" t="s">
        <v>142</v>
      </c>
      <c r="N161" s="191" t="s">
        <v>4</v>
      </c>
      <c r="O161" s="191" t="s">
        <v>4</v>
      </c>
      <c r="P161" s="191" t="s">
        <v>4</v>
      </c>
      <c r="Q161" s="191" t="s">
        <v>4</v>
      </c>
      <c r="R161" s="191" t="s">
        <v>4</v>
      </c>
      <c r="S161" s="191" t="s">
        <v>142</v>
      </c>
      <c r="T161" s="191" t="s">
        <v>142</v>
      </c>
      <c r="U161" s="191" t="s">
        <v>4</v>
      </c>
      <c r="V161" s="191" t="s">
        <v>4</v>
      </c>
      <c r="W161" s="191" t="s">
        <v>4</v>
      </c>
      <c r="X161" s="191" t="s">
        <v>4</v>
      </c>
      <c r="Y161" s="191" t="s">
        <v>4</v>
      </c>
      <c r="Z161" s="191" t="s">
        <v>142</v>
      </c>
      <c r="AA161" s="191" t="s">
        <v>142</v>
      </c>
      <c r="AB161" s="191" t="s">
        <v>4</v>
      </c>
      <c r="AC161" s="191" t="s">
        <v>4</v>
      </c>
      <c r="AD161" s="191" t="s">
        <v>4</v>
      </c>
      <c r="AE161" s="191" t="s">
        <v>4</v>
      </c>
      <c r="AF161" s="191" t="s">
        <v>4</v>
      </c>
      <c r="AG161" s="191" t="s">
        <v>142</v>
      </c>
      <c r="AH161" s="191" t="s">
        <v>142</v>
      </c>
      <c r="AI161" s="191" t="s">
        <v>4</v>
      </c>
      <c r="AJ161" s="332">
        <f>IFERROR(COUNTIF(E161:AI161,"=Р")+COUNTIF(E161:AI161,"=Р1")+COUNTIF(E161:AI161,"=ВЧ")+COUNTIF(E161:AI161,"=РН")+COUNTIF(E161:AI161,"=Р2")+COUNTIF(E161:AI161,"=Р1/РВ")+COUNTIF(E161:AI161,"=Р2/РВ")+COUNTIF(E161:AI161,"=ВЧ/РВ")+COUNTIF(E161:AI161,"=РН/РВ"),0)</f>
        <v>21</v>
      </c>
      <c r="AK161" s="333">
        <f>IFERROR(SUMIF(E161:AI161,"=Р2",E162:AI162)+SUMIF(E161:AI161,"=ВЧ/РВ",E162:AI162)+SUMIF(E161:AI161,"=РН/РВ",E162:AI162)+SUMIF(E161:AI161,"=Р1/РВ",E162:AI162)+SUMIF(E161:AI161,"=ВЧ2/РВ",E162:AI162)+SUMIF(E161:AI161,"=Р2/РВ",E162:AI162)+SUMIF(E161:AI161,"=Р",E162:AI162)+SUMIF(E161:AI161,"=Р1",E162:AI162)+SUMIF(E161:AI161,"=ВЧ1",E162:AI162)+SUMIF(E161:AI161,"=РН",E162:AI162)+SUMIF(E161:AI161,"=ВЧ",E162:AI162),0)+AL161</f>
        <v>167.99999999999997</v>
      </c>
      <c r="AL161" s="211">
        <f>IFERROR(SUMIF(E161:AI161,"=НУ",E162:AI162),0)</f>
        <v>0</v>
      </c>
      <c r="AM161" s="211">
        <f>IFERROR(SUMIF(E161:AI161,"=РН",E162:AI162)+SUMIF(E161:AI161,"=РН/РВ",E162:AI162)+SUMIFS(E162:AI162,E161:AI161,"=Р2",E162:AI162,"=8"),0)</f>
        <v>0</v>
      </c>
      <c r="AN161" s="211">
        <f>IFERROR(SUMIF(E161:AI161,"=ВЧ",E162:AI162)+SUMIF(E161:AI161,"=ВЧ/РВ",E162:AI162)+CEILING(COUNTIFS(E161:AI161,"=Р2",E162:AI162,"=7")*4,1)+CEILING(COUNTIFS(E161:AI161,"=Р2/РВ",E162:AI162,"=7")*4,1)+SUMIFS(E162:AI162,E161:AI161,"=Р1/РВ",E162:AI162,"=12")/6+SUMIFS(E162:AI162,E161:AI161,"=ВЧ2/РВ",E162:AI162,"=4")/2+SUMIFS(E162:AI162,E161:AI161,"=Р1",E162:AI162,"=12")/6+SUMIFS(E162:AI162,E161:AI161,"=Р1",E162:AI162,"=8")/4+SUMIF(E161:AI161,"=ВЧ1",E162:AI162)/2,0)+CEILING(SUMIFS(E162:AI162,E161:AI161,"=Р",E162:AI162,"=13")/4,4)+CEILING(SUMIFS(E162:AI162,E161:AI161,"=Р",E162:AI162,"=14")/4,4)+CEILING(SUMIFS(E162:AI162,E161:AI161,"=Р",E162:AI162,"=15")/4,4)+SUMIFS(E162:AI162,E161:AI161,"=Р",E162:AI162,"=16")/4+CEILING(SUMIFS(E162:AI162,E161:AI161,"=Р1",E162:AI162,"=13")/4,4)+CEILING(SUMIFS(E162:AI162,E161:AI161,"=Р1",E162:AI162,"=14")/4,4)+CEILING(SUMIFS(E162:AI162,E161:AI161,"=Р1",E162:AI162,"=15")/4,4)+SUMIFS(E162:AI162,E161:AI161,"=Р1",E162:AI162,"=16")/4</f>
        <v>0</v>
      </c>
      <c r="AO161" s="211">
        <f>IFERROR(SUMIF(E161:AI161,"=РВ",E162:AI162)+SUMIF(E161:AI161,"=ВЧ/РВ",E162:AI162)+SUMIF(E161:AI161,"=РН/РВ",E162:AI162)+SUMIF(E161:AI161,"=Р1/РВ",E162:AI162)+SUMIF(E161:AI161,"=ВЧ2/РВ",E162:AI162)+SUMIF(E161:AI161,"=Р2/РВ",E162:AI162),0)</f>
        <v>0</v>
      </c>
      <c r="AP161" s="211">
        <f>IFERROR(COUNTIF(E161:AI161,"=ВВ")+COUNTIF(E161:AI161,"=Р1/ВВ")+COUNTIF(E161:AI161,"=РН/ВВ")+COUNTIF(E161:AI161,"=ВЧ/ВВ"),0)</f>
        <v>10</v>
      </c>
      <c r="AQ161" s="211">
        <f>SUM(AR161:AZ161)</f>
        <v>0</v>
      </c>
      <c r="AR161" s="211">
        <f>IFERROR(SUMIF(E161:AI161,"=В",E162:AI162)+SUMIF(E161:AI161,"=Ч",E162:AI162)+SUMIF(E161:AI161,"=ВБ",E162:AI162),0)</f>
        <v>0</v>
      </c>
      <c r="AS161" s="211">
        <f>IFERROR(SUMIF(E161:AI161,"=Н",E162:AI162),0)</f>
        <v>0</v>
      </c>
      <c r="AT161" s="211">
        <f>IFERROR(SUMIF(E161:AI161,"=НА",E162:AI162),0)</f>
        <v>0</v>
      </c>
      <c r="AU161" s="211">
        <f>IFERROR(SUMIF(E161:AI161,"=ВП",E162:AI162),0)</f>
        <v>0</v>
      </c>
      <c r="AV161" s="211">
        <f>IFERROR(SUMIF(E161:AI161,"=ДД",E162:AI162),0)</f>
        <v>0</v>
      </c>
      <c r="AW161" s="202">
        <f>IFERROR(SUMIF(E161:AI161,"=ДО",E162:AI162),0)</f>
        <v>0</v>
      </c>
      <c r="AX161" s="211">
        <f>IFERROR(SUMIF(E161:AI161,"=ТН",E162:AI162),0)</f>
        <v>0</v>
      </c>
      <c r="AY161" s="211">
        <f>IFERROR(SUMIF(E161:AI161,"=ВД",E162:AI162),0)</f>
        <v>0</v>
      </c>
      <c r="AZ161" s="312">
        <f>IFERROR(SUMIF(E161:AI161,"=ІН",E162:AI162),0)+SUMIF(E161:AI161,"=НЗ",E162:AI162)</f>
        <v>0</v>
      </c>
    </row>
    <row r="162" spans="1:52" ht="20.100000000000001" customHeight="1" thickBot="1" x14ac:dyDescent="0.25">
      <c r="A162" s="331"/>
      <c r="B162" s="331"/>
      <c r="C162" s="229"/>
      <c r="D162" s="229"/>
      <c r="E162" s="192"/>
      <c r="F162" s="192"/>
      <c r="G162" s="192">
        <v>8.1999999999999993</v>
      </c>
      <c r="H162" s="192">
        <v>8.1999999999999993</v>
      </c>
      <c r="I162" s="192">
        <v>8.1999999999999993</v>
      </c>
      <c r="J162" s="192">
        <v>8.1999999999999993</v>
      </c>
      <c r="K162" s="192">
        <v>7</v>
      </c>
      <c r="L162" s="192"/>
      <c r="M162" s="192"/>
      <c r="N162" s="192">
        <v>8.1999999999999993</v>
      </c>
      <c r="O162" s="192">
        <v>8.1999999999999993</v>
      </c>
      <c r="P162" s="192">
        <v>8.1999999999999993</v>
      </c>
      <c r="Q162" s="192">
        <v>8.1999999999999993</v>
      </c>
      <c r="R162" s="192">
        <v>7.2</v>
      </c>
      <c r="S162" s="192"/>
      <c r="T162" s="192"/>
      <c r="U162" s="192">
        <v>8.1999999999999993</v>
      </c>
      <c r="V162" s="192">
        <v>8.1999999999999993</v>
      </c>
      <c r="W162" s="192">
        <v>8.1999999999999993</v>
      </c>
      <c r="X162" s="192">
        <v>8.1999999999999993</v>
      </c>
      <c r="Y162" s="192">
        <v>7.2</v>
      </c>
      <c r="Z162" s="192"/>
      <c r="AA162" s="192"/>
      <c r="AB162" s="192">
        <v>8.1999999999999993</v>
      </c>
      <c r="AC162" s="192">
        <v>8.1999999999999993</v>
      </c>
      <c r="AD162" s="192">
        <v>8.1999999999999993</v>
      </c>
      <c r="AE162" s="192">
        <v>8.1999999999999993</v>
      </c>
      <c r="AF162" s="192">
        <v>7.2</v>
      </c>
      <c r="AG162" s="192"/>
      <c r="AH162" s="192"/>
      <c r="AI162" s="192">
        <v>8.1999999999999993</v>
      </c>
      <c r="AJ162" s="325"/>
      <c r="AK162" s="334"/>
      <c r="AL162" s="286"/>
      <c r="AM162" s="286"/>
      <c r="AN162" s="212"/>
      <c r="AO162" s="286"/>
      <c r="AP162" s="212"/>
      <c r="AQ162" s="286"/>
      <c r="AR162" s="286"/>
      <c r="AS162" s="286"/>
      <c r="AT162" s="286"/>
      <c r="AU162" s="286"/>
      <c r="AV162" s="286"/>
      <c r="AW162" s="203"/>
      <c r="AX162" s="286"/>
      <c r="AY162" s="286"/>
      <c r="AZ162" s="329"/>
    </row>
    <row r="163" spans="1:52" ht="20.100000000000001" customHeight="1" x14ac:dyDescent="0.2">
      <c r="A163" s="330">
        <f t="shared" si="44"/>
        <v>74</v>
      </c>
      <c r="B163" s="330" t="s">
        <v>260</v>
      </c>
      <c r="C163" s="228">
        <v>1970</v>
      </c>
      <c r="D163" s="228" t="s">
        <v>65</v>
      </c>
      <c r="E163" s="191" t="s">
        <v>142</v>
      </c>
      <c r="F163" s="191" t="s">
        <v>142</v>
      </c>
      <c r="G163" s="191" t="s">
        <v>4</v>
      </c>
      <c r="H163" s="191" t="s">
        <v>43</v>
      </c>
      <c r="I163" s="191" t="s">
        <v>142</v>
      </c>
      <c r="J163" s="191" t="s">
        <v>142</v>
      </c>
      <c r="K163" s="191" t="s">
        <v>4</v>
      </c>
      <c r="L163" s="191" t="s">
        <v>43</v>
      </c>
      <c r="M163" s="191" t="s">
        <v>142</v>
      </c>
      <c r="N163" s="191" t="s">
        <v>142</v>
      </c>
      <c r="O163" s="191" t="s">
        <v>4</v>
      </c>
      <c r="P163" s="191" t="s">
        <v>43</v>
      </c>
      <c r="Q163" s="191" t="s">
        <v>142</v>
      </c>
      <c r="R163" s="191" t="s">
        <v>142</v>
      </c>
      <c r="S163" s="191" t="s">
        <v>4</v>
      </c>
      <c r="T163" s="191" t="s">
        <v>43</v>
      </c>
      <c r="U163" s="191" t="s">
        <v>142</v>
      </c>
      <c r="V163" s="191" t="s">
        <v>142</v>
      </c>
      <c r="W163" s="191" t="s">
        <v>4</v>
      </c>
      <c r="X163" s="191" t="s">
        <v>43</v>
      </c>
      <c r="Y163" s="191" t="s">
        <v>142</v>
      </c>
      <c r="Z163" s="191" t="s">
        <v>142</v>
      </c>
      <c r="AA163" s="191" t="s">
        <v>4</v>
      </c>
      <c r="AB163" s="191" t="s">
        <v>43</v>
      </c>
      <c r="AC163" s="191" t="s">
        <v>142</v>
      </c>
      <c r="AD163" s="191" t="s">
        <v>142</v>
      </c>
      <c r="AE163" s="191" t="s">
        <v>4</v>
      </c>
      <c r="AF163" s="191" t="s">
        <v>43</v>
      </c>
      <c r="AG163" s="191" t="s">
        <v>142</v>
      </c>
      <c r="AH163" s="191" t="s">
        <v>142</v>
      </c>
      <c r="AI163" s="191" t="s">
        <v>263</v>
      </c>
      <c r="AJ163" s="332">
        <f>IFERROR(COUNTIF(E163:AI163,"=Р")+COUNTIF(E163:AI163,"=Р1")+COUNTIF(E163:AI163,"=ВЧ")+COUNTIF(E163:AI163,"=РН")+COUNTIF(E163:AI163,"=Р2")+COUNTIF(E163:AI163,"=Р1/РВ")+COUNTIF(E163:AI163,"=Р2/РВ")+COUNTIF(E163:AI163,"=ВЧ/РВ")+COUNTIF(E163:AI163,"=РН/РВ"),0)</f>
        <v>15</v>
      </c>
      <c r="AK163" s="333">
        <f>IFERROR(SUMIF(E163:AI163,"=Р2",E164:AI164)+SUMIF(E163:AI163,"=ВЧ/РВ",E164:AI164)+SUMIF(E163:AI163,"=РН/РВ",E164:AI164)+SUMIF(E163:AI163,"=Р1/РВ",E164:AI164)+SUMIF(E163:AI163,"=ВЧ2/РВ",E164:AI164)+SUMIF(E163:AI163,"=Р2/РВ",E164:AI164)+SUMIF(E163:AI163,"=Р",E164:AI164)+SUMIF(E163:AI163,"=Р1",E164:AI164)+SUMIF(E163:AI163,"=ВЧ1",E164:AI164)+SUMIF(E163:AI163,"=РН",E164:AI164)+SUMIF(E163:AI163,"=ВЧ",E164:AI164),0)+AL163</f>
        <v>168</v>
      </c>
      <c r="AL163" s="211">
        <f>IFERROR(SUMIF(E163:AI163,"=НУ",E164:AI164),0)</f>
        <v>0</v>
      </c>
      <c r="AM163" s="211">
        <f>IFERROR(SUMIF(E163:AI163,"=РН",E164:AI164)+SUMIF(E163:AI163,"=РН/РВ",E164:AI164)+SUMIFS(E164:AI164,E163:AI163,"=Р2",E164:AI164,"=8"),0)</f>
        <v>56</v>
      </c>
      <c r="AN163" s="211">
        <f>IFERROR(SUMIF(E163:AI163,"=ВЧ",E164:AI164)+SUMIF(E163:AI163,"=ВЧ/РВ",E164:AI164)+CEILING(COUNTIFS(E163:AI163,"=Р2",E164:AI164,"=7")*4,1)+CEILING(COUNTIFS(E163:AI163,"=Р2/РВ",E164:AI164,"=7")*4,1)+SUMIFS(E164:AI164,E163:AI163,"=Р1/РВ",E164:AI164,"=12")/6+SUMIFS(E164:AI164,E163:AI163,"=ВЧ2/РВ",E164:AI164,"=4")/2+SUMIFS(E164:AI164,E163:AI163,"=Р1",E164:AI164,"=12")/6+SUMIFS(E164:AI164,E163:AI163,"=Р1",E164:AI164,"=8")/4+SUMIF(E163:AI163,"=ВЧ1",E164:AI164)/2,0)+CEILING(SUMIFS(E164:AI164,E163:AI163,"=Р",E164:AI164,"=13")/4,4)+CEILING(SUMIFS(E164:AI164,E163:AI163,"=Р",E164:AI164,"=14")/4,4)+CEILING(SUMIFS(E164:AI164,E163:AI163,"=Р",E164:AI164,"=15")/4,4)+SUMIFS(E164:AI164,E163:AI163,"=Р",E164:AI164,"=16")/4+CEILING(SUMIFS(E164:AI164,E163:AI163,"=Р1",E164:AI164,"=13")/4,4)+CEILING(SUMIFS(E164:AI164,E163:AI163,"=Р1",E164:AI164,"=14")/4,4)+CEILING(SUMIFS(E164:AI164,E163:AI163,"=Р1",E164:AI164,"=15")/4,4)+SUMIFS(E164:AI164,E163:AI163,"=Р1",E164:AI164,"=16")/4</f>
        <v>32</v>
      </c>
      <c r="AO163" s="211">
        <f>IFERROR(SUMIF(E163:AI163,"=РВ",E164:AI164)+SUMIF(E163:AI163,"=ВЧ/РВ",E164:AI164)+SUMIF(E163:AI163,"=РН/РВ",E164:AI164)+SUMIF(E163:AI163,"=Р1/РВ",E164:AI164)+SUMIF(E163:AI163,"=ВЧ2/РВ",E164:AI164)+SUMIF(E163:AI163,"=Р2/РВ",E164:AI164),0)</f>
        <v>0</v>
      </c>
      <c r="AP163" s="211">
        <f>IFERROR(COUNTIF(E163:AI163,"=ВВ")+COUNTIF(E163:AI163,"=Р1/ВВ")+COUNTIF(E163:AI163,"=РН/ВВ")+COUNTIF(E163:AI163,"=ВЧ/ВВ"),0)</f>
        <v>16</v>
      </c>
      <c r="AQ163" s="211">
        <f>SUM(AR163:AZ163)</f>
        <v>0</v>
      </c>
      <c r="AR163" s="211">
        <f>IFERROR(SUMIF(E163:AI163,"=В",E164:AI164)+SUMIF(E163:AI163,"=Ч",E164:AI164)+SUMIF(E163:AI163,"=ВБ",E164:AI164),0)</f>
        <v>0</v>
      </c>
      <c r="AS163" s="211">
        <f>IFERROR(SUMIF(E163:AI163,"=Н",E164:AI164),0)</f>
        <v>0</v>
      </c>
      <c r="AT163" s="211">
        <f>IFERROR(SUMIF(E163:AI163,"=НА",E164:AI164),0)</f>
        <v>0</v>
      </c>
      <c r="AU163" s="211">
        <f>IFERROR(SUMIF(E163:AI163,"=ВП",E164:AI164),0)</f>
        <v>0</v>
      </c>
      <c r="AV163" s="211">
        <f>IFERROR(SUMIF(E163:AI163,"=ДД",E164:AI164),0)</f>
        <v>0</v>
      </c>
      <c r="AW163" s="202">
        <f>IFERROR(SUMIF(E163:AI163,"=ДО",E164:AI164),0)</f>
        <v>0</v>
      </c>
      <c r="AX163" s="211">
        <f>IFERROR(SUMIF(E163:AI163,"=ТН",E164:AI164),0)</f>
        <v>0</v>
      </c>
      <c r="AY163" s="211">
        <f>IFERROR(SUMIF(E163:AI163,"=ВД",E164:AI164),0)</f>
        <v>0</v>
      </c>
      <c r="AZ163" s="312">
        <f>IFERROR(SUMIF(E163:AI163,"=ІН",E164:AI164),0)+SUMIF(E163:AI163,"=НЗ",E164:AI164)</f>
        <v>0</v>
      </c>
    </row>
    <row r="164" spans="1:52" ht="20.100000000000001" customHeight="1" thickBot="1" x14ac:dyDescent="0.25">
      <c r="A164" s="331"/>
      <c r="B164" s="331"/>
      <c r="C164" s="229"/>
      <c r="D164" s="229"/>
      <c r="E164" s="192"/>
      <c r="F164" s="192"/>
      <c r="G164" s="192">
        <v>16</v>
      </c>
      <c r="H164" s="192">
        <v>8</v>
      </c>
      <c r="I164" s="192"/>
      <c r="J164" s="192"/>
      <c r="K164" s="192">
        <v>13</v>
      </c>
      <c r="L164" s="192">
        <v>8</v>
      </c>
      <c r="M164" s="192"/>
      <c r="N164" s="192"/>
      <c r="O164" s="192">
        <v>13</v>
      </c>
      <c r="P164" s="192">
        <v>8</v>
      </c>
      <c r="Q164" s="192"/>
      <c r="R164" s="192"/>
      <c r="S164" s="192">
        <v>13</v>
      </c>
      <c r="T164" s="192">
        <v>8</v>
      </c>
      <c r="U164" s="192"/>
      <c r="V164" s="192"/>
      <c r="W164" s="192">
        <v>13</v>
      </c>
      <c r="X164" s="192">
        <v>8</v>
      </c>
      <c r="Y164" s="192"/>
      <c r="Z164" s="192"/>
      <c r="AA164" s="192">
        <v>13</v>
      </c>
      <c r="AB164" s="192">
        <v>8</v>
      </c>
      <c r="AC164" s="192"/>
      <c r="AD164" s="192"/>
      <c r="AE164" s="192">
        <v>15</v>
      </c>
      <c r="AF164" s="192">
        <v>8</v>
      </c>
      <c r="AG164" s="192"/>
      <c r="AH164" s="192"/>
      <c r="AI164" s="192">
        <v>16</v>
      </c>
      <c r="AJ164" s="325"/>
      <c r="AK164" s="334"/>
      <c r="AL164" s="286"/>
      <c r="AM164" s="286"/>
      <c r="AN164" s="212"/>
      <c r="AO164" s="286"/>
      <c r="AP164" s="212"/>
      <c r="AQ164" s="286"/>
      <c r="AR164" s="286"/>
      <c r="AS164" s="286"/>
      <c r="AT164" s="286"/>
      <c r="AU164" s="286"/>
      <c r="AV164" s="286"/>
      <c r="AW164" s="203"/>
      <c r="AX164" s="286"/>
      <c r="AY164" s="286"/>
      <c r="AZ164" s="329"/>
    </row>
    <row r="165" spans="1:52" s="163" customFormat="1" ht="21.75" customHeight="1" x14ac:dyDescent="0.2">
      <c r="A165" s="330">
        <f t="shared" si="44"/>
        <v>75</v>
      </c>
      <c r="B165" s="330" t="s">
        <v>450</v>
      </c>
      <c r="C165" s="228">
        <v>1877</v>
      </c>
      <c r="D165" s="228" t="s">
        <v>72</v>
      </c>
      <c r="E165" s="191" t="s">
        <v>4</v>
      </c>
      <c r="F165" s="191" t="s">
        <v>43</v>
      </c>
      <c r="G165" s="191" t="s">
        <v>142</v>
      </c>
      <c r="H165" s="191" t="s">
        <v>142</v>
      </c>
      <c r="I165" s="191" t="s">
        <v>4</v>
      </c>
      <c r="J165" s="191" t="s">
        <v>43</v>
      </c>
      <c r="K165" s="191" t="s">
        <v>142</v>
      </c>
      <c r="L165" s="191" t="s">
        <v>142</v>
      </c>
      <c r="M165" s="191" t="s">
        <v>4</v>
      </c>
      <c r="N165" s="191" t="s">
        <v>43</v>
      </c>
      <c r="O165" s="191" t="s">
        <v>142</v>
      </c>
      <c r="P165" s="191" t="s">
        <v>142</v>
      </c>
      <c r="Q165" s="191" t="s">
        <v>4</v>
      </c>
      <c r="R165" s="191" t="s">
        <v>43</v>
      </c>
      <c r="S165" s="191" t="s">
        <v>142</v>
      </c>
      <c r="T165" s="191" t="s">
        <v>142</v>
      </c>
      <c r="U165" s="191" t="s">
        <v>4</v>
      </c>
      <c r="V165" s="191" t="s">
        <v>43</v>
      </c>
      <c r="W165" s="191" t="s">
        <v>142</v>
      </c>
      <c r="X165" s="191" t="s">
        <v>142</v>
      </c>
      <c r="Y165" s="191" t="s">
        <v>4</v>
      </c>
      <c r="Z165" s="191" t="s">
        <v>43</v>
      </c>
      <c r="AA165" s="191" t="s">
        <v>142</v>
      </c>
      <c r="AB165" s="191" t="s">
        <v>142</v>
      </c>
      <c r="AC165" s="191" t="s">
        <v>4</v>
      </c>
      <c r="AD165" s="191" t="s">
        <v>43</v>
      </c>
      <c r="AE165" s="191" t="s">
        <v>142</v>
      </c>
      <c r="AF165" s="191" t="s">
        <v>142</v>
      </c>
      <c r="AG165" s="191"/>
      <c r="AH165" s="191"/>
      <c r="AI165" s="191"/>
      <c r="AJ165" s="324">
        <f>IFERROR(COUNTIF(E165:AI165,"=Р")+COUNTIF(E165:AI165,"=Р1")+COUNTIF(E165:AI165,"=ВЧ")+COUNTIF(E165:AI165,"=РН")+COUNTIF(E165:AI165,"=Р2")+COUNTIF(E165:AI165,"=Р1/РВ")+COUNTIF(E165:AI165,"=Р2/РВ")+COUNTIF(E165:AI165,"=ВЧ/РВ")+COUNTIF(E165:AI165,"=РН/РВ"),0)</f>
        <v>14</v>
      </c>
      <c r="AK165" s="333">
        <f>IFERROR(SUMIF(E165:AI165,"=Р2",E166:AI166)+SUMIF(E165:AI165,"=ВЧ/РВ",E166:AI166)+SUMIF(E165:AI165,"=РН/РВ",E166:AI166)+SUMIF(E165:AI165,"=Р1/РВ",E166:AI166)+SUMIF(E165:AI165,"=ВЧ2/РВ",E166:AI166)+SUMIF(E165:AI165,"=Р2/РВ",E166:AI166)+SUMIF(E165:AI165,"=Р",E166:AI166)+SUMIF(E165:AI165,"=Р1",E166:AI166)+SUMIF(E165:AI165,"=ВЧ1",E166:AI166)+SUMIF(E165:AI165,"=РН",E166:AI166)+SUMIF(E165:AI165,"=ВЧ",E166:AI166),0)+AL165</f>
        <v>164</v>
      </c>
      <c r="AL165" s="211">
        <f>IFERROR(SUMIF(E165:AI165,"=НУ",E166:AI166),0)</f>
        <v>0</v>
      </c>
      <c r="AM165" s="211">
        <f>IFERROR(SUMIF(E165:AI165,"=РН",E166:AI166)+SUMIF(E165:AI165,"=РН/РВ",E166:AI166)+SUMIFS(E166:AI166,E165:AI165,"=Р2",E166:AI166,"=8"),0)</f>
        <v>56</v>
      </c>
      <c r="AN165" s="211">
        <f>IFERROR(SUMIF(E165:AI165,"=ВЧ",E166:AI166)+SUMIF(E165:AI165,"=ВЧ/РВ",E166:AI166)+CEILING(COUNTIFS(E165:AI165,"=Р2",E166:AI166,"=7")*4,1)+CEILING(COUNTIFS(E165:AI165,"=Р2/РВ",E166:AI166,"=7")*4,1)+SUMIFS(E166:AI166,E165:AI165,"=Р1/РВ",E166:AI166,"=12")/6+SUMIFS(E166:AI166,E165:AI165,"=ВЧ2/РВ",E166:AI166,"=4")/2+SUMIFS(E166:AI166,E165:AI165,"=Р1",E166:AI166,"=12")/6+SUMIFS(E166:AI166,E165:AI165,"=Р1",E166:AI166,"=8")/4+SUMIF(E165:AI165,"=ВЧ1",E166:AI166)/2,0)+CEILING(SUMIFS(E166:AI166,E165:AI165,"=Р",E166:AI166,"=13")/4,4)+CEILING(SUMIFS(E166:AI166,E165:AI165,"=Р",E166:AI166,"=14")/4,4)+CEILING(SUMIFS(E166:AI166,E165:AI165,"=Р",E166:AI166,"=15")/4,4)+SUMIFS(E166:AI166,E165:AI165,"=Р",E166:AI166,"=16")/4+CEILING(SUMIFS(E166:AI166,E165:AI165,"=Р1",E166:AI166,"=13")/4,4)+CEILING(SUMIFS(E166:AI166,E165:AI165,"=Р1",E166:AI166,"=14")/4,4)+CEILING(SUMIFS(E166:AI166,E165:AI165,"=Р1",E166:AI166,"=15")/4,4)+SUMIFS(E166:AI166,E165:AI165,"=Р1",E166:AI166,"=16")/4</f>
        <v>28</v>
      </c>
      <c r="AO165" s="211">
        <f>IFERROR(SUMIF(E165:AI165,"=РВ",E166:AI166)+SUMIF(E165:AI165,"=ВЧ/РВ",E166:AI166)+SUMIF(E165:AI165,"=РН/РВ",E166:AI166)+SUMIF(E165:AI165,"=Р1/РВ",E166:AI166)+SUMIF(E165:AI165,"=ВЧ2/РВ",E166:AI166)+SUMIF(E165:AI165,"=Р2/РВ",E166:AI166),0)</f>
        <v>0</v>
      </c>
      <c r="AP165" s="211">
        <f>IFERROR(COUNTIF(E165:AI165,"=ВВ")+COUNTIF(E165:AI165,"=Р1/ВВ")+COUNTIF(E165:AI165,"=РН/ВВ")+COUNTIF(E165:AI165,"=ВЧ/ВВ"),0)</f>
        <v>14</v>
      </c>
      <c r="AQ165" s="211">
        <f>SUM(AR165:AZ165)</f>
        <v>0</v>
      </c>
      <c r="AR165" s="211">
        <f>IFERROR(SUMIF(E165:AI165,"=В",E166:AI166)+SUMIF(E165:AI165,"=Ч",E166:AI166)+SUMIF(E165:AI165,"=ВБ",E166:AI166),0)</f>
        <v>0</v>
      </c>
      <c r="AS165" s="211">
        <f>IFERROR(SUMIF(E165:AI165,"=Н",E166:AI166),0)</f>
        <v>0</v>
      </c>
      <c r="AT165" s="211">
        <f>IFERROR(SUMIF(E165:AI165,"=НА",E166:AI166),0)</f>
        <v>0</v>
      </c>
      <c r="AU165" s="211">
        <f>IFERROR(SUMIF(E165:AI165,"=ВП",E166:AI166),0)</f>
        <v>0</v>
      </c>
      <c r="AV165" s="211">
        <f>IFERROR(SUMIF(E165:AI165,"=ДД",E166:AI166),0)</f>
        <v>0</v>
      </c>
      <c r="AW165" s="202">
        <f>IFERROR(SUMIF(E165:AI165,"=ДО",E166:AI166),0)</f>
        <v>0</v>
      </c>
      <c r="AX165" s="211">
        <f>IFERROR(SUMIF(E165:AI165,"=ТН",E166:AI166),0)</f>
        <v>0</v>
      </c>
      <c r="AY165" s="211">
        <f>IFERROR(SUMIF(E165:AI165,"=ВД",E166:AI166),0)</f>
        <v>0</v>
      </c>
      <c r="AZ165" s="312">
        <f>IFERROR(SUMIF(E165:AI165,"=ІН",E166:AI166),0)+SUMIF(E165:AI165,"=НЗ",E166:AI166)</f>
        <v>0</v>
      </c>
    </row>
    <row r="166" spans="1:52" s="163" customFormat="1" ht="21.75" customHeight="1" thickBot="1" x14ac:dyDescent="0.25">
      <c r="A166" s="331"/>
      <c r="B166" s="331"/>
      <c r="C166" s="229"/>
      <c r="D166" s="229"/>
      <c r="E166" s="192">
        <v>13</v>
      </c>
      <c r="F166" s="192">
        <v>8</v>
      </c>
      <c r="G166" s="192"/>
      <c r="H166" s="192"/>
      <c r="I166" s="192">
        <v>15</v>
      </c>
      <c r="J166" s="192">
        <v>8</v>
      </c>
      <c r="K166" s="192"/>
      <c r="L166" s="192"/>
      <c r="M166" s="192">
        <v>16</v>
      </c>
      <c r="N166" s="192">
        <v>8</v>
      </c>
      <c r="O166" s="192"/>
      <c r="P166" s="192"/>
      <c r="Q166" s="192">
        <v>16</v>
      </c>
      <c r="R166" s="192">
        <v>8</v>
      </c>
      <c r="S166" s="192"/>
      <c r="T166" s="192"/>
      <c r="U166" s="192">
        <v>16</v>
      </c>
      <c r="V166" s="192">
        <v>8</v>
      </c>
      <c r="W166" s="192"/>
      <c r="X166" s="192"/>
      <c r="Y166" s="192">
        <v>16</v>
      </c>
      <c r="Z166" s="192">
        <v>8</v>
      </c>
      <c r="AA166" s="192"/>
      <c r="AB166" s="192"/>
      <c r="AC166" s="192">
        <v>16</v>
      </c>
      <c r="AD166" s="192">
        <v>8</v>
      </c>
      <c r="AE166" s="192"/>
      <c r="AF166" s="192"/>
      <c r="AG166" s="192" t="s">
        <v>491</v>
      </c>
      <c r="AH166" s="192" t="s">
        <v>492</v>
      </c>
      <c r="AI166" s="192" t="s">
        <v>493</v>
      </c>
      <c r="AJ166" s="335"/>
      <c r="AK166" s="334"/>
      <c r="AL166" s="286"/>
      <c r="AM166" s="286"/>
      <c r="AN166" s="212"/>
      <c r="AO166" s="286"/>
      <c r="AP166" s="212"/>
      <c r="AQ166" s="286"/>
      <c r="AR166" s="286"/>
      <c r="AS166" s="286"/>
      <c r="AT166" s="286"/>
      <c r="AU166" s="286"/>
      <c r="AV166" s="286"/>
      <c r="AW166" s="203"/>
      <c r="AX166" s="286"/>
      <c r="AY166" s="286"/>
      <c r="AZ166" s="329"/>
    </row>
    <row r="167" spans="1:52" s="163" customFormat="1" ht="20.100000000000001" customHeight="1" x14ac:dyDescent="0.2">
      <c r="A167" s="330">
        <f t="shared" si="44"/>
        <v>76</v>
      </c>
      <c r="B167" s="336" t="s">
        <v>451</v>
      </c>
      <c r="C167" s="293">
        <v>2033</v>
      </c>
      <c r="D167" s="293" t="s">
        <v>72</v>
      </c>
      <c r="E167" s="191" t="s">
        <v>142</v>
      </c>
      <c r="F167" s="191" t="s">
        <v>142</v>
      </c>
      <c r="G167" s="191" t="s">
        <v>4</v>
      </c>
      <c r="H167" s="191" t="s">
        <v>43</v>
      </c>
      <c r="I167" s="191" t="s">
        <v>142</v>
      </c>
      <c r="J167" s="191" t="s">
        <v>142</v>
      </c>
      <c r="K167" s="191" t="s">
        <v>4</v>
      </c>
      <c r="L167" s="191" t="s">
        <v>43</v>
      </c>
      <c r="M167" s="191" t="s">
        <v>142</v>
      </c>
      <c r="N167" s="191" t="s">
        <v>142</v>
      </c>
      <c r="O167" s="191" t="s">
        <v>4</v>
      </c>
      <c r="P167" s="191" t="s">
        <v>43</v>
      </c>
      <c r="Q167" s="191" t="s">
        <v>142</v>
      </c>
      <c r="R167" s="191" t="s">
        <v>142</v>
      </c>
      <c r="S167" s="191" t="s">
        <v>4</v>
      </c>
      <c r="T167" s="191" t="s">
        <v>43</v>
      </c>
      <c r="U167" s="191" t="s">
        <v>142</v>
      </c>
      <c r="V167" s="191" t="s">
        <v>142</v>
      </c>
      <c r="W167" s="191" t="s">
        <v>4</v>
      </c>
      <c r="X167" s="191" t="s">
        <v>43</v>
      </c>
      <c r="Y167" s="191" t="s">
        <v>142</v>
      </c>
      <c r="Z167" s="191" t="s">
        <v>142</v>
      </c>
      <c r="AA167" s="191" t="s">
        <v>4</v>
      </c>
      <c r="AB167" s="191" t="s">
        <v>43</v>
      </c>
      <c r="AC167" s="191" t="s">
        <v>142</v>
      </c>
      <c r="AD167" s="191" t="s">
        <v>142</v>
      </c>
      <c r="AE167" s="191" t="s">
        <v>4</v>
      </c>
      <c r="AF167" s="191" t="s">
        <v>43</v>
      </c>
      <c r="AG167" s="191"/>
      <c r="AH167" s="191"/>
      <c r="AI167" s="191"/>
      <c r="AJ167" s="332">
        <f>IFERROR(COUNTIF(E167:AI167,"=Р")+COUNTIF(E167:AI167,"=Р1")+COUNTIF(E167:AI167,"=ВЧ")+COUNTIF(E167:AI167,"=РН")+COUNTIF(E167:AI167,"=Р2")+COUNTIF(E167:AI167,"=Р1/РВ")+COUNTIF(E167:AI167,"=Р2/РВ")+COUNTIF(E167:AI167,"=ВЧ/РВ")+COUNTIF(E167:AI167,"=РН/РВ"),0)</f>
        <v>14</v>
      </c>
      <c r="AK167" s="333">
        <f>IFERROR(SUMIF(E167:AI167,"=Р2",E168:AI168)+SUMIF(E167:AI167,"=ВЧ/РВ",E168:AI168)+SUMIF(E167:AI167,"=РН/РВ",E168:AI168)+SUMIF(E167:AI167,"=Р1/РВ",E168:AI168)+SUMIF(E167:AI167,"=ВЧ2/РВ",E168:AI168)+SUMIF(E167:AI167,"=Р2/РВ",E168:AI168)+SUMIF(E167:AI167,"=Р",E168:AI168)+SUMIF(E167:AI167,"=Р1",E168:AI168)+SUMIF(E167:AI167,"=ВЧ1",E168:AI168)+SUMIF(E167:AI167,"=РН",E168:AI168)+SUMIF(E167:AI167,"=ВЧ",E168:AI168),0)+AL167</f>
        <v>164</v>
      </c>
      <c r="AL167" s="211">
        <f>IFERROR(SUMIF(E167:AI167,"=НУ",E168:AI168),0)</f>
        <v>0</v>
      </c>
      <c r="AM167" s="211">
        <f>IFERROR(SUMIF(E167:AI167,"=РН",E168:AI168)+SUMIF(E167:AI167,"=РН/РВ",E168:AI168)+SUMIFS(E168:AI168,E167:AI167,"=Р2",E168:AI168,"=8"),0)</f>
        <v>56</v>
      </c>
      <c r="AN167" s="211">
        <f>IFERROR(SUMIF(E167:AI167,"=ВЧ",E168:AI168)+SUMIF(E167:AI167,"=ВЧ/РВ",E168:AI168)+CEILING(COUNTIFS(E167:AI167,"=Р2",E168:AI168,"=7")*4,1)+CEILING(COUNTIFS(E167:AI167,"=Р2/РВ",E168:AI168,"=7")*4,1)+SUMIFS(E168:AI168,E167:AI167,"=Р1/РВ",E168:AI168,"=12")/6+SUMIFS(E168:AI168,E167:AI167,"=ВЧ2/РВ",E168:AI168,"=4")/2+SUMIFS(E168:AI168,E167:AI167,"=Р1",E168:AI168,"=12")/6+SUMIFS(E168:AI168,E167:AI167,"=Р1",E168:AI168,"=8")/4+SUMIF(E167:AI167,"=ВЧ1",E168:AI168)/2,0)+CEILING(SUMIFS(E168:AI168,E167:AI167,"=Р",E168:AI168,"=13")/4,4)+CEILING(SUMIFS(E168:AI168,E167:AI167,"=Р",E168:AI168,"=14")/4,4)+CEILING(SUMIFS(E168:AI168,E167:AI167,"=Р",E168:AI168,"=15")/4,4)+SUMIFS(E168:AI168,E167:AI167,"=Р",E168:AI168,"=16")/4+CEILING(SUMIFS(E168:AI168,E167:AI167,"=Р1",E168:AI168,"=13")/4,4)+CEILING(SUMIFS(E168:AI168,E167:AI167,"=Р1",E168:AI168,"=14")/4,4)+CEILING(SUMIFS(E168:AI168,E167:AI167,"=Р1",E168:AI168,"=15")/4,4)+SUMIFS(E168:AI168,E167:AI167,"=Р1",E168:AI168,"=16")/4</f>
        <v>28</v>
      </c>
      <c r="AO167" s="211">
        <f>IFERROR(SUMIF(E167:AI167,"=РВ",E168:AI168)+SUMIF(E167:AI167,"=ВЧ/РВ",E168:AI168)+SUMIF(E167:AI167,"=РН/РВ",E168:AI168)+SUMIF(E167:AI167,"=Р1/РВ",E168:AI168)+SUMIF(E167:AI167,"=ВЧ2/РВ",E168:AI168)+SUMIF(E167:AI167,"=Р2/РВ",E168:AI168),0)</f>
        <v>0</v>
      </c>
      <c r="AP167" s="211">
        <f>IFERROR(COUNTIF(E167:AI167,"=ВВ")+COUNTIF(E167:AI167,"=Р1/ВВ")+COUNTIF(E167:AI167,"=РН/ВВ")+COUNTIF(E167:AI167,"=ВЧ/ВВ"),0)</f>
        <v>14</v>
      </c>
      <c r="AQ167" s="211">
        <f>SUM(AR167:AZ167)</f>
        <v>0</v>
      </c>
      <c r="AR167" s="211">
        <f>IFERROR(SUMIF(E167:AI167,"=В",E168:AI168)+SUMIF(E167:AI167,"=Ч",E168:AI168)+SUMIF(E167:AI167,"=ВБ",E168:AI168),0)</f>
        <v>0</v>
      </c>
      <c r="AS167" s="211">
        <f>IFERROR(SUMIF(E167:AI167,"=Н",E168:AI168),0)</f>
        <v>0</v>
      </c>
      <c r="AT167" s="211">
        <f>IFERROR(SUMIF(E167:AI167,"=НА",E168:AI168),0)</f>
        <v>0</v>
      </c>
      <c r="AU167" s="211">
        <f>IFERROR(SUMIF(E167:AI167,"=ВП",E168:AI168),0)</f>
        <v>0</v>
      </c>
      <c r="AV167" s="211">
        <f>IFERROR(SUMIF(E167:AI167,"=ДД",E168:AI168),0)</f>
        <v>0</v>
      </c>
      <c r="AW167" s="202">
        <f>IFERROR(SUMIF(E167:AI167,"=ДО",E168:AI168),0)</f>
        <v>0</v>
      </c>
      <c r="AX167" s="211">
        <f>IFERROR(SUMIF(E167:AI167,"=ТН",E168:AI168),0)</f>
        <v>0</v>
      </c>
      <c r="AY167" s="211">
        <f>IFERROR(SUMIF(E167:AI167,"=ВД",E168:AI168),0)</f>
        <v>0</v>
      </c>
      <c r="AZ167" s="312">
        <f>IFERROR(SUMIF(E167:AI167,"=ІН",E168:AI168),0)+SUMIF(E167:AI167,"=НЗ",E168:AI168)</f>
        <v>0</v>
      </c>
    </row>
    <row r="168" spans="1:52" s="163" customFormat="1" ht="24" customHeight="1" thickBot="1" x14ac:dyDescent="0.25">
      <c r="A168" s="331"/>
      <c r="B168" s="331"/>
      <c r="C168" s="229"/>
      <c r="D168" s="229"/>
      <c r="E168" s="192"/>
      <c r="F168" s="192"/>
      <c r="G168" s="192">
        <v>15</v>
      </c>
      <c r="H168" s="192">
        <v>8</v>
      </c>
      <c r="I168" s="192"/>
      <c r="J168" s="192"/>
      <c r="K168" s="192">
        <v>13</v>
      </c>
      <c r="L168" s="192">
        <v>8</v>
      </c>
      <c r="M168" s="192"/>
      <c r="N168" s="192"/>
      <c r="O168" s="192">
        <v>16</v>
      </c>
      <c r="P168" s="192">
        <v>8</v>
      </c>
      <c r="Q168" s="192"/>
      <c r="R168" s="192"/>
      <c r="S168" s="192">
        <v>16</v>
      </c>
      <c r="T168" s="192">
        <v>8</v>
      </c>
      <c r="U168" s="192"/>
      <c r="V168" s="192"/>
      <c r="W168" s="192">
        <v>16</v>
      </c>
      <c r="X168" s="192">
        <v>8</v>
      </c>
      <c r="Y168" s="192"/>
      <c r="Z168" s="192"/>
      <c r="AA168" s="192">
        <v>16</v>
      </c>
      <c r="AB168" s="192">
        <v>8</v>
      </c>
      <c r="AC168" s="192"/>
      <c r="AD168" s="192"/>
      <c r="AE168" s="192">
        <v>16</v>
      </c>
      <c r="AF168" s="192">
        <v>8</v>
      </c>
      <c r="AG168" s="192" t="s">
        <v>491</v>
      </c>
      <c r="AH168" s="192" t="s">
        <v>492</v>
      </c>
      <c r="AI168" s="192" t="s">
        <v>493</v>
      </c>
      <c r="AJ168" s="325"/>
      <c r="AK168" s="334"/>
      <c r="AL168" s="286"/>
      <c r="AM168" s="286"/>
      <c r="AN168" s="212"/>
      <c r="AO168" s="286"/>
      <c r="AP168" s="212"/>
      <c r="AQ168" s="286"/>
      <c r="AR168" s="286"/>
      <c r="AS168" s="286"/>
      <c r="AT168" s="286"/>
      <c r="AU168" s="286"/>
      <c r="AV168" s="286"/>
      <c r="AW168" s="203"/>
      <c r="AX168" s="286"/>
      <c r="AY168" s="286"/>
      <c r="AZ168" s="329"/>
    </row>
    <row r="169" spans="1:52" s="163" customFormat="1" ht="21.75" customHeight="1" x14ac:dyDescent="0.2">
      <c r="A169" s="330">
        <f t="shared" si="44"/>
        <v>77</v>
      </c>
      <c r="B169" s="330" t="s">
        <v>362</v>
      </c>
      <c r="C169" s="228">
        <v>1214</v>
      </c>
      <c r="D169" s="228" t="s">
        <v>72</v>
      </c>
      <c r="E169" s="191" t="s">
        <v>43</v>
      </c>
      <c r="F169" s="191" t="s">
        <v>142</v>
      </c>
      <c r="G169" s="191" t="s">
        <v>4</v>
      </c>
      <c r="H169" s="191" t="s">
        <v>41</v>
      </c>
      <c r="I169" s="191" t="s">
        <v>43</v>
      </c>
      <c r="J169" s="191" t="s">
        <v>142</v>
      </c>
      <c r="K169" s="191" t="s">
        <v>4</v>
      </c>
      <c r="L169" s="191" t="s">
        <v>41</v>
      </c>
      <c r="M169" s="191" t="s">
        <v>43</v>
      </c>
      <c r="N169" s="191" t="s">
        <v>142</v>
      </c>
      <c r="O169" s="191" t="s">
        <v>4</v>
      </c>
      <c r="P169" s="191" t="s">
        <v>41</v>
      </c>
      <c r="Q169" s="191" t="s">
        <v>43</v>
      </c>
      <c r="R169" s="191" t="s">
        <v>142</v>
      </c>
      <c r="S169" s="191" t="s">
        <v>142</v>
      </c>
      <c r="T169" s="191" t="s">
        <v>309</v>
      </c>
      <c r="U169" s="191" t="s">
        <v>43</v>
      </c>
      <c r="V169" s="191" t="s">
        <v>142</v>
      </c>
      <c r="W169" s="191" t="s">
        <v>4</v>
      </c>
      <c r="X169" s="191" t="s">
        <v>41</v>
      </c>
      <c r="Y169" s="191" t="s">
        <v>43</v>
      </c>
      <c r="Z169" s="191" t="s">
        <v>142</v>
      </c>
      <c r="AA169" s="191" t="s">
        <v>4</v>
      </c>
      <c r="AB169" s="191" t="s">
        <v>41</v>
      </c>
      <c r="AC169" s="191" t="s">
        <v>43</v>
      </c>
      <c r="AD169" s="191" t="s">
        <v>142</v>
      </c>
      <c r="AE169" s="191" t="s">
        <v>4</v>
      </c>
      <c r="AF169" s="191" t="s">
        <v>41</v>
      </c>
      <c r="AG169" s="191" t="s">
        <v>43</v>
      </c>
      <c r="AH169" s="191" t="s">
        <v>142</v>
      </c>
      <c r="AI169" s="191" t="s">
        <v>263</v>
      </c>
      <c r="AJ169" s="324">
        <f>IFERROR(COUNTIF(E169:AI169,"=Р")+COUNTIF(E169:AI169,"=Р1")+COUNTIF(E169:AI169,"=ВЧ")+COUNTIF(E169:AI169,"=РН")+COUNTIF(E169:AI169,"=Р2")+COUNTIF(E169:AI169,"=Р1/РВ")+COUNTIF(E169:AI169,"=Р2/РВ")+COUNTIF(E169:AI169,"=ВЧ/РВ")+COUNTIF(E169:AI169,"=РН/РВ"),0)</f>
        <v>21</v>
      </c>
      <c r="AK169" s="333">
        <f>IFERROR(SUMIF(E169:AI169,"=Р2",E170:AI170)+SUMIF(E169:AI169,"=ВЧ/РВ",E170:AI170)+SUMIF(E169:AI169,"=РН/РВ",E170:AI170)+SUMIF(E169:AI169,"=Р1/РВ",E170:AI170)+SUMIF(E169:AI169,"=ВЧ2/РВ",E170:AI170)+SUMIF(E169:AI169,"=Р2/РВ",E170:AI170)+SUMIF(E169:AI169,"=Р",E170:AI170)+SUMIF(E169:AI169,"=Р1",E170:AI170)+SUMIF(E169:AI169,"=ВЧ1",E170:AI170)+SUMIF(E169:AI169,"=РН",E170:AI170)+SUMIF(E169:AI169,"=ВЧ",E170:AI170),0)+AL169</f>
        <v>168</v>
      </c>
      <c r="AL169" s="211">
        <f>IFERROR(SUMIF(E169:AI169,"=НУ",E170:AI170),0)</f>
        <v>0</v>
      </c>
      <c r="AM169" s="211">
        <f>IFERROR(SUMIF(E169:AI169,"=РН",E170:AI170)+SUMIF(E169:AI169,"=РН/РВ",E170:AI170)+SUMIFS(E170:AI170,E169:AI169,"=Р2",E170:AI170,"=8"),0)</f>
        <v>64</v>
      </c>
      <c r="AN169" s="211">
        <f>IFERROR(SUMIF(E169:AI169,"=ВЧ",E170:AI170)+SUMIF(E169:AI169,"=ВЧ/РВ",E170:AI170)+CEILING(COUNTIFS(E169:AI169,"=Р2",E170:AI170,"=7")*4,1)+CEILING(COUNTIFS(E169:AI169,"=Р2/РВ",E170:AI170,"=7")*4,1)+SUMIFS(E170:AI170,E169:AI169,"=Р1/РВ",E170:AI170,"=12")/6+SUMIFS(E170:AI170,E169:AI169,"=ВЧ2/РВ",E170:AI170,"=4")/2+SUMIFS(E170:AI170,E169:AI169,"=Р1",E170:AI170,"=12")/6+SUMIFS(E170:AI170,E169:AI169,"=Р1",E170:AI170,"=8")/4+SUMIF(E169:AI169,"=ВЧ1",E170:AI170)/2,0)+CEILING(SUMIFS(E170:AI170,E169:AI169,"=Р",E170:AI170,"=13")/4,4)+CEILING(SUMIFS(E170:AI170,E169:AI169,"=Р",E170:AI170,"=14")/4,4)+CEILING(SUMIFS(E170:AI170,E169:AI169,"=Р",E170:AI170,"=15")/4,4)+SUMIFS(E170:AI170,E169:AI169,"=Р",E170:AI170,"=16")/4+CEILING(SUMIFS(E170:AI170,E169:AI169,"=Р1",E170:AI170,"=13")/4,4)+CEILING(SUMIFS(E170:AI170,E169:AI169,"=Р1",E170:AI170,"=14")/4,4)+CEILING(SUMIFS(E170:AI170,E169:AI169,"=Р1",E170:AI170,"=15")/4,4)+SUMIFS(E170:AI170,E169:AI169,"=Р1",E170:AI170,"=16")/4</f>
        <v>28</v>
      </c>
      <c r="AO169" s="211">
        <f>IFERROR(SUMIF(E169:AI169,"=РВ",E170:AI170)+SUMIF(E169:AI169,"=ВЧ/РВ",E170:AI170)+SUMIF(E169:AI169,"=РН/РВ",E170:AI170)+SUMIF(E169:AI169,"=Р1/РВ",E170:AI170)+SUMIF(E169:AI169,"=ВЧ2/РВ",E170:AI170)+SUMIF(E169:AI169,"=Р2/РВ",E170:AI170),0)</f>
        <v>0</v>
      </c>
      <c r="AP169" s="211">
        <f>IFERROR(COUNTIF(E169:AI169,"=ВВ")+COUNTIF(E169:AI169,"=Р1/ВВ")+COUNTIF(E169:AI169,"=РН/ВВ")+COUNTIF(E169:AI169,"=ВЧ/ВВ"),0)</f>
        <v>9</v>
      </c>
      <c r="AQ169" s="211">
        <f>SUM(AR169:AZ169)</f>
        <v>0</v>
      </c>
      <c r="AR169" s="211">
        <f>IFERROR(SUMIF(E169:AI169,"=В",E170:AI170)+SUMIF(E169:AI169,"=Ч",E170:AI170)+SUMIF(E169:AI169,"=ВБ",E170:AI170),0)</f>
        <v>0</v>
      </c>
      <c r="AS169" s="211">
        <f>IFERROR(SUMIF(E169:AI169,"=Н",E170:AI170),0)</f>
        <v>0</v>
      </c>
      <c r="AT169" s="211">
        <f>IFERROR(SUMIF(E169:AI169,"=НА",E170:AI170),0)</f>
        <v>0</v>
      </c>
      <c r="AU169" s="211">
        <f>IFERROR(SUMIF(E169:AI169,"=ВП",E170:AI170),0)</f>
        <v>0</v>
      </c>
      <c r="AV169" s="211">
        <f>IFERROR(SUMIF(E169:AI169,"=ДД",E170:AI170),0)</f>
        <v>0</v>
      </c>
      <c r="AW169" s="202">
        <f>IFERROR(SUMIF(E169:AI169,"=ДО",E170:AI170),0)</f>
        <v>0</v>
      </c>
      <c r="AX169" s="211">
        <f>IFERROR(SUMIF(E169:AI169,"=ТН",E170:AI170),0)</f>
        <v>0</v>
      </c>
      <c r="AY169" s="211">
        <f>IFERROR(SUMIF(E169:AI169,"=ВД",E170:AI170),0)</f>
        <v>0</v>
      </c>
      <c r="AZ169" s="312">
        <f>IFERROR(SUMIF(E169:AI169,"=ІН",E170:AI170),0)+SUMIF(E169:AI169,"=НЗ",E170:AI170)</f>
        <v>0</v>
      </c>
    </row>
    <row r="170" spans="1:52" s="163" customFormat="1" ht="21.75" customHeight="1" thickBot="1" x14ac:dyDescent="0.25">
      <c r="A170" s="331"/>
      <c r="B170" s="331"/>
      <c r="C170" s="229"/>
      <c r="D170" s="229"/>
      <c r="E170" s="192">
        <v>8</v>
      </c>
      <c r="F170" s="192"/>
      <c r="G170" s="192">
        <v>12</v>
      </c>
      <c r="H170" s="192">
        <v>4</v>
      </c>
      <c r="I170" s="192">
        <v>8</v>
      </c>
      <c r="J170" s="192"/>
      <c r="K170" s="192">
        <v>4</v>
      </c>
      <c r="L170" s="192">
        <v>4</v>
      </c>
      <c r="M170" s="192">
        <v>8</v>
      </c>
      <c r="N170" s="192"/>
      <c r="O170" s="192">
        <v>12</v>
      </c>
      <c r="P170" s="192">
        <v>4</v>
      </c>
      <c r="Q170" s="192">
        <v>8</v>
      </c>
      <c r="R170" s="192"/>
      <c r="S170" s="192"/>
      <c r="T170" s="192">
        <v>4</v>
      </c>
      <c r="U170" s="192">
        <v>8</v>
      </c>
      <c r="V170" s="192"/>
      <c r="W170" s="192">
        <v>12</v>
      </c>
      <c r="X170" s="192">
        <v>4</v>
      </c>
      <c r="Y170" s="192">
        <v>8</v>
      </c>
      <c r="Z170" s="192"/>
      <c r="AA170" s="192">
        <v>12</v>
      </c>
      <c r="AB170" s="192">
        <v>4</v>
      </c>
      <c r="AC170" s="192">
        <v>8</v>
      </c>
      <c r="AD170" s="192"/>
      <c r="AE170" s="192">
        <v>12</v>
      </c>
      <c r="AF170" s="192">
        <v>4</v>
      </c>
      <c r="AG170" s="192">
        <v>8</v>
      </c>
      <c r="AH170" s="192"/>
      <c r="AI170" s="192">
        <v>12</v>
      </c>
      <c r="AJ170" s="335"/>
      <c r="AK170" s="334"/>
      <c r="AL170" s="286"/>
      <c r="AM170" s="286"/>
      <c r="AN170" s="212"/>
      <c r="AO170" s="286"/>
      <c r="AP170" s="212"/>
      <c r="AQ170" s="286"/>
      <c r="AR170" s="286"/>
      <c r="AS170" s="286"/>
      <c r="AT170" s="286"/>
      <c r="AU170" s="286"/>
      <c r="AV170" s="286"/>
      <c r="AW170" s="203"/>
      <c r="AX170" s="286"/>
      <c r="AY170" s="286"/>
      <c r="AZ170" s="329"/>
    </row>
    <row r="171" spans="1:52" ht="20.100000000000001" customHeight="1" x14ac:dyDescent="0.2">
      <c r="A171" s="330">
        <f t="shared" si="44"/>
        <v>78</v>
      </c>
      <c r="B171" s="330" t="s">
        <v>261</v>
      </c>
      <c r="C171" s="228">
        <v>1881</v>
      </c>
      <c r="D171" s="228" t="s">
        <v>65</v>
      </c>
      <c r="E171" s="191" t="s">
        <v>142</v>
      </c>
      <c r="F171" s="191" t="s">
        <v>142</v>
      </c>
      <c r="G171" s="191" t="s">
        <v>4</v>
      </c>
      <c r="H171" s="191" t="s">
        <v>4</v>
      </c>
      <c r="I171" s="191" t="s">
        <v>4</v>
      </c>
      <c r="J171" s="191" t="s">
        <v>4</v>
      </c>
      <c r="K171" s="191" t="s">
        <v>4</v>
      </c>
      <c r="L171" s="191" t="s">
        <v>142</v>
      </c>
      <c r="M171" s="191" t="s">
        <v>142</v>
      </c>
      <c r="N171" s="191" t="s">
        <v>3</v>
      </c>
      <c r="O171" s="191" t="s">
        <v>3</v>
      </c>
      <c r="P171" s="191" t="s">
        <v>3</v>
      </c>
      <c r="Q171" s="191" t="s">
        <v>3</v>
      </c>
      <c r="R171" s="191" t="s">
        <v>3</v>
      </c>
      <c r="S171" s="191" t="s">
        <v>3</v>
      </c>
      <c r="T171" s="191" t="s">
        <v>3</v>
      </c>
      <c r="U171" s="191" t="s">
        <v>3</v>
      </c>
      <c r="V171" s="191" t="s">
        <v>3</v>
      </c>
      <c r="W171" s="191" t="s">
        <v>3</v>
      </c>
      <c r="X171" s="191" t="s">
        <v>4</v>
      </c>
      <c r="Y171" s="191" t="s">
        <v>4</v>
      </c>
      <c r="Z171" s="191" t="s">
        <v>142</v>
      </c>
      <c r="AA171" s="191" t="s">
        <v>142</v>
      </c>
      <c r="AB171" s="191" t="s">
        <v>4</v>
      </c>
      <c r="AC171" s="191" t="s">
        <v>4</v>
      </c>
      <c r="AD171" s="191" t="s">
        <v>4</v>
      </c>
      <c r="AE171" s="191" t="s">
        <v>4</v>
      </c>
      <c r="AF171" s="191" t="s">
        <v>4</v>
      </c>
      <c r="AG171" s="191" t="s">
        <v>142</v>
      </c>
      <c r="AH171" s="191" t="s">
        <v>142</v>
      </c>
      <c r="AI171" s="191" t="s">
        <v>4</v>
      </c>
      <c r="AJ171" s="332">
        <f>IFERROR(COUNTIF(E171:AI171,"=Р")+COUNTIF(E171:AI171,"=Р1")+COUNTIF(E171:AI171,"=ВЧ")+COUNTIF(E171:AI171,"=РН")+COUNTIF(E171:AI171,"=Р2")+COUNTIF(E171:AI171,"=Р1/РВ")+COUNTIF(E171:AI171,"=Р2/РВ")+COUNTIF(E171:AI171,"=ВЧ/РВ")+COUNTIF(E171:AI171,"=РН/РВ"),0)</f>
        <v>13</v>
      </c>
      <c r="AK171" s="333">
        <f>IFERROR(SUMIF(E171:AI171,"=Р2",E172:AI172)+SUMIF(E171:AI171,"=ВЧ/РВ",E172:AI172)+SUMIF(E171:AI171,"=РН/РВ",E172:AI172)+SUMIF(E171:AI171,"=Р1/РВ",E172:AI172)+SUMIF(E171:AI171,"=ВЧ2/РВ",E172:AI172)+SUMIF(E171:AI171,"=Р2/РВ",E172:AI172)+SUMIF(E171:AI171,"=Р",E172:AI172)+SUMIF(E171:AI171,"=Р1",E172:AI172)+SUMIF(E171:AI171,"=ВЧ1",E172:AI172)+SUMIF(E171:AI171,"=РН",E172:AI172)+SUMIF(E171:AI171,"=ВЧ",E172:AI172),0)+AL171</f>
        <v>103.40000000000002</v>
      </c>
      <c r="AL171" s="211">
        <f>IFERROR(SUMIF(E171:AI171,"=НУ",E172:AI172),0)</f>
        <v>0</v>
      </c>
      <c r="AM171" s="211">
        <f>IFERROR(SUMIF(E171:AI171,"=РН",E172:AI172)+SUMIF(E171:AI171,"=РН/РВ",E172:AI172)+SUMIFS(E172:AI172,E171:AI171,"=Р2",E172:AI172,"=8"),0)</f>
        <v>0</v>
      </c>
      <c r="AN171" s="211">
        <f>IFERROR(SUMIF(E171:AI171,"=ВЧ",E172:AI172)+SUMIF(E171:AI171,"=ВЧ/РВ",E172:AI172)+CEILING(COUNTIFS(E171:AI171,"=Р2",E172:AI172,"=7")*4,1)+CEILING(COUNTIFS(E171:AI171,"=Р2/РВ",E172:AI172,"=7")*4,1)+SUMIFS(E172:AI172,E171:AI171,"=Р1/РВ",E172:AI172,"=12")/6+SUMIFS(E172:AI172,E171:AI171,"=ВЧ2/РВ",E172:AI172,"=4")/2+SUMIFS(E172:AI172,E171:AI171,"=Р1",E172:AI172,"=12")/6+SUMIFS(E172:AI172,E171:AI171,"=Р1",E172:AI172,"=8")/4+SUMIF(E171:AI171,"=ВЧ1",E172:AI172)/2,0)+CEILING(SUMIFS(E172:AI172,E171:AI171,"=Р",E172:AI172,"=13")/4,4)+CEILING(SUMIFS(E172:AI172,E171:AI171,"=Р",E172:AI172,"=14")/4,4)+CEILING(SUMIFS(E172:AI172,E171:AI171,"=Р",E172:AI172,"=15")/4,4)+SUMIFS(E172:AI172,E171:AI171,"=Р",E172:AI172,"=16")/4+CEILING(SUMIFS(E172:AI172,E171:AI171,"=Р1",E172:AI172,"=13")/4,4)+CEILING(SUMIFS(E172:AI172,E171:AI171,"=Р1",E172:AI172,"=14")/4,4)+CEILING(SUMIFS(E172:AI172,E171:AI171,"=Р1",E172:AI172,"=15")/4,4)+SUMIFS(E172:AI172,E171:AI171,"=Р1",E172:AI172,"=16")/4</f>
        <v>0</v>
      </c>
      <c r="AO171" s="211">
        <f>IFERROR(SUMIF(E171:AI171,"=РВ",E172:AI172)+SUMIF(E171:AI171,"=ВЧ/РВ",E172:AI172)+SUMIF(E171:AI171,"=РН/РВ",E172:AI172)+SUMIF(E171:AI171,"=Р1/РВ",E172:AI172)+SUMIF(E171:AI171,"=ВЧ2/РВ",E172:AI172)+SUMIF(E171:AI171,"=Р2/РВ",E172:AI172),0)</f>
        <v>0</v>
      </c>
      <c r="AP171" s="211">
        <f>IFERROR(COUNTIF(E171:AI171,"=ВВ")+COUNTIF(E171:AI171,"=Р1/ВВ")+COUNTIF(E171:AI171,"=РН/ВВ")+COUNTIF(E171:AI171,"=ВЧ/ВВ"),0)</f>
        <v>8</v>
      </c>
      <c r="AQ171" s="211">
        <f>SUM(AR171:AZ171)</f>
        <v>64.600000000000009</v>
      </c>
      <c r="AR171" s="211">
        <f>IFERROR(SUMIF(E171:AI171,"=В",E172:AI172)+SUMIF(E171:AI171,"=Ч",E172:AI172)+SUMIF(E171:AI171,"=ВБ",E172:AI172),0)</f>
        <v>64.600000000000009</v>
      </c>
      <c r="AS171" s="211">
        <f>IFERROR(SUMIF(E171:AI171,"=Н",E172:AI172),0)</f>
        <v>0</v>
      </c>
      <c r="AT171" s="211">
        <f>IFERROR(SUMIF(E171:AI171,"=НА",E172:AI172),0)</f>
        <v>0</v>
      </c>
      <c r="AU171" s="211">
        <f>IFERROR(SUMIF(E171:AI171,"=ВП",E172:AI172),0)</f>
        <v>0</v>
      </c>
      <c r="AV171" s="211">
        <f>IFERROR(SUMIF(E171:AI171,"=ДД",E172:AI172),0)</f>
        <v>0</v>
      </c>
      <c r="AW171" s="202">
        <f>IFERROR(SUMIF(E171:AI171,"=ДО",E172:AI172),0)</f>
        <v>0</v>
      </c>
      <c r="AX171" s="211">
        <f>IFERROR(SUMIF(E171:AI171,"=ТН",E172:AI172),0)</f>
        <v>0</v>
      </c>
      <c r="AY171" s="211">
        <f>IFERROR(SUMIF(E171:AI171,"=ВД",E172:AI172),0)</f>
        <v>0</v>
      </c>
      <c r="AZ171" s="312">
        <f>IFERROR(SUMIF(E171:AI171,"=ІН",E172:AI172),0)+SUMIF(E171:AI171,"=НЗ",E172:AI172)</f>
        <v>0</v>
      </c>
    </row>
    <row r="172" spans="1:52" ht="20.100000000000001" customHeight="1" thickBot="1" x14ac:dyDescent="0.25">
      <c r="A172" s="331"/>
      <c r="B172" s="331"/>
      <c r="C172" s="229"/>
      <c r="D172" s="229"/>
      <c r="E172" s="192"/>
      <c r="F172" s="192"/>
      <c r="G172" s="192">
        <v>8.1999999999999993</v>
      </c>
      <c r="H172" s="192">
        <v>8.1999999999999993</v>
      </c>
      <c r="I172" s="192">
        <v>8.1999999999999993</v>
      </c>
      <c r="J172" s="192">
        <v>8.1999999999999993</v>
      </c>
      <c r="K172" s="192">
        <v>7</v>
      </c>
      <c r="L172" s="192"/>
      <c r="M172" s="192"/>
      <c r="N172" s="192">
        <v>8.1999999999999993</v>
      </c>
      <c r="O172" s="192">
        <v>8.1999999999999993</v>
      </c>
      <c r="P172" s="192">
        <v>8.1999999999999993</v>
      </c>
      <c r="Q172" s="192">
        <v>8.1999999999999993</v>
      </c>
      <c r="R172" s="192">
        <v>7.2</v>
      </c>
      <c r="S172" s="192"/>
      <c r="T172" s="192"/>
      <c r="U172" s="192">
        <v>8.1999999999999993</v>
      </c>
      <c r="V172" s="192">
        <v>8.1999999999999993</v>
      </c>
      <c r="W172" s="192">
        <v>8.1999999999999993</v>
      </c>
      <c r="X172" s="192">
        <v>8.1999999999999993</v>
      </c>
      <c r="Y172" s="192">
        <v>7.2</v>
      </c>
      <c r="Z172" s="192"/>
      <c r="AA172" s="192"/>
      <c r="AB172" s="192">
        <v>8.1999999999999993</v>
      </c>
      <c r="AC172" s="192">
        <v>8.1999999999999993</v>
      </c>
      <c r="AD172" s="192">
        <v>8.1999999999999993</v>
      </c>
      <c r="AE172" s="192">
        <v>8.1999999999999993</v>
      </c>
      <c r="AF172" s="192">
        <v>7.2</v>
      </c>
      <c r="AG172" s="192"/>
      <c r="AH172" s="192"/>
      <c r="AI172" s="192">
        <v>8.1999999999999993</v>
      </c>
      <c r="AJ172" s="335"/>
      <c r="AK172" s="334"/>
      <c r="AL172" s="286"/>
      <c r="AM172" s="286"/>
      <c r="AN172" s="212"/>
      <c r="AO172" s="286"/>
      <c r="AP172" s="212"/>
      <c r="AQ172" s="286"/>
      <c r="AR172" s="286"/>
      <c r="AS172" s="286"/>
      <c r="AT172" s="286"/>
      <c r="AU172" s="286"/>
      <c r="AV172" s="286"/>
      <c r="AW172" s="203"/>
      <c r="AX172" s="286"/>
      <c r="AY172" s="286"/>
      <c r="AZ172" s="329"/>
    </row>
    <row r="173" spans="1:52" ht="20.100000000000001" customHeight="1" x14ac:dyDescent="0.2">
      <c r="A173" s="330">
        <f t="shared" ref="A173" si="45">A171+1</f>
        <v>79</v>
      </c>
      <c r="B173" s="330" t="s">
        <v>342</v>
      </c>
      <c r="C173" s="228">
        <v>1205</v>
      </c>
      <c r="D173" s="228" t="s">
        <v>65</v>
      </c>
      <c r="E173" s="191" t="s">
        <v>142</v>
      </c>
      <c r="F173" s="191" t="s">
        <v>4</v>
      </c>
      <c r="G173" s="191" t="s">
        <v>43</v>
      </c>
      <c r="H173" s="191" t="s">
        <v>142</v>
      </c>
      <c r="I173" s="191" t="s">
        <v>142</v>
      </c>
      <c r="J173" s="191" t="s">
        <v>4</v>
      </c>
      <c r="K173" s="191" t="s">
        <v>43</v>
      </c>
      <c r="L173" s="191" t="s">
        <v>142</v>
      </c>
      <c r="M173" s="191" t="s">
        <v>142</v>
      </c>
      <c r="N173" s="191" t="s">
        <v>4</v>
      </c>
      <c r="O173" s="191" t="s">
        <v>43</v>
      </c>
      <c r="P173" s="191" t="s">
        <v>142</v>
      </c>
      <c r="Q173" s="191" t="s">
        <v>142</v>
      </c>
      <c r="R173" s="191" t="s">
        <v>4</v>
      </c>
      <c r="S173" s="191" t="s">
        <v>43</v>
      </c>
      <c r="T173" s="191" t="s">
        <v>142</v>
      </c>
      <c r="U173" s="191" t="s">
        <v>142</v>
      </c>
      <c r="V173" s="191" t="s">
        <v>4</v>
      </c>
      <c r="W173" s="191" t="s">
        <v>43</v>
      </c>
      <c r="X173" s="191" t="s">
        <v>142</v>
      </c>
      <c r="Y173" s="191" t="s">
        <v>142</v>
      </c>
      <c r="Z173" s="191" t="s">
        <v>4</v>
      </c>
      <c r="AA173" s="191" t="s">
        <v>43</v>
      </c>
      <c r="AB173" s="191" t="s">
        <v>142</v>
      </c>
      <c r="AC173" s="191" t="s">
        <v>142</v>
      </c>
      <c r="AD173" s="191" t="s">
        <v>4</v>
      </c>
      <c r="AE173" s="191" t="s">
        <v>43</v>
      </c>
      <c r="AF173" s="191" t="s">
        <v>142</v>
      </c>
      <c r="AG173" s="191" t="s">
        <v>142</v>
      </c>
      <c r="AH173" s="191" t="s">
        <v>4</v>
      </c>
      <c r="AI173" s="191" t="s">
        <v>43</v>
      </c>
      <c r="AJ173" s="332">
        <f>IFERROR(COUNTIF(E173:AI173,"=Р")+COUNTIF(E173:AI173,"=Р1")+COUNTIF(E173:AI173,"=ВЧ")+COUNTIF(E173:AI173,"=РН")+COUNTIF(E173:AI173,"=Р2")+COUNTIF(E173:AI173,"=Р1/РВ")+COUNTIF(E173:AI173,"=Р2/РВ")+COUNTIF(E173:AI173,"=ВЧ/РВ")+COUNTIF(E173:AI173,"=РН/РВ"),0)</f>
        <v>16</v>
      </c>
      <c r="AK173" s="333">
        <f>IFERROR(SUMIF(E173:AI173,"=Р2",E174:AI174)+SUMIF(E173:AI173,"=ВЧ/РВ",E174:AI174)+SUMIF(E173:AI173,"=РН/РВ",E174:AI174)+SUMIF(E173:AI173,"=Р1/РВ",E174:AI174)+SUMIF(E173:AI173,"=ВЧ2/РВ",E174:AI174)+SUMIF(E173:AI173,"=Р2/РВ",E174:AI174)+SUMIF(E173:AI173,"=Р",E174:AI174)+SUMIF(E173:AI173,"=Р1",E174:AI174)+SUMIF(E173:AI173,"=ВЧ1",E174:AI174)+SUMIF(E173:AI173,"=РН",E174:AI174)+SUMIF(E173:AI173,"=ВЧ",E174:AI174),0)+AL173</f>
        <v>168</v>
      </c>
      <c r="AL173" s="211">
        <f>IFERROR(SUMIF(E173:AI173,"=НУ",E174:AI174),0)</f>
        <v>0</v>
      </c>
      <c r="AM173" s="211">
        <f>IFERROR(SUMIF(E173:AI173,"=РН",E174:AI174)+SUMIF(E173:AI173,"=РН/РВ",E174:AI174)+SUMIFS(E174:AI174,E173:AI173,"=Р2",E174:AI174,"=8"),0)</f>
        <v>64</v>
      </c>
      <c r="AN173" s="211">
        <f>IFERROR(SUMIF(E173:AI173,"=ВЧ",E174:AI174)+SUMIF(E173:AI173,"=ВЧ/РВ",E174:AI174)+CEILING(COUNTIFS(E173:AI173,"=Р2",E174:AI174,"=7")*4,1)+CEILING(COUNTIFS(E173:AI173,"=Р2/РВ",E174:AI174,"=7")*4,1)+SUMIFS(E174:AI174,E173:AI173,"=Р1/РВ",E174:AI174,"=12")/6+SUMIFS(E174:AI174,E173:AI173,"=ВЧ2/РВ",E174:AI174,"=4")/2+SUMIFS(E174:AI174,E173:AI173,"=Р1",E174:AI174,"=12")/6+SUMIFS(E174:AI174,E173:AI173,"=Р1",E174:AI174,"=8")/4+SUMIF(E173:AI173,"=ВЧ1",E174:AI174)/2,0)+CEILING(SUMIFS(E174:AI174,E173:AI173,"=Р",E174:AI174,"=13")/4,8)+CEILING(SUMIFS(E174:AI174,E173:AI173,"=Р",E174:AI174,"=14")/4,4)+CEILING(SUMIFS(E174:AI174,E173:AI173,"=Р",E174:AI174,"=15")/4,4)+SUMIFS(E174:AI174,E173:AI173,"=Р",E174:AI174,"=16")/4+CEILING(SUMIFS(E174:AI174,E173:AI173,"=Р1",E174:AI174,"=13")/4,4)+CEILING(SUMIFS(E174:AI174,E173:AI173,"=Р1",E174:AI174,"=14")/4,4)+CEILING(SUMIFS(E174:AI174,E173:AI173,"=Р1",E174:AI174,"=15")/4,4)+SUMIFS(E174:AI174,E173:AI173,"=Р1",E174:AI174,"=16")/4</f>
        <v>32</v>
      </c>
      <c r="AO173" s="211">
        <f>IFERROR(SUMIF(E173:AI173,"=РВ",E174:AI174)+SUMIF(E173:AI173,"=ВЧ/РВ",E174:AI174)+SUMIF(E173:AI173,"=РН/РВ",E174:AI174)+SUMIF(E173:AI173,"=Р1/РВ",E174:AI174)+SUMIF(E173:AI173,"=ВЧ2/РВ",E174:AI174)+SUMIF(E173:AI173,"=Р2/РВ",E174:AI174),0)</f>
        <v>0</v>
      </c>
      <c r="AP173" s="211">
        <f>IFERROR(COUNTIF(E173:AI173,"=ВВ")+COUNTIF(E173:AI173,"=Р1/ВВ")+COUNTIF(E173:AI173,"=РН/ВВ")+COUNTIF(E173:AI173,"=ВЧ/ВВ"),0)</f>
        <v>15</v>
      </c>
      <c r="AQ173" s="211">
        <f>SUM(AR173:AZ173)</f>
        <v>0</v>
      </c>
      <c r="AR173" s="211">
        <f>IFERROR(SUMIF(E173:AI173,"=В",E174:AI174)+SUMIF(E173:AI173,"=Ч",E174:AI174)+SUMIF(E173:AI173,"=ВБ",E174:AI174),0)</f>
        <v>0</v>
      </c>
      <c r="AS173" s="211">
        <f>IFERROR(SUMIF(E173:AI173,"=Н",E174:AI174),0)</f>
        <v>0</v>
      </c>
      <c r="AT173" s="211">
        <f>IFERROR(SUMIF(E173:AI173,"=НА",E174:AI174),0)</f>
        <v>0</v>
      </c>
      <c r="AU173" s="211">
        <f>IFERROR(SUMIF(E173:AI173,"=ВП",E174:AI174),0)</f>
        <v>0</v>
      </c>
      <c r="AV173" s="211">
        <f>IFERROR(SUMIF(E173:AI173,"=ДД",E174:AI174),0)</f>
        <v>0</v>
      </c>
      <c r="AW173" s="202">
        <f>IFERROR(SUMIF(E173:AI173,"=ДО",E174:AI174),0)</f>
        <v>0</v>
      </c>
      <c r="AX173" s="211">
        <f>IFERROR(SUMIF(E173:AI173,"=ТН",E174:AI174),0)</f>
        <v>0</v>
      </c>
      <c r="AY173" s="211">
        <f>IFERROR(SUMIF(E173:AI173,"=ВД",E174:AI174),0)</f>
        <v>0</v>
      </c>
      <c r="AZ173" s="312">
        <f>IFERROR(SUMIF(E173:AI173,"=ІН",E174:AI174),0)+SUMIF(E173:AI173,"=НЗ",E174:AI174)</f>
        <v>0</v>
      </c>
    </row>
    <row r="174" spans="1:52" ht="20.100000000000001" customHeight="1" thickBot="1" x14ac:dyDescent="0.25">
      <c r="A174" s="331"/>
      <c r="B174" s="331"/>
      <c r="C174" s="229"/>
      <c r="D174" s="229"/>
      <c r="E174" s="192"/>
      <c r="F174" s="192">
        <v>13</v>
      </c>
      <c r="G174" s="192">
        <v>8</v>
      </c>
      <c r="H174" s="192"/>
      <c r="I174" s="192"/>
      <c r="J174" s="192">
        <v>13</v>
      </c>
      <c r="K174" s="192">
        <v>8</v>
      </c>
      <c r="L174" s="192"/>
      <c r="M174" s="192"/>
      <c r="N174" s="192">
        <v>13</v>
      </c>
      <c r="O174" s="192">
        <v>8</v>
      </c>
      <c r="P174" s="192"/>
      <c r="Q174" s="192"/>
      <c r="R174" s="192">
        <v>13</v>
      </c>
      <c r="S174" s="192">
        <v>8</v>
      </c>
      <c r="T174" s="192"/>
      <c r="U174" s="192"/>
      <c r="V174" s="192">
        <v>13</v>
      </c>
      <c r="W174" s="192">
        <v>8</v>
      </c>
      <c r="X174" s="192"/>
      <c r="Y174" s="192"/>
      <c r="Z174" s="192">
        <v>13</v>
      </c>
      <c r="AA174" s="192">
        <v>8</v>
      </c>
      <c r="AB174" s="192"/>
      <c r="AC174" s="192"/>
      <c r="AD174" s="192">
        <v>13</v>
      </c>
      <c r="AE174" s="192">
        <v>8</v>
      </c>
      <c r="AF174" s="192"/>
      <c r="AG174" s="192"/>
      <c r="AH174" s="192">
        <v>13</v>
      </c>
      <c r="AI174" s="192">
        <v>8</v>
      </c>
      <c r="AJ174" s="325"/>
      <c r="AK174" s="334"/>
      <c r="AL174" s="286"/>
      <c r="AM174" s="286"/>
      <c r="AN174" s="212"/>
      <c r="AO174" s="286"/>
      <c r="AP174" s="212"/>
      <c r="AQ174" s="286"/>
      <c r="AR174" s="286"/>
      <c r="AS174" s="286"/>
      <c r="AT174" s="286"/>
      <c r="AU174" s="286"/>
      <c r="AV174" s="286"/>
      <c r="AW174" s="203"/>
      <c r="AX174" s="286"/>
      <c r="AY174" s="286"/>
      <c r="AZ174" s="329"/>
    </row>
    <row r="175" spans="1:52" ht="20.100000000000001" customHeight="1" x14ac:dyDescent="0.2">
      <c r="A175" s="342"/>
      <c r="B175" s="343" t="s">
        <v>74</v>
      </c>
      <c r="C175" s="345"/>
      <c r="D175" s="78"/>
      <c r="E175" s="65"/>
      <c r="F175" s="65"/>
      <c r="G175" s="65"/>
      <c r="H175" s="65"/>
      <c r="I175" s="65"/>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320">
        <f t="shared" ref="AJ175:AZ175" si="46">SUM(AJ17:AJ174)</f>
        <v>1189</v>
      </c>
      <c r="AK175" s="320">
        <f t="shared" si="46"/>
        <v>11885.2</v>
      </c>
      <c r="AL175" s="320">
        <f t="shared" si="46"/>
        <v>0</v>
      </c>
      <c r="AM175" s="320">
        <f t="shared" si="46"/>
        <v>3016</v>
      </c>
      <c r="AN175" s="320">
        <f t="shared" si="46"/>
        <v>1496</v>
      </c>
      <c r="AO175" s="320">
        <f t="shared" si="46"/>
        <v>0</v>
      </c>
      <c r="AP175" s="320">
        <f t="shared" si="46"/>
        <v>930</v>
      </c>
      <c r="AQ175" s="320">
        <f t="shared" si="46"/>
        <v>874.8</v>
      </c>
      <c r="AR175" s="320">
        <f t="shared" si="46"/>
        <v>144.60000000000002</v>
      </c>
      <c r="AS175" s="320">
        <f t="shared" si="46"/>
        <v>0</v>
      </c>
      <c r="AT175" s="320">
        <f t="shared" si="46"/>
        <v>0</v>
      </c>
      <c r="AU175" s="320">
        <f t="shared" si="46"/>
        <v>0</v>
      </c>
      <c r="AV175" s="320">
        <f t="shared" si="46"/>
        <v>0</v>
      </c>
      <c r="AW175" s="320">
        <f t="shared" si="46"/>
        <v>0</v>
      </c>
      <c r="AX175" s="320">
        <f t="shared" si="46"/>
        <v>386</v>
      </c>
      <c r="AY175" s="320">
        <f t="shared" si="46"/>
        <v>8.1999999999999993</v>
      </c>
      <c r="AZ175" s="346">
        <f t="shared" si="46"/>
        <v>335.99999999999994</v>
      </c>
    </row>
    <row r="176" spans="1:52" ht="20.100000000000001" customHeight="1" thickBot="1" x14ac:dyDescent="0.25">
      <c r="A176" s="323"/>
      <c r="B176" s="344"/>
      <c r="C176" s="301"/>
      <c r="D176" s="77"/>
      <c r="E176" s="38"/>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26"/>
      <c r="AK176" s="326"/>
      <c r="AL176" s="326"/>
      <c r="AM176" s="326"/>
      <c r="AN176" s="326"/>
      <c r="AO176" s="326"/>
      <c r="AP176" s="326"/>
      <c r="AQ176" s="326"/>
      <c r="AR176" s="326"/>
      <c r="AS176" s="326"/>
      <c r="AT176" s="326"/>
      <c r="AU176" s="326"/>
      <c r="AV176" s="326"/>
      <c r="AW176" s="326"/>
      <c r="AX176" s="326"/>
      <c r="AY176" s="326"/>
      <c r="AZ176" s="347"/>
    </row>
    <row r="177" spans="1:53" x14ac:dyDescent="0.2">
      <c r="A177" s="51"/>
      <c r="B177" s="51"/>
      <c r="C177" s="20"/>
      <c r="D177" s="8"/>
      <c r="E177" s="51"/>
      <c r="F177" s="51"/>
      <c r="G177" s="51"/>
      <c r="H177" s="51"/>
      <c r="I177" s="5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26"/>
      <c r="AK177" s="51"/>
      <c r="AL177" s="51"/>
      <c r="AM177" s="51"/>
      <c r="AN177" s="51"/>
      <c r="AO177" s="51"/>
      <c r="AP177" s="51"/>
      <c r="AQ177" s="51"/>
      <c r="AR177" s="51"/>
      <c r="AS177" s="51"/>
      <c r="AT177" s="51"/>
      <c r="AU177" s="51"/>
      <c r="AV177" s="51"/>
      <c r="AW177" s="131"/>
      <c r="AX177" s="51"/>
      <c r="AY177" s="51"/>
      <c r="AZ177" s="51"/>
    </row>
    <row r="178" spans="1:53" ht="12.75" customHeight="1" x14ac:dyDescent="0.2">
      <c r="A178" s="226" t="s">
        <v>32</v>
      </c>
      <c r="B178" s="226"/>
      <c r="C178" s="226"/>
      <c r="D178" s="227" t="s">
        <v>81</v>
      </c>
      <c r="E178" s="227"/>
      <c r="F178" s="227"/>
      <c r="G178" s="227"/>
      <c r="H178" s="227"/>
      <c r="I178" s="227"/>
      <c r="J178" s="69"/>
      <c r="K178" s="224"/>
      <c r="L178" s="224"/>
      <c r="M178" s="224"/>
      <c r="N178" s="69"/>
      <c r="O178" s="225" t="s">
        <v>278</v>
      </c>
      <c r="P178" s="225"/>
      <c r="Q178" s="225"/>
      <c r="R178" s="225"/>
      <c r="S178" s="225"/>
      <c r="T178" s="9"/>
      <c r="U178" s="221">
        <v>45747</v>
      </c>
      <c r="V178" s="221"/>
      <c r="W178" s="221"/>
      <c r="X178" s="221"/>
      <c r="Y178" s="221"/>
      <c r="Z178" s="10"/>
      <c r="AA178" s="69"/>
      <c r="AB178" s="69"/>
      <c r="AC178" s="69"/>
      <c r="AD178" s="69"/>
      <c r="AE178" s="69"/>
      <c r="AF178" s="69"/>
      <c r="AG178" s="69"/>
      <c r="AH178" s="69"/>
      <c r="AI178" s="69"/>
      <c r="AJ178" s="69"/>
      <c r="AK178" s="69"/>
      <c r="AL178" s="69"/>
      <c r="AM178" s="69"/>
      <c r="AN178" s="69"/>
      <c r="AO178" s="69"/>
      <c r="AP178" s="69"/>
      <c r="AQ178" s="69"/>
      <c r="AR178" s="69"/>
      <c r="AS178" s="69"/>
      <c r="AT178" s="69"/>
      <c r="AU178" s="51"/>
      <c r="AV178" s="51"/>
      <c r="AW178" s="131"/>
      <c r="AX178" s="51"/>
      <c r="AY178" s="51"/>
      <c r="AZ178" s="51"/>
      <c r="BA178" s="51"/>
    </row>
    <row r="179" spans="1:53" x14ac:dyDescent="0.2">
      <c r="A179" s="13"/>
      <c r="B179" s="16"/>
      <c r="C179" s="13"/>
      <c r="D179" s="222" t="s">
        <v>34</v>
      </c>
      <c r="E179" s="222"/>
      <c r="F179" s="222"/>
      <c r="G179" s="222"/>
      <c r="H179" s="222"/>
      <c r="I179" s="222"/>
      <c r="J179" s="13"/>
      <c r="K179" s="222" t="s">
        <v>35</v>
      </c>
      <c r="L179" s="222"/>
      <c r="M179" s="222"/>
      <c r="N179" s="13"/>
      <c r="O179" s="222" t="s">
        <v>36</v>
      </c>
      <c r="P179" s="222"/>
      <c r="Q179" s="222"/>
      <c r="R179" s="222"/>
      <c r="S179" s="222"/>
      <c r="T179" s="13"/>
      <c r="U179" s="13"/>
      <c r="V179" s="31"/>
      <c r="W179" s="13"/>
      <c r="X179" s="17"/>
      <c r="Y179" s="17"/>
      <c r="Z179" s="17"/>
      <c r="AA179" s="13"/>
      <c r="AB179" s="13"/>
      <c r="AC179" s="13"/>
      <c r="AD179" s="13"/>
      <c r="AE179" s="13"/>
      <c r="AF179" s="13"/>
      <c r="AG179" s="13"/>
      <c r="AH179" s="13"/>
      <c r="AI179" s="13"/>
      <c r="AJ179" s="13"/>
      <c r="AK179" s="13"/>
      <c r="AL179" s="13"/>
      <c r="AM179" s="13"/>
      <c r="AN179" s="13"/>
      <c r="AO179" s="13"/>
      <c r="AP179" s="13"/>
      <c r="AQ179" s="13"/>
      <c r="AR179" s="13"/>
      <c r="AS179" s="13"/>
      <c r="AT179" s="13"/>
      <c r="AU179" s="51"/>
      <c r="AV179" s="51"/>
      <c r="AW179" s="131"/>
      <c r="AX179" s="51"/>
      <c r="AY179" s="51"/>
      <c r="AZ179" s="51"/>
      <c r="BA179" s="51"/>
    </row>
    <row r="180" spans="1:53" ht="12.75" customHeight="1" x14ac:dyDescent="0.2">
      <c r="A180" s="32" t="s">
        <v>33</v>
      </c>
      <c r="B180" s="32"/>
      <c r="C180" s="69"/>
      <c r="D180" s="223" t="s">
        <v>277</v>
      </c>
      <c r="E180" s="223"/>
      <c r="F180" s="223"/>
      <c r="G180" s="223"/>
      <c r="H180" s="223"/>
      <c r="I180" s="223"/>
      <c r="J180" s="69"/>
      <c r="K180" s="224"/>
      <c r="L180" s="224"/>
      <c r="M180" s="224"/>
      <c r="N180" s="69"/>
      <c r="O180" s="225" t="s">
        <v>279</v>
      </c>
      <c r="P180" s="225"/>
      <c r="Q180" s="225"/>
      <c r="R180" s="225"/>
      <c r="S180" s="225"/>
      <c r="T180" s="9"/>
      <c r="U180" s="221">
        <f>U178</f>
        <v>45747</v>
      </c>
      <c r="V180" s="221"/>
      <c r="W180" s="221"/>
      <c r="X180" s="221"/>
      <c r="Y180" s="221"/>
      <c r="Z180" s="69"/>
      <c r="AA180" s="69"/>
      <c r="AB180" s="69"/>
      <c r="AC180" s="69"/>
      <c r="AD180" s="69"/>
      <c r="AE180" s="69"/>
      <c r="AF180" s="69"/>
      <c r="AG180" s="69"/>
      <c r="AH180" s="69"/>
      <c r="AI180" s="69"/>
      <c r="AJ180" s="69"/>
      <c r="AK180" s="69"/>
      <c r="AL180" s="69"/>
      <c r="AM180" s="69"/>
      <c r="AN180" s="69"/>
      <c r="AO180" s="69"/>
      <c r="AP180" s="69"/>
      <c r="AQ180" s="69"/>
      <c r="AR180" s="69"/>
      <c r="AS180" s="69"/>
      <c r="AT180" s="69"/>
    </row>
    <row r="181" spans="1:53" x14ac:dyDescent="0.2">
      <c r="A181" s="13"/>
      <c r="B181" s="13"/>
      <c r="C181" s="13"/>
      <c r="D181" s="222" t="s">
        <v>34</v>
      </c>
      <c r="E181" s="222"/>
      <c r="F181" s="222"/>
      <c r="G181" s="222"/>
      <c r="H181" s="222"/>
      <c r="I181" s="222"/>
      <c r="J181" s="13"/>
      <c r="K181" s="222" t="s">
        <v>35</v>
      </c>
      <c r="L181" s="222"/>
      <c r="M181" s="222"/>
      <c r="N181" s="13"/>
      <c r="O181" s="222" t="s">
        <v>36</v>
      </c>
      <c r="P181" s="222"/>
      <c r="Q181" s="222"/>
      <c r="R181" s="222"/>
      <c r="S181" s="222"/>
      <c r="T181" s="17"/>
      <c r="U181" s="17"/>
      <c r="V181" s="13"/>
      <c r="W181" s="17"/>
      <c r="X181" s="17"/>
      <c r="Y181" s="17"/>
      <c r="Z181" s="69"/>
      <c r="AA181" s="69"/>
      <c r="AB181" s="69"/>
      <c r="AC181" s="69"/>
      <c r="AD181" s="69"/>
      <c r="AE181" s="69"/>
      <c r="AF181" s="69"/>
      <c r="AG181" s="69"/>
      <c r="AH181" s="69"/>
      <c r="AI181" s="69"/>
      <c r="AJ181" s="69"/>
      <c r="AK181" s="69"/>
      <c r="AL181" s="69"/>
      <c r="AM181" s="69"/>
      <c r="AN181" s="69"/>
      <c r="AO181" s="69"/>
      <c r="AP181" s="69"/>
      <c r="AQ181" s="69"/>
      <c r="AR181" s="69"/>
      <c r="AS181" s="69"/>
      <c r="AT181" s="69"/>
    </row>
    <row r="182" spans="1:53" x14ac:dyDescent="0.2">
      <c r="A182" s="69"/>
      <c r="B182" s="69"/>
      <c r="C182" s="33" t="s">
        <v>39</v>
      </c>
      <c r="D182" s="70"/>
      <c r="E182" s="70"/>
      <c r="F182" s="70"/>
      <c r="G182" s="70"/>
      <c r="H182" s="70"/>
      <c r="I182" s="70"/>
      <c r="J182" s="70"/>
      <c r="K182" s="70"/>
      <c r="L182" s="70"/>
      <c r="M182" s="70"/>
      <c r="N182" s="70"/>
      <c r="O182" s="70"/>
      <c r="P182" s="70"/>
      <c r="Q182" s="70"/>
      <c r="R182" s="69"/>
      <c r="S182" s="69"/>
      <c r="T182" s="69"/>
      <c r="U182" s="69"/>
      <c r="V182" s="69"/>
      <c r="W182" s="69"/>
      <c r="X182" s="69"/>
      <c r="Y182" s="69"/>
      <c r="Z182" s="69"/>
      <c r="AA182" s="69"/>
      <c r="AB182" s="69"/>
      <c r="AC182" s="69"/>
      <c r="AD182" s="69"/>
      <c r="AE182" s="69"/>
      <c r="AF182" s="69"/>
      <c r="AG182" s="69"/>
      <c r="AH182" s="69"/>
      <c r="AI182" s="69"/>
      <c r="AJ182" s="69"/>
      <c r="AK182" s="69"/>
      <c r="AL182" s="69"/>
      <c r="AM182" s="69"/>
      <c r="AN182" s="69"/>
      <c r="AO182" s="69"/>
      <c r="AP182" s="69"/>
      <c r="AQ182" s="69"/>
      <c r="AR182" s="69"/>
      <c r="AS182" s="69"/>
      <c r="AT182" s="69"/>
    </row>
    <row r="183" spans="1:53" x14ac:dyDescent="0.2">
      <c r="A183" s="69"/>
      <c r="B183" s="69"/>
      <c r="C183" s="34" t="s">
        <v>4</v>
      </c>
      <c r="D183" s="35" t="s">
        <v>49</v>
      </c>
      <c r="E183" t="s">
        <v>5</v>
      </c>
      <c r="N183" s="36"/>
      <c r="O183" s="3"/>
      <c r="P183" s="37"/>
      <c r="Q183" s="37"/>
      <c r="R183" s="69"/>
      <c r="S183" s="69"/>
      <c r="T183" s="69"/>
      <c r="U183" s="21" t="s">
        <v>2</v>
      </c>
      <c r="V183" s="15" t="s">
        <v>49</v>
      </c>
      <c r="W183" t="s">
        <v>61</v>
      </c>
      <c r="Y183" s="69"/>
      <c r="Z183" s="69"/>
      <c r="AA183" s="69"/>
      <c r="AB183" s="69"/>
      <c r="AC183" s="69"/>
      <c r="AD183" s="69"/>
      <c r="AE183" s="69"/>
      <c r="AF183" s="69"/>
      <c r="AG183" s="69"/>
      <c r="AH183" s="69"/>
      <c r="AI183" s="69"/>
      <c r="AJ183" s="69"/>
      <c r="AK183" s="69"/>
      <c r="AL183" s="69"/>
      <c r="AM183" s="69"/>
      <c r="AN183" s="69"/>
      <c r="AO183" s="69"/>
      <c r="AP183" s="69"/>
      <c r="AQ183" s="69"/>
      <c r="AR183" s="69"/>
      <c r="AS183" s="69"/>
      <c r="AT183" s="69"/>
    </row>
    <row r="184" spans="1:53" x14ac:dyDescent="0.2">
      <c r="A184" s="69"/>
      <c r="B184" s="69"/>
      <c r="C184" s="34" t="s">
        <v>41</v>
      </c>
      <c r="D184" s="35" t="s">
        <v>49</v>
      </c>
      <c r="E184" t="s">
        <v>40</v>
      </c>
      <c r="N184" s="36"/>
      <c r="O184" s="3"/>
      <c r="P184" s="37"/>
      <c r="Q184" s="37"/>
      <c r="R184" s="69"/>
      <c r="S184" s="69"/>
      <c r="T184" s="69"/>
      <c r="U184" s="21" t="s">
        <v>50</v>
      </c>
      <c r="V184" s="15" t="s">
        <v>49</v>
      </c>
      <c r="W184" t="s">
        <v>62</v>
      </c>
      <c r="Y184" s="69"/>
      <c r="Z184" s="69"/>
      <c r="AA184" s="69"/>
      <c r="AB184" s="69"/>
      <c r="AC184" s="69"/>
      <c r="AD184" s="69"/>
      <c r="AE184" s="69"/>
      <c r="AF184" s="69"/>
      <c r="AG184" s="69"/>
      <c r="AH184" s="69"/>
      <c r="AI184" s="69"/>
      <c r="AJ184" s="69"/>
      <c r="AK184" s="69"/>
      <c r="AL184" s="69"/>
      <c r="AM184" s="69"/>
      <c r="AN184" s="69"/>
      <c r="AO184" s="69"/>
      <c r="AP184" s="69"/>
      <c r="AQ184" s="69"/>
      <c r="AR184" s="69"/>
      <c r="AS184" s="69"/>
      <c r="AT184" s="69"/>
    </row>
    <row r="185" spans="1:53" x14ac:dyDescent="0.2">
      <c r="A185" s="69"/>
      <c r="B185" s="69"/>
      <c r="C185" s="34" t="s">
        <v>43</v>
      </c>
      <c r="D185" s="35" t="s">
        <v>49</v>
      </c>
      <c r="E185" t="s">
        <v>42</v>
      </c>
      <c r="N185" s="36"/>
      <c r="O185" s="3"/>
      <c r="P185" s="37"/>
      <c r="Q185" s="37"/>
      <c r="R185" s="69"/>
      <c r="S185" s="69"/>
      <c r="T185" s="69"/>
      <c r="U185" s="21" t="s">
        <v>51</v>
      </c>
      <c r="V185" s="15" t="s">
        <v>49</v>
      </c>
      <c r="W185" t="s">
        <v>53</v>
      </c>
      <c r="Y185" s="69"/>
      <c r="Z185" s="69"/>
      <c r="AA185" s="69"/>
      <c r="AB185" s="69"/>
      <c r="AC185" s="69"/>
      <c r="AD185" s="69"/>
      <c r="AE185" s="69"/>
      <c r="AF185" s="69"/>
      <c r="AG185" s="69"/>
      <c r="AH185" s="69"/>
      <c r="AI185" s="69"/>
      <c r="AJ185" s="69"/>
      <c r="AK185" s="69"/>
      <c r="AL185" s="69"/>
      <c r="AM185" s="69"/>
      <c r="AN185" s="69"/>
      <c r="AO185" s="69"/>
      <c r="AP185" s="69"/>
      <c r="AQ185" s="69"/>
      <c r="AR185" s="69"/>
      <c r="AS185" s="69"/>
      <c r="AT185" s="69"/>
    </row>
    <row r="186" spans="1:53" x14ac:dyDescent="0.2">
      <c r="A186" s="69"/>
      <c r="B186" s="69"/>
      <c r="C186" s="34" t="s">
        <v>45</v>
      </c>
      <c r="D186" s="35" t="s">
        <v>49</v>
      </c>
      <c r="E186" t="s">
        <v>44</v>
      </c>
      <c r="N186" s="3"/>
      <c r="O186" s="3"/>
      <c r="P186" s="37"/>
      <c r="Q186" s="37"/>
      <c r="R186" s="69"/>
      <c r="S186" s="69"/>
      <c r="T186" s="69"/>
      <c r="U186" s="15" t="s">
        <v>63</v>
      </c>
      <c r="V186" s="15" t="s">
        <v>49</v>
      </c>
      <c r="W186" t="s">
        <v>64</v>
      </c>
      <c r="Y186" s="69"/>
      <c r="Z186" s="69"/>
      <c r="AA186" s="69"/>
      <c r="AB186" s="69"/>
      <c r="AC186" s="69"/>
      <c r="AD186" s="69"/>
      <c r="AE186" s="69"/>
      <c r="AF186" s="69"/>
      <c r="AG186" s="69"/>
      <c r="AH186" s="69"/>
      <c r="AI186" s="69"/>
      <c r="AJ186" s="69"/>
      <c r="AK186" s="69"/>
      <c r="AL186" s="69"/>
      <c r="AM186" s="69"/>
      <c r="AN186" s="69"/>
      <c r="AO186" s="69"/>
      <c r="AP186" s="69"/>
      <c r="AQ186" s="69"/>
      <c r="AR186" s="69"/>
      <c r="AS186" s="69"/>
      <c r="AT186" s="69"/>
    </row>
    <row r="187" spans="1:53" x14ac:dyDescent="0.2">
      <c r="A187" s="69"/>
      <c r="B187" s="69"/>
      <c r="C187" s="34" t="s">
        <v>47</v>
      </c>
      <c r="D187" s="35" t="s">
        <v>49</v>
      </c>
      <c r="E187" t="s">
        <v>46</v>
      </c>
      <c r="N187" s="3"/>
      <c r="O187" s="3"/>
      <c r="P187" s="37"/>
      <c r="Q187" s="37"/>
      <c r="R187" s="69"/>
      <c r="S187" s="69"/>
      <c r="T187" s="69"/>
      <c r="U187" s="15" t="s">
        <v>65</v>
      </c>
      <c r="V187" s="15" t="s">
        <v>49</v>
      </c>
      <c r="W187" t="s">
        <v>66</v>
      </c>
      <c r="Y187" s="69"/>
      <c r="Z187" s="69"/>
      <c r="AA187" s="69"/>
      <c r="AB187" s="69"/>
      <c r="AC187" s="69"/>
      <c r="AD187" s="69"/>
      <c r="AE187" s="69"/>
      <c r="AF187" s="69"/>
      <c r="AG187" s="69"/>
      <c r="AH187" s="69"/>
      <c r="AI187" s="69"/>
      <c r="AJ187" s="69"/>
      <c r="AK187" s="69"/>
      <c r="AL187" s="69"/>
      <c r="AM187" s="69"/>
      <c r="AN187" s="69"/>
      <c r="AO187" s="69"/>
      <c r="AP187" s="69"/>
      <c r="AQ187" s="69"/>
      <c r="AR187" s="69"/>
      <c r="AS187" s="69"/>
      <c r="AT187" s="69"/>
    </row>
    <row r="188" spans="1:53" x14ac:dyDescent="0.2">
      <c r="A188" s="69"/>
      <c r="B188" s="69"/>
      <c r="C188" s="34" t="s">
        <v>48</v>
      </c>
      <c r="D188" s="35" t="s">
        <v>49</v>
      </c>
      <c r="E188" t="s">
        <v>29</v>
      </c>
      <c r="N188" s="36"/>
      <c r="O188" s="3"/>
      <c r="P188" s="37"/>
      <c r="Q188" s="37"/>
      <c r="R188" s="69"/>
      <c r="S188" s="69"/>
      <c r="T188" s="69"/>
      <c r="U188" s="21" t="s">
        <v>52</v>
      </c>
      <c r="V188" s="15" t="s">
        <v>49</v>
      </c>
      <c r="W188" t="s">
        <v>54</v>
      </c>
      <c r="Y188" s="69"/>
      <c r="Z188" s="69"/>
      <c r="AA188" s="69"/>
      <c r="AB188" s="69"/>
      <c r="AC188" s="69"/>
      <c r="AD188" s="69"/>
      <c r="AE188" s="69"/>
      <c r="AF188" s="69"/>
      <c r="AG188" s="69"/>
      <c r="AH188" s="69"/>
      <c r="AI188" s="69"/>
      <c r="AJ188" s="69"/>
      <c r="AK188" s="69"/>
      <c r="AL188" s="69"/>
      <c r="AM188" s="69"/>
      <c r="AN188" s="69"/>
      <c r="AO188" s="69"/>
      <c r="AP188" s="69"/>
      <c r="AQ188" s="69"/>
      <c r="AR188" s="69"/>
      <c r="AS188" s="69"/>
      <c r="AT188" s="69"/>
    </row>
    <row r="189" spans="1:53" x14ac:dyDescent="0.2">
      <c r="A189" s="69"/>
      <c r="B189" s="69"/>
      <c r="C189" s="34" t="s">
        <v>3</v>
      </c>
      <c r="D189" s="35" t="s">
        <v>49</v>
      </c>
      <c r="E189" t="s">
        <v>67</v>
      </c>
      <c r="N189" s="36"/>
      <c r="O189" s="3"/>
      <c r="P189" s="37"/>
      <c r="Q189" s="37"/>
      <c r="R189" s="69"/>
      <c r="S189" s="69"/>
      <c r="T189" s="69"/>
      <c r="U189" s="21" t="s">
        <v>68</v>
      </c>
      <c r="V189" s="15" t="s">
        <v>49</v>
      </c>
      <c r="W189" t="s">
        <v>31</v>
      </c>
      <c r="Y189" s="69"/>
      <c r="Z189" s="69"/>
      <c r="AA189" s="69"/>
      <c r="AB189" s="69"/>
      <c r="AC189" s="69"/>
      <c r="AD189" s="69"/>
      <c r="AE189" s="69"/>
      <c r="AF189" s="69"/>
      <c r="AG189" s="69"/>
      <c r="AH189" s="69"/>
      <c r="AI189" s="69"/>
      <c r="AJ189" s="69"/>
      <c r="AK189" s="69"/>
      <c r="AL189" s="69"/>
      <c r="AM189" s="69"/>
      <c r="AN189" s="69"/>
      <c r="AO189" s="69"/>
      <c r="AP189" s="69"/>
      <c r="AQ189" s="69"/>
      <c r="AR189" s="69"/>
      <c r="AS189" s="69"/>
      <c r="AT189" s="69"/>
    </row>
    <row r="190" spans="1:53" x14ac:dyDescent="0.2">
      <c r="A190" s="69"/>
      <c r="B190" s="69"/>
      <c r="C190" s="34" t="s">
        <v>73</v>
      </c>
      <c r="D190" s="35" t="s">
        <v>49</v>
      </c>
      <c r="E190" s="219" t="s">
        <v>75</v>
      </c>
      <c r="F190" s="220"/>
      <c r="G190" s="220"/>
      <c r="H190" s="220"/>
      <c r="I190" s="220"/>
      <c r="J190" s="220"/>
      <c r="K190" s="220"/>
      <c r="L190" s="220"/>
      <c r="M190" s="220"/>
      <c r="N190" s="220"/>
      <c r="O190" s="220"/>
      <c r="P190" s="220"/>
      <c r="Q190" s="220"/>
      <c r="R190" s="69"/>
      <c r="S190" s="69"/>
      <c r="T190" s="69"/>
      <c r="U190" s="21" t="s">
        <v>76</v>
      </c>
      <c r="V190" s="15" t="s">
        <v>49</v>
      </c>
      <c r="W190" t="s">
        <v>77</v>
      </c>
      <c r="X190" s="69"/>
      <c r="Y190" s="69"/>
      <c r="Z190" s="69"/>
      <c r="AA190" s="69"/>
      <c r="AB190" s="69"/>
      <c r="AC190" s="69"/>
      <c r="AD190" s="69"/>
      <c r="AE190" s="69"/>
      <c r="AF190" s="69"/>
      <c r="AG190" s="69"/>
      <c r="AH190" s="69"/>
      <c r="AI190" s="69"/>
      <c r="AJ190" s="69"/>
      <c r="AK190" s="69"/>
      <c r="AL190" s="69"/>
      <c r="AM190" s="69"/>
      <c r="AN190" s="69"/>
      <c r="AO190" s="69"/>
      <c r="AP190" s="69"/>
      <c r="AQ190" s="69"/>
      <c r="AR190" s="69"/>
      <c r="AS190" s="69"/>
      <c r="AT190" s="69"/>
    </row>
    <row r="191" spans="1:53" x14ac:dyDescent="0.2">
      <c r="A191" s="69"/>
      <c r="B191" s="69"/>
      <c r="C191" s="34" t="s">
        <v>142</v>
      </c>
      <c r="D191" s="35" t="s">
        <v>49</v>
      </c>
      <c r="E191" s="219" t="s">
        <v>143</v>
      </c>
      <c r="F191" s="220"/>
      <c r="G191" s="220"/>
      <c r="H191" s="220"/>
      <c r="I191" s="220"/>
      <c r="J191" s="220"/>
      <c r="K191" s="220"/>
      <c r="L191" s="220"/>
      <c r="M191" s="220"/>
      <c r="N191" s="220"/>
      <c r="O191" s="220"/>
      <c r="P191" s="220"/>
      <c r="Q191" s="220"/>
      <c r="R191" s="69"/>
      <c r="S191" s="69"/>
      <c r="T191" s="69"/>
      <c r="U191" s="69"/>
      <c r="V191" s="69"/>
      <c r="W191" s="69"/>
      <c r="X191" s="69"/>
      <c r="Y191" s="69"/>
      <c r="Z191" s="69"/>
      <c r="AA191" s="69"/>
      <c r="AB191" s="69"/>
      <c r="AC191" s="69"/>
      <c r="AD191" s="69"/>
      <c r="AE191" s="69"/>
      <c r="AF191" s="69"/>
      <c r="AG191" s="69"/>
      <c r="AH191" s="69"/>
      <c r="AI191" s="69"/>
      <c r="AJ191" s="69"/>
      <c r="AK191" s="69"/>
      <c r="AL191" s="69"/>
      <c r="AM191" s="69"/>
      <c r="AN191" s="69"/>
      <c r="AO191" s="69"/>
      <c r="AP191" s="69"/>
      <c r="AQ191" s="69"/>
      <c r="AR191" s="69"/>
      <c r="AS191" s="69"/>
      <c r="AT191" s="69"/>
    </row>
  </sheetData>
  <mergeCells count="1766">
    <mergeCell ref="AP141:AP142"/>
    <mergeCell ref="AU139:AU140"/>
    <mergeCell ref="AO137:AO138"/>
    <mergeCell ref="AO129:AO130"/>
    <mergeCell ref="AM137:AM138"/>
    <mergeCell ref="AS127:AS128"/>
    <mergeCell ref="AT127:AT128"/>
    <mergeCell ref="AQ111:AQ112"/>
    <mergeCell ref="AR133:AR134"/>
    <mergeCell ref="AP151:AP152"/>
    <mergeCell ref="AU143:AU144"/>
    <mergeCell ref="AP99:AP100"/>
    <mergeCell ref="AQ99:AQ100"/>
    <mergeCell ref="AR99:AR100"/>
    <mergeCell ref="AM145:AM146"/>
    <mergeCell ref="AN145:AN146"/>
    <mergeCell ref="AQ129:AQ130"/>
    <mergeCell ref="AM139:AM140"/>
    <mergeCell ref="AS133:AS134"/>
    <mergeCell ref="AR135:AR136"/>
    <mergeCell ref="AQ135:AQ136"/>
    <mergeCell ref="AQ131:AQ132"/>
    <mergeCell ref="AT111:AT112"/>
    <mergeCell ref="AN141:AN142"/>
    <mergeCell ref="AN149:AN150"/>
    <mergeCell ref="AO149:AO150"/>
    <mergeCell ref="AP149:AP150"/>
    <mergeCell ref="AU149:AU150"/>
    <mergeCell ref="AM149:AM150"/>
    <mergeCell ref="AT135:AT136"/>
    <mergeCell ref="AU133:AU134"/>
    <mergeCell ref="AT133:AT134"/>
    <mergeCell ref="A169:A170"/>
    <mergeCell ref="B169:B170"/>
    <mergeCell ref="C169:C170"/>
    <mergeCell ref="D169:D170"/>
    <mergeCell ref="AJ169:AJ170"/>
    <mergeCell ref="AK169:AK170"/>
    <mergeCell ref="AL169:AL170"/>
    <mergeCell ref="AM169:AM170"/>
    <mergeCell ref="AN169:AN170"/>
    <mergeCell ref="AO169:AO170"/>
    <mergeCell ref="AP169:AP170"/>
    <mergeCell ref="AQ169:AQ170"/>
    <mergeCell ref="AR169:AR170"/>
    <mergeCell ref="AS169:AS170"/>
    <mergeCell ref="AT169:AT170"/>
    <mergeCell ref="AU169:AU170"/>
    <mergeCell ref="AT107:AT108"/>
    <mergeCell ref="AO135:AO136"/>
    <mergeCell ref="AM135:AM136"/>
    <mergeCell ref="AO121:AO122"/>
    <mergeCell ref="AP135:AP136"/>
    <mergeCell ref="AS137:AS138"/>
    <mergeCell ref="B119:B120"/>
    <mergeCell ref="B127:B128"/>
    <mergeCell ref="AJ127:AJ128"/>
    <mergeCell ref="AK127:AK128"/>
    <mergeCell ref="AL127:AL128"/>
    <mergeCell ref="D141:D142"/>
    <mergeCell ref="AL133:AL134"/>
    <mergeCell ref="AK151:AK152"/>
    <mergeCell ref="AL151:AL152"/>
    <mergeCell ref="C135:C136"/>
    <mergeCell ref="AQ133:AQ134"/>
    <mergeCell ref="AU135:AU136"/>
    <mergeCell ref="AQ127:AQ128"/>
    <mergeCell ref="AR127:AR128"/>
    <mergeCell ref="AP127:AP128"/>
    <mergeCell ref="AU119:AU120"/>
    <mergeCell ref="AS121:AS122"/>
    <mergeCell ref="AQ119:AQ120"/>
    <mergeCell ref="AR119:AR120"/>
    <mergeCell ref="AU121:AU122"/>
    <mergeCell ref="AT119:AT120"/>
    <mergeCell ref="AU111:AU112"/>
    <mergeCell ref="AV115:AV116"/>
    <mergeCell ref="AW45:AW46"/>
    <mergeCell ref="AR33:AR34"/>
    <mergeCell ref="AY43:AY44"/>
    <mergeCell ref="AX45:AX46"/>
    <mergeCell ref="AY45:AY46"/>
    <mergeCell ref="AX57:AX58"/>
    <mergeCell ref="AV57:AV58"/>
    <mergeCell ref="AW57:AW58"/>
    <mergeCell ref="AV59:AV60"/>
    <mergeCell ref="AW59:AW60"/>
    <mergeCell ref="AW55:AW56"/>
    <mergeCell ref="AV51:AV52"/>
    <mergeCell ref="AW93:AW94"/>
    <mergeCell ref="AX81:AX82"/>
    <mergeCell ref="AX59:AX60"/>
    <mergeCell ref="AU75:AU76"/>
    <mergeCell ref="AW63:AW64"/>
    <mergeCell ref="AW71:AW72"/>
    <mergeCell ref="AT121:AT122"/>
    <mergeCell ref="AZ43:AZ44"/>
    <mergeCell ref="A31:A32"/>
    <mergeCell ref="B31:B32"/>
    <mergeCell ref="C31:C32"/>
    <mergeCell ref="D31:D32"/>
    <mergeCell ref="AJ31:AJ32"/>
    <mergeCell ref="AK31:AK32"/>
    <mergeCell ref="AL31:AL32"/>
    <mergeCell ref="AM31:AM32"/>
    <mergeCell ref="AN31:AN32"/>
    <mergeCell ref="AO31:AO32"/>
    <mergeCell ref="AP31:AP32"/>
    <mergeCell ref="AQ31:AQ32"/>
    <mergeCell ref="AR31:AR32"/>
    <mergeCell ref="AS31:AS32"/>
    <mergeCell ref="AT31:AT32"/>
    <mergeCell ref="AU31:AU32"/>
    <mergeCell ref="AW33:AW34"/>
    <mergeCell ref="AN43:AN44"/>
    <mergeCell ref="AZ37:AZ38"/>
    <mergeCell ref="AL43:AL44"/>
    <mergeCell ref="AZ45:AZ46"/>
    <mergeCell ref="AV39:AV40"/>
    <mergeCell ref="AU43:AU44"/>
    <mergeCell ref="AX35:AX36"/>
    <mergeCell ref="AR35:AR36"/>
    <mergeCell ref="AJ43:AJ44"/>
    <mergeCell ref="A41:A42"/>
    <mergeCell ref="B41:B42"/>
    <mergeCell ref="AP39:AP40"/>
    <mergeCell ref="AJ57:AJ58"/>
    <mergeCell ref="AL55:AL56"/>
    <mergeCell ref="A39:A40"/>
    <mergeCell ref="B39:B40"/>
    <mergeCell ref="C39:C40"/>
    <mergeCell ref="D39:D40"/>
    <mergeCell ref="AJ39:AJ40"/>
    <mergeCell ref="AQ137:AQ138"/>
    <mergeCell ref="AP133:AP134"/>
    <mergeCell ref="AX55:AX56"/>
    <mergeCell ref="AZ51:AZ52"/>
    <mergeCell ref="AY51:AY52"/>
    <mergeCell ref="AZ55:AZ56"/>
    <mergeCell ref="AY55:AY56"/>
    <mergeCell ref="AY59:AY60"/>
    <mergeCell ref="AZ57:AZ58"/>
    <mergeCell ref="AY53:AY54"/>
    <mergeCell ref="AY57:AY58"/>
    <mergeCell ref="AW51:AW52"/>
    <mergeCell ref="AW53:AW54"/>
    <mergeCell ref="AV55:AV56"/>
    <mergeCell ref="AV53:AV54"/>
    <mergeCell ref="AZ59:AZ60"/>
    <mergeCell ref="AR139:AR140"/>
    <mergeCell ref="AR141:AR142"/>
    <mergeCell ref="AQ141:AQ142"/>
    <mergeCell ref="AQ139:AQ140"/>
    <mergeCell ref="AR137:AR138"/>
    <mergeCell ref="AP131:AP132"/>
    <mergeCell ref="AQ33:AQ34"/>
    <mergeCell ref="AP43:AP44"/>
    <mergeCell ref="AP35:AP36"/>
    <mergeCell ref="AS53:AS54"/>
    <mergeCell ref="AR39:AR40"/>
    <mergeCell ref="AS39:AS40"/>
    <mergeCell ref="AT39:AT40"/>
    <mergeCell ref="AU39:AU40"/>
    <mergeCell ref="AS43:AS44"/>
    <mergeCell ref="A107:A108"/>
    <mergeCell ref="AK107:AK108"/>
    <mergeCell ref="AL99:AL100"/>
    <mergeCell ref="AM99:AM100"/>
    <mergeCell ref="B107:B108"/>
    <mergeCell ref="AK39:AK40"/>
    <mergeCell ref="AL39:AL40"/>
    <mergeCell ref="AU55:AU56"/>
    <mergeCell ref="AU53:AU54"/>
    <mergeCell ref="AU57:AU58"/>
    <mergeCell ref="AU59:AU60"/>
    <mergeCell ref="AT59:AT60"/>
    <mergeCell ref="AP59:AP60"/>
    <mergeCell ref="AP73:AP74"/>
    <mergeCell ref="AS59:AS60"/>
    <mergeCell ref="AS61:AS62"/>
    <mergeCell ref="AU127:AU128"/>
    <mergeCell ref="AZ21:AZ22"/>
    <mergeCell ref="AX21:AX22"/>
    <mergeCell ref="AW31:AW32"/>
    <mergeCell ref="AV21:AV22"/>
    <mergeCell ref="AQ93:AQ94"/>
    <mergeCell ref="AQ91:AQ92"/>
    <mergeCell ref="AR97:AR98"/>
    <mergeCell ref="AP121:AP122"/>
    <mergeCell ref="AP137:AP138"/>
    <mergeCell ref="AT137:AT138"/>
    <mergeCell ref="AU137:AU138"/>
    <mergeCell ref="AW47:AW48"/>
    <mergeCell ref="AX47:AX48"/>
    <mergeCell ref="AY47:AY48"/>
    <mergeCell ref="AZ47:AZ48"/>
    <mergeCell ref="AW49:AW50"/>
    <mergeCell ref="AX49:AX50"/>
    <mergeCell ref="AY49:AY50"/>
    <mergeCell ref="AZ49:AZ50"/>
    <mergeCell ref="AZ35:AZ36"/>
    <mergeCell ref="AY35:AY36"/>
    <mergeCell ref="AY33:AY34"/>
    <mergeCell ref="AX33:AX34"/>
    <mergeCell ref="AW35:AW36"/>
    <mergeCell ref="AX51:AX52"/>
    <mergeCell ref="AS51:AS52"/>
    <mergeCell ref="AT53:AT54"/>
    <mergeCell ref="AZ53:AZ54"/>
    <mergeCell ref="AX53:AX54"/>
    <mergeCell ref="AV33:AV34"/>
    <mergeCell ref="AT33:AT34"/>
    <mergeCell ref="AU33:AU34"/>
    <mergeCell ref="AZ17:AZ18"/>
    <mergeCell ref="AO17:AO18"/>
    <mergeCell ref="AP17:AP18"/>
    <mergeCell ref="AX43:AX44"/>
    <mergeCell ref="AV43:AV44"/>
    <mergeCell ref="AW43:AW44"/>
    <mergeCell ref="AQ17:AQ18"/>
    <mergeCell ref="AR17:AR18"/>
    <mergeCell ref="AS17:AS18"/>
    <mergeCell ref="AT17:AT18"/>
    <mergeCell ref="AU17:AU18"/>
    <mergeCell ref="AV17:AV18"/>
    <mergeCell ref="AT35:AT36"/>
    <mergeCell ref="AU21:AU22"/>
    <mergeCell ref="AQ43:AQ44"/>
    <mergeCell ref="AT43:AT44"/>
    <mergeCell ref="AS35:AS36"/>
    <mergeCell ref="AV35:AV36"/>
    <mergeCell ref="AW21:AW22"/>
    <mergeCell ref="AW17:AW18"/>
    <mergeCell ref="AX17:AX18"/>
    <mergeCell ref="AY17:AY18"/>
    <mergeCell ref="AS21:AS22"/>
    <mergeCell ref="AY21:AY22"/>
    <mergeCell ref="AU35:AU36"/>
    <mergeCell ref="AW39:AW40"/>
    <mergeCell ref="AX39:AX40"/>
    <mergeCell ref="AY39:AY40"/>
    <mergeCell ref="AZ39:AZ40"/>
    <mergeCell ref="AW41:AW42"/>
    <mergeCell ref="AX41:AX42"/>
    <mergeCell ref="AZ41:AZ42"/>
    <mergeCell ref="AR69:AR70"/>
    <mergeCell ref="AR91:AR92"/>
    <mergeCell ref="AQ87:AQ88"/>
    <mergeCell ref="AT79:AT80"/>
    <mergeCell ref="AT65:AT66"/>
    <mergeCell ref="AT61:AT62"/>
    <mergeCell ref="AP93:AP94"/>
    <mergeCell ref="AN91:AN92"/>
    <mergeCell ref="AL93:AL94"/>
    <mergeCell ref="AO93:AO94"/>
    <mergeCell ref="AN61:AN62"/>
    <mergeCell ref="AQ61:AQ62"/>
    <mergeCell ref="AQ83:AQ84"/>
    <mergeCell ref="AR85:AR86"/>
    <mergeCell ref="AS87:AS88"/>
    <mergeCell ref="AL81:AL82"/>
    <mergeCell ref="AM81:AM82"/>
    <mergeCell ref="AO87:AO88"/>
    <mergeCell ref="AL77:AL78"/>
    <mergeCell ref="AM77:AM78"/>
    <mergeCell ref="AN77:AN78"/>
    <mergeCell ref="AZ87:AZ88"/>
    <mergeCell ref="AZ91:AZ92"/>
    <mergeCell ref="AT91:AT92"/>
    <mergeCell ref="AQ85:AQ86"/>
    <mergeCell ref="AS91:AS92"/>
    <mergeCell ref="AR87:AR88"/>
    <mergeCell ref="AT93:AT94"/>
    <mergeCell ref="AQ73:AQ74"/>
    <mergeCell ref="AS73:AS74"/>
    <mergeCell ref="AQ79:AQ80"/>
    <mergeCell ref="AS75:AS76"/>
    <mergeCell ref="AW69:AW70"/>
    <mergeCell ref="AW73:AW74"/>
    <mergeCell ref="AW79:AW80"/>
    <mergeCell ref="AV91:AV92"/>
    <mergeCell ref="AV87:AV88"/>
    <mergeCell ref="AU93:AU94"/>
    <mergeCell ref="AT85:AT86"/>
    <mergeCell ref="AZ83:AZ84"/>
    <mergeCell ref="AX73:AX74"/>
    <mergeCell ref="AZ93:AZ94"/>
    <mergeCell ref="AY75:AY76"/>
    <mergeCell ref="AZ71:AZ72"/>
    <mergeCell ref="AY77:AY78"/>
    <mergeCell ref="AZ77:AZ78"/>
    <mergeCell ref="AV81:AV82"/>
    <mergeCell ref="AW83:AW84"/>
    <mergeCell ref="AV83:AV84"/>
    <mergeCell ref="AX75:AX76"/>
    <mergeCell ref="AR83:AR84"/>
    <mergeCell ref="AW75:AW76"/>
    <mergeCell ref="AW81:AW82"/>
    <mergeCell ref="AS119:AS120"/>
    <mergeCell ref="D107:D108"/>
    <mergeCell ref="AM107:AM108"/>
    <mergeCell ref="AM111:AM112"/>
    <mergeCell ref="AO111:AO112"/>
    <mergeCell ref="AT97:AT98"/>
    <mergeCell ref="AU107:AU108"/>
    <mergeCell ref="AV109:AV110"/>
    <mergeCell ref="AL107:AL108"/>
    <mergeCell ref="AW95:AW96"/>
    <mergeCell ref="AX95:AX96"/>
    <mergeCell ref="C89:C90"/>
    <mergeCell ref="D89:D90"/>
    <mergeCell ref="AK89:AK90"/>
    <mergeCell ref="AL89:AL90"/>
    <mergeCell ref="AO89:AO90"/>
    <mergeCell ref="AK97:AK98"/>
    <mergeCell ref="AV99:AV100"/>
    <mergeCell ref="AW99:AW100"/>
    <mergeCell ref="AM97:AM98"/>
    <mergeCell ref="AN97:AN98"/>
    <mergeCell ref="AQ115:AQ116"/>
    <mergeCell ref="AR115:AR116"/>
    <mergeCell ref="AS115:AS116"/>
    <mergeCell ref="AT115:AT116"/>
    <mergeCell ref="AU115:AU116"/>
    <mergeCell ref="AS99:AS100"/>
    <mergeCell ref="AX111:AX112"/>
    <mergeCell ref="C91:C92"/>
    <mergeCell ref="C97:C98"/>
    <mergeCell ref="AS111:AS112"/>
    <mergeCell ref="AW109:AW110"/>
    <mergeCell ref="D145:D146"/>
    <mergeCell ref="AJ141:AJ142"/>
    <mergeCell ref="AK137:AK138"/>
    <mergeCell ref="AK133:AK134"/>
    <mergeCell ref="AJ137:AJ138"/>
    <mergeCell ref="AL137:AL138"/>
    <mergeCell ref="B105:B106"/>
    <mergeCell ref="C105:C106"/>
    <mergeCell ref="C127:C128"/>
    <mergeCell ref="D127:D128"/>
    <mergeCell ref="AJ129:AJ130"/>
    <mergeCell ref="AK129:AK130"/>
    <mergeCell ref="AL129:AL130"/>
    <mergeCell ref="B135:B136"/>
    <mergeCell ref="AJ139:AJ140"/>
    <mergeCell ref="AJ107:AJ108"/>
    <mergeCell ref="C111:C112"/>
    <mergeCell ref="D111:D112"/>
    <mergeCell ref="D129:D130"/>
    <mergeCell ref="AK123:AK124"/>
    <mergeCell ref="AL123:AL124"/>
    <mergeCell ref="AK131:AK132"/>
    <mergeCell ref="AL131:AL132"/>
    <mergeCell ref="AL119:AL120"/>
    <mergeCell ref="A129:A130"/>
    <mergeCell ref="B129:B130"/>
    <mergeCell ref="C129:C130"/>
    <mergeCell ref="A143:A144"/>
    <mergeCell ref="B143:B144"/>
    <mergeCell ref="C143:C144"/>
    <mergeCell ref="B147:B148"/>
    <mergeCell ref="C147:C148"/>
    <mergeCell ref="D143:D144"/>
    <mergeCell ref="AJ143:AJ144"/>
    <mergeCell ref="AK143:AK144"/>
    <mergeCell ref="AL143:AL144"/>
    <mergeCell ref="B137:B138"/>
    <mergeCell ref="C141:C142"/>
    <mergeCell ref="AK139:AK140"/>
    <mergeCell ref="C139:C140"/>
    <mergeCell ref="D139:D140"/>
    <mergeCell ref="C137:C138"/>
    <mergeCell ref="D135:D136"/>
    <mergeCell ref="AJ135:AJ136"/>
    <mergeCell ref="AJ145:AJ146"/>
    <mergeCell ref="AK145:AK146"/>
    <mergeCell ref="AL145:AL146"/>
    <mergeCell ref="D147:D148"/>
    <mergeCell ref="AJ147:AJ148"/>
    <mergeCell ref="AL147:AL148"/>
    <mergeCell ref="AL135:AL136"/>
    <mergeCell ref="AK135:AK136"/>
    <mergeCell ref="B131:B132"/>
    <mergeCell ref="C131:C132"/>
    <mergeCell ref="D131:D132"/>
    <mergeCell ref="AJ131:AJ132"/>
    <mergeCell ref="A127:A128"/>
    <mergeCell ref="AK119:AK120"/>
    <mergeCell ref="AN127:AN128"/>
    <mergeCell ref="B113:B114"/>
    <mergeCell ref="D121:D122"/>
    <mergeCell ref="B121:B122"/>
    <mergeCell ref="AL121:AL122"/>
    <mergeCell ref="D113:D114"/>
    <mergeCell ref="AP119:AP120"/>
    <mergeCell ref="C121:C122"/>
    <mergeCell ref="C115:C116"/>
    <mergeCell ref="D115:D116"/>
    <mergeCell ref="AJ115:AJ116"/>
    <mergeCell ref="AK115:AK116"/>
    <mergeCell ref="AL115:AL116"/>
    <mergeCell ref="AM115:AM116"/>
    <mergeCell ref="AN115:AN116"/>
    <mergeCell ref="AO115:AO116"/>
    <mergeCell ref="AJ113:AJ114"/>
    <mergeCell ref="AK113:AK114"/>
    <mergeCell ref="AL113:AL114"/>
    <mergeCell ref="D119:D120"/>
    <mergeCell ref="A119:A120"/>
    <mergeCell ref="A121:A122"/>
    <mergeCell ref="AJ119:AJ120"/>
    <mergeCell ref="C119:C120"/>
    <mergeCell ref="AN121:AN122"/>
    <mergeCell ref="A123:A124"/>
    <mergeCell ref="B123:B124"/>
    <mergeCell ref="C123:C124"/>
    <mergeCell ref="D123:D124"/>
    <mergeCell ref="AJ123:AJ124"/>
    <mergeCell ref="AM131:AM132"/>
    <mergeCell ref="AN131:AN132"/>
    <mergeCell ref="AR129:AR130"/>
    <mergeCell ref="AS129:AS130"/>
    <mergeCell ref="AT129:AT130"/>
    <mergeCell ref="AU129:AU130"/>
    <mergeCell ref="AN133:AN134"/>
    <mergeCell ref="AN119:AN120"/>
    <mergeCell ref="AO107:AO108"/>
    <mergeCell ref="AR93:AR94"/>
    <mergeCell ref="AS93:AS94"/>
    <mergeCell ref="AO119:AO120"/>
    <mergeCell ref="AO91:AO92"/>
    <mergeCell ref="AS107:AS108"/>
    <mergeCell ref="AP107:AP108"/>
    <mergeCell ref="AO95:AO96"/>
    <mergeCell ref="AP95:AP96"/>
    <mergeCell ref="AP129:AP130"/>
    <mergeCell ref="AP115:AP116"/>
    <mergeCell ref="AO127:AO128"/>
    <mergeCell ref="AM129:AM130"/>
    <mergeCell ref="AN129:AN130"/>
    <mergeCell ref="AM127:AM128"/>
    <mergeCell ref="AM113:AM114"/>
    <mergeCell ref="AN113:AN114"/>
    <mergeCell ref="AN111:AN112"/>
    <mergeCell ref="AM103:AM104"/>
    <mergeCell ref="AT99:AT100"/>
    <mergeCell ref="AU99:AU100"/>
    <mergeCell ref="AM105:AM106"/>
    <mergeCell ref="AT103:AT104"/>
    <mergeCell ref="AU103:AU104"/>
    <mergeCell ref="AY73:AY74"/>
    <mergeCell ref="AZ73:AZ74"/>
    <mergeCell ref="AY81:AY82"/>
    <mergeCell ref="AV97:AV98"/>
    <mergeCell ref="AV73:AV74"/>
    <mergeCell ref="AX99:AX100"/>
    <mergeCell ref="AY71:AY72"/>
    <mergeCell ref="AV103:AV104"/>
    <mergeCell ref="AW103:AW104"/>
    <mergeCell ref="AX103:AX104"/>
    <mergeCell ref="AY103:AY104"/>
    <mergeCell ref="AZ103:AZ104"/>
    <mergeCell ref="AO97:AO98"/>
    <mergeCell ref="AP97:AP98"/>
    <mergeCell ref="AN107:AN108"/>
    <mergeCell ref="AU105:AU106"/>
    <mergeCell ref="AV105:AV106"/>
    <mergeCell ref="AN105:AN106"/>
    <mergeCell ref="AO105:AO106"/>
    <mergeCell ref="AP105:AP106"/>
    <mergeCell ref="AQ105:AQ106"/>
    <mergeCell ref="AR105:AR106"/>
    <mergeCell ref="AS105:AS106"/>
    <mergeCell ref="AT105:AT106"/>
    <mergeCell ref="AN99:AN100"/>
    <mergeCell ref="AU91:AU92"/>
    <mergeCell ref="AS83:AS84"/>
    <mergeCell ref="AT83:AT84"/>
    <mergeCell ref="AT81:AT82"/>
    <mergeCell ref="AW105:AW106"/>
    <mergeCell ref="AX105:AX106"/>
    <mergeCell ref="AV85:AV86"/>
    <mergeCell ref="AY111:AY112"/>
    <mergeCell ref="AZ85:AZ86"/>
    <mergeCell ref="AX107:AX108"/>
    <mergeCell ref="AX85:AX86"/>
    <mergeCell ref="AW85:AW86"/>
    <mergeCell ref="AX79:AX80"/>
    <mergeCell ref="AV93:AV94"/>
    <mergeCell ref="AW111:AW112"/>
    <mergeCell ref="AV111:AV112"/>
    <mergeCell ref="AW91:AW92"/>
    <mergeCell ref="AZ111:AZ112"/>
    <mergeCell ref="AZ107:AZ108"/>
    <mergeCell ref="AZ97:AZ98"/>
    <mergeCell ref="AZ75:AZ76"/>
    <mergeCell ref="AZ79:AZ80"/>
    <mergeCell ref="AX97:AX98"/>
    <mergeCell ref="AY85:AY86"/>
    <mergeCell ref="AX83:AX84"/>
    <mergeCell ref="AY91:AY92"/>
    <mergeCell ref="AX89:AX90"/>
    <mergeCell ref="AY89:AY90"/>
    <mergeCell ref="AZ89:AZ90"/>
    <mergeCell ref="AW101:AW102"/>
    <mergeCell ref="AX101:AX102"/>
    <mergeCell ref="AY101:AY102"/>
    <mergeCell ref="AZ101:AZ102"/>
    <mergeCell ref="AZ95:AZ96"/>
    <mergeCell ref="AY105:AY106"/>
    <mergeCell ref="AW87:AW88"/>
    <mergeCell ref="AY87:AY88"/>
    <mergeCell ref="AW107:AW108"/>
    <mergeCell ref="AX93:AX94"/>
    <mergeCell ref="AX67:AX68"/>
    <mergeCell ref="AK16:AO16"/>
    <mergeCell ref="AK14:AK15"/>
    <mergeCell ref="AR13:AR15"/>
    <mergeCell ref="AN93:AN94"/>
    <mergeCell ref="AN103:AN104"/>
    <mergeCell ref="AO103:AO104"/>
    <mergeCell ref="AP103:AP104"/>
    <mergeCell ref="AQ103:AQ104"/>
    <mergeCell ref="AR103:AR104"/>
    <mergeCell ref="AS103:AS104"/>
    <mergeCell ref="AO99:AO100"/>
    <mergeCell ref="AQ65:AQ66"/>
    <mergeCell ref="AQ69:AQ70"/>
    <mergeCell ref="AL51:AL52"/>
    <mergeCell ref="AO53:AO54"/>
    <mergeCell ref="AQ53:AQ54"/>
    <mergeCell ref="AP57:AP58"/>
    <mergeCell ref="AK35:AK36"/>
    <mergeCell ref="AK43:AK44"/>
    <mergeCell ref="AO43:AO44"/>
    <mergeCell ref="AK53:AK54"/>
    <mergeCell ref="AN59:AN60"/>
    <mergeCell ref="AL59:AL60"/>
    <mergeCell ref="AO63:AO64"/>
    <mergeCell ref="AP63:AP64"/>
    <mergeCell ref="AP69:AP70"/>
    <mergeCell ref="AM53:AM54"/>
    <mergeCell ref="AQ97:AQ98"/>
    <mergeCell ref="AK33:AK34"/>
    <mergeCell ref="AM39:AM40"/>
    <mergeCell ref="AN39:AN40"/>
    <mergeCell ref="AT23:AT24"/>
    <mergeCell ref="AX61:AX62"/>
    <mergeCell ref="AP71:AP72"/>
    <mergeCell ref="AQ71:AQ72"/>
    <mergeCell ref="AR71:AR72"/>
    <mergeCell ref="AS71:AS72"/>
    <mergeCell ref="AT71:AT72"/>
    <mergeCell ref="AU71:AU72"/>
    <mergeCell ref="AV71:AV72"/>
    <mergeCell ref="AQ63:AQ64"/>
    <mergeCell ref="AR63:AR64"/>
    <mergeCell ref="AS63:AS64"/>
    <mergeCell ref="AT63:AT64"/>
    <mergeCell ref="AU63:AU64"/>
    <mergeCell ref="AV63:AV64"/>
    <mergeCell ref="AW77:AW78"/>
    <mergeCell ref="AT73:AT74"/>
    <mergeCell ref="AU73:AU74"/>
    <mergeCell ref="AT75:AT76"/>
    <mergeCell ref="AV75:AV76"/>
    <mergeCell ref="AV69:AV70"/>
    <mergeCell ref="AW65:AW66"/>
    <mergeCell ref="AW61:AW62"/>
    <mergeCell ref="AP61:AP62"/>
    <mergeCell ref="AR75:AR76"/>
    <mergeCell ref="AX71:AX72"/>
    <mergeCell ref="AQ77:AQ78"/>
    <mergeCell ref="AR77:AR78"/>
    <mergeCell ref="AS77:AS78"/>
    <mergeCell ref="AT77:AT78"/>
    <mergeCell ref="AX69:AX70"/>
    <mergeCell ref="AR73:AR74"/>
    <mergeCell ref="AU85:AU86"/>
    <mergeCell ref="AL65:AL66"/>
    <mergeCell ref="AN65:AN66"/>
    <mergeCell ref="AR65:AR66"/>
    <mergeCell ref="AS65:AS66"/>
    <mergeCell ref="AO65:AO66"/>
    <mergeCell ref="AT55:AT56"/>
    <mergeCell ref="AS55:AS56"/>
    <mergeCell ref="AS69:AS70"/>
    <mergeCell ref="AO81:AO82"/>
    <mergeCell ref="AS81:AS82"/>
    <mergeCell ref="AU69:AU70"/>
    <mergeCell ref="AP65:AP66"/>
    <mergeCell ref="AO69:AO70"/>
    <mergeCell ref="AS57:AS58"/>
    <mergeCell ref="AM57:AM58"/>
    <mergeCell ref="AO51:AO52"/>
    <mergeCell ref="AP51:AP52"/>
    <mergeCell ref="AO59:AO60"/>
    <mergeCell ref="AQ59:AQ60"/>
    <mergeCell ref="AT69:AT70"/>
    <mergeCell ref="AR79:AR80"/>
    <mergeCell ref="AU83:AU84"/>
    <mergeCell ref="AU79:AU80"/>
    <mergeCell ref="AL61:AL62"/>
    <mergeCell ref="AP85:AP86"/>
    <mergeCell ref="AP75:AP76"/>
    <mergeCell ref="AQ75:AQ76"/>
    <mergeCell ref="AR61:AR62"/>
    <mergeCell ref="AS79:AS80"/>
    <mergeCell ref="AP79:AP80"/>
    <mergeCell ref="AL71:AL72"/>
    <mergeCell ref="M13:M15"/>
    <mergeCell ref="D17:D18"/>
    <mergeCell ref="B55:B56"/>
    <mergeCell ref="B61:B62"/>
    <mergeCell ref="AK87:AK88"/>
    <mergeCell ref="AL85:AL86"/>
    <mergeCell ref="AU65:AU66"/>
    <mergeCell ref="AL21:AL22"/>
    <mergeCell ref="AN35:AN36"/>
    <mergeCell ref="AN33:AN34"/>
    <mergeCell ref="AO33:AO34"/>
    <mergeCell ref="AQ35:AQ36"/>
    <mergeCell ref="AO57:AO58"/>
    <mergeCell ref="AQ55:AQ56"/>
    <mergeCell ref="AR51:AR52"/>
    <mergeCell ref="AR53:AR54"/>
    <mergeCell ref="AP55:AP56"/>
    <mergeCell ref="B81:B82"/>
    <mergeCell ref="C81:C82"/>
    <mergeCell ref="D81:D82"/>
    <mergeCell ref="AJ81:AJ82"/>
    <mergeCell ref="AK81:AK82"/>
    <mergeCell ref="AM43:AM44"/>
    <mergeCell ref="AL33:AL34"/>
    <mergeCell ref="Q13:Q15"/>
    <mergeCell ref="R13:R15"/>
    <mergeCell ref="C73:C74"/>
    <mergeCell ref="AM51:AM52"/>
    <mergeCell ref="AQ57:AQ58"/>
    <mergeCell ref="AM63:AM64"/>
    <mergeCell ref="AN63:AN64"/>
    <mergeCell ref="AT21:AT22"/>
    <mergeCell ref="AY69:AY70"/>
    <mergeCell ref="AY65:AY66"/>
    <mergeCell ref="AV65:AV66"/>
    <mergeCell ref="AZ69:AZ70"/>
    <mergeCell ref="AR59:AR60"/>
    <mergeCell ref="AX87:AX88"/>
    <mergeCell ref="AP87:AP88"/>
    <mergeCell ref="A33:A34"/>
    <mergeCell ref="A21:A22"/>
    <mergeCell ref="C21:C22"/>
    <mergeCell ref="C55:C56"/>
    <mergeCell ref="D55:D56"/>
    <mergeCell ref="C57:C58"/>
    <mergeCell ref="D21:D22"/>
    <mergeCell ref="AS33:AS34"/>
    <mergeCell ref="B65:B66"/>
    <mergeCell ref="C53:C54"/>
    <mergeCell ref="AM61:AM62"/>
    <mergeCell ref="AK59:AK60"/>
    <mergeCell ref="AK55:AK56"/>
    <mergeCell ref="A61:A62"/>
    <mergeCell ref="B53:B54"/>
    <mergeCell ref="A65:A66"/>
    <mergeCell ref="A57:A58"/>
    <mergeCell ref="AL57:AL58"/>
    <mergeCell ref="AJ61:AJ62"/>
    <mergeCell ref="D61:D62"/>
    <mergeCell ref="AM35:AM36"/>
    <mergeCell ref="AK21:AK22"/>
    <mergeCell ref="A81:A82"/>
    <mergeCell ref="AO61:AO62"/>
    <mergeCell ref="AT51:AT52"/>
    <mergeCell ref="AZ61:AZ62"/>
    <mergeCell ref="AT87:AT88"/>
    <mergeCell ref="Z3:AB3"/>
    <mergeCell ref="W4:Y4"/>
    <mergeCell ref="A55:A56"/>
    <mergeCell ref="D57:D58"/>
    <mergeCell ref="G13:G15"/>
    <mergeCell ref="F13:F15"/>
    <mergeCell ref="B33:B34"/>
    <mergeCell ref="C33:C34"/>
    <mergeCell ref="A51:A52"/>
    <mergeCell ref="B51:B52"/>
    <mergeCell ref="C51:C52"/>
    <mergeCell ref="C35:C36"/>
    <mergeCell ref="D35:D36"/>
    <mergeCell ref="B21:B22"/>
    <mergeCell ref="A35:A36"/>
    <mergeCell ref="B35:B36"/>
    <mergeCell ref="D53:D54"/>
    <mergeCell ref="D33:D34"/>
    <mergeCell ref="D43:D44"/>
    <mergeCell ref="Z4:AB4"/>
    <mergeCell ref="H9:S9"/>
    <mergeCell ref="B57:B58"/>
    <mergeCell ref="W6:Y7"/>
    <mergeCell ref="Z6:AB7"/>
    <mergeCell ref="A8:B8"/>
    <mergeCell ref="C8:F8"/>
    <mergeCell ref="B85:B86"/>
    <mergeCell ref="W8:Y8"/>
    <mergeCell ref="AP53:AP54"/>
    <mergeCell ref="AJ17:AJ18"/>
    <mergeCell ref="A2:N2"/>
    <mergeCell ref="AL53:AL54"/>
    <mergeCell ref="AJ51:AJ52"/>
    <mergeCell ref="B12:B15"/>
    <mergeCell ref="AP21:AP22"/>
    <mergeCell ref="AQ21:AQ22"/>
    <mergeCell ref="AR21:AR22"/>
    <mergeCell ref="AL35:AL36"/>
    <mergeCell ref="AO35:AO36"/>
    <mergeCell ref="E16:AI16"/>
    <mergeCell ref="E12:AI12"/>
    <mergeCell ref="AO21:AO22"/>
    <mergeCell ref="AN53:AN54"/>
    <mergeCell ref="A43:A44"/>
    <mergeCell ref="AP33:AP34"/>
    <mergeCell ref="AM33:AM34"/>
    <mergeCell ref="W2:AB2"/>
    <mergeCell ref="AD13:AD15"/>
    <mergeCell ref="AE13:AE15"/>
    <mergeCell ref="A5:N5"/>
    <mergeCell ref="A6:N6"/>
    <mergeCell ref="B43:B44"/>
    <mergeCell ref="C43:C44"/>
    <mergeCell ref="W3:Y3"/>
    <mergeCell ref="AR43:AR44"/>
    <mergeCell ref="AM21:AM22"/>
    <mergeCell ref="AN21:AN22"/>
    <mergeCell ref="AJ33:AJ34"/>
    <mergeCell ref="A53:A54"/>
    <mergeCell ref="Z8:AB8"/>
    <mergeCell ref="Y13:Y15"/>
    <mergeCell ref="D10:P10"/>
    <mergeCell ref="A17:A18"/>
    <mergeCell ref="AZ13:AZ15"/>
    <mergeCell ref="AU13:AU15"/>
    <mergeCell ref="AV13:AV15"/>
    <mergeCell ref="N13:N15"/>
    <mergeCell ref="U13:U15"/>
    <mergeCell ref="E13:E15"/>
    <mergeCell ref="V13:V15"/>
    <mergeCell ref="AY13:AY15"/>
    <mergeCell ref="AG13:AG15"/>
    <mergeCell ref="L13:L15"/>
    <mergeCell ref="AA13:AA15"/>
    <mergeCell ref="AB13:AB15"/>
    <mergeCell ref="AX13:AX15"/>
    <mergeCell ref="AH13:AH15"/>
    <mergeCell ref="AI13:AI15"/>
    <mergeCell ref="AJ13:AJ15"/>
    <mergeCell ref="AC13:AC15"/>
    <mergeCell ref="AF13:AF15"/>
    <mergeCell ref="AW13:AW15"/>
    <mergeCell ref="AP12:AP15"/>
    <mergeCell ref="AQ12:AQ15"/>
    <mergeCell ref="AJ12:AO12"/>
    <mergeCell ref="AT13:AT15"/>
    <mergeCell ref="AK13:AO13"/>
    <mergeCell ref="Z13:Z15"/>
    <mergeCell ref="O13:O15"/>
    <mergeCell ref="P13:P15"/>
    <mergeCell ref="AS13:AS15"/>
    <mergeCell ref="AL14:AO14"/>
    <mergeCell ref="A12:A15"/>
    <mergeCell ref="K13:K15"/>
    <mergeCell ref="AM117:AM118"/>
    <mergeCell ref="B59:B60"/>
    <mergeCell ref="D59:D60"/>
    <mergeCell ref="AM59:AM60"/>
    <mergeCell ref="C61:C62"/>
    <mergeCell ref="A59:A60"/>
    <mergeCell ref="D65:D66"/>
    <mergeCell ref="AK61:AK62"/>
    <mergeCell ref="C59:C60"/>
    <mergeCell ref="C107:C108"/>
    <mergeCell ref="D97:D98"/>
    <mergeCell ref="A87:A88"/>
    <mergeCell ref="A79:A80"/>
    <mergeCell ref="A69:A70"/>
    <mergeCell ref="B69:B70"/>
    <mergeCell ref="AK91:AK92"/>
    <mergeCell ref="B91:B92"/>
    <mergeCell ref="AL91:AL92"/>
    <mergeCell ref="C75:C76"/>
    <mergeCell ref="D93:D94"/>
    <mergeCell ref="A99:A100"/>
    <mergeCell ref="B99:B100"/>
    <mergeCell ref="C99:C100"/>
    <mergeCell ref="D99:D100"/>
    <mergeCell ref="AJ99:AJ100"/>
    <mergeCell ref="AK99:AK100"/>
    <mergeCell ref="AJ85:AJ86"/>
    <mergeCell ref="A105:A106"/>
    <mergeCell ref="C93:C94"/>
    <mergeCell ref="B97:B98"/>
    <mergeCell ref="B71:B72"/>
    <mergeCell ref="C71:C72"/>
    <mergeCell ref="A111:A112"/>
    <mergeCell ref="AK111:AK112"/>
    <mergeCell ref="B111:B112"/>
    <mergeCell ref="AJ111:AJ112"/>
    <mergeCell ref="AL111:AL112"/>
    <mergeCell ref="AK103:AK104"/>
    <mergeCell ref="AL103:AL104"/>
    <mergeCell ref="A103:A104"/>
    <mergeCell ref="D91:D92"/>
    <mergeCell ref="B93:B94"/>
    <mergeCell ref="AK93:AK94"/>
    <mergeCell ref="A117:A118"/>
    <mergeCell ref="B117:B118"/>
    <mergeCell ref="C117:C118"/>
    <mergeCell ref="D117:D118"/>
    <mergeCell ref="AJ117:AJ118"/>
    <mergeCell ref="AK117:AK118"/>
    <mergeCell ref="AL117:AL118"/>
    <mergeCell ref="AJ103:AJ104"/>
    <mergeCell ref="AR161:AR162"/>
    <mergeCell ref="AP163:AP164"/>
    <mergeCell ref="AK155:AK156"/>
    <mergeCell ref="AN151:AN152"/>
    <mergeCell ref="AJ151:AJ152"/>
    <mergeCell ref="AL163:AL164"/>
    <mergeCell ref="AN161:AN162"/>
    <mergeCell ref="A153:A154"/>
    <mergeCell ref="AJ153:AJ154"/>
    <mergeCell ref="B153:B154"/>
    <mergeCell ref="C153:C154"/>
    <mergeCell ref="AS161:AS162"/>
    <mergeCell ref="AQ161:AQ162"/>
    <mergeCell ref="AQ151:AQ152"/>
    <mergeCell ref="AO161:AO162"/>
    <mergeCell ref="AQ163:AQ164"/>
    <mergeCell ref="AN163:AN164"/>
    <mergeCell ref="AR155:AR156"/>
    <mergeCell ref="AR151:AR152"/>
    <mergeCell ref="AK171:AK172"/>
    <mergeCell ref="AL171:AL172"/>
    <mergeCell ref="AN171:AN172"/>
    <mergeCell ref="A161:A162"/>
    <mergeCell ref="B139:B140"/>
    <mergeCell ref="B151:B152"/>
    <mergeCell ref="C151:C152"/>
    <mergeCell ref="D151:D152"/>
    <mergeCell ref="AM151:AM152"/>
    <mergeCell ref="AO153:AO154"/>
    <mergeCell ref="AL155:AL156"/>
    <mergeCell ref="AM155:AM156"/>
    <mergeCell ref="A173:A174"/>
    <mergeCell ref="AM153:AM154"/>
    <mergeCell ref="AN155:AN156"/>
    <mergeCell ref="D155:D156"/>
    <mergeCell ref="C173:C174"/>
    <mergeCell ref="AO151:AO152"/>
    <mergeCell ref="AM171:AM172"/>
    <mergeCell ref="C155:C156"/>
    <mergeCell ref="AO145:AO146"/>
    <mergeCell ref="AL159:AL160"/>
    <mergeCell ref="A145:A146"/>
    <mergeCell ref="B145:B146"/>
    <mergeCell ref="AO163:AO164"/>
    <mergeCell ref="AL161:AL162"/>
    <mergeCell ref="AM161:AM162"/>
    <mergeCell ref="AN153:AN154"/>
    <mergeCell ref="B149:B150"/>
    <mergeCell ref="C149:C150"/>
    <mergeCell ref="D149:D150"/>
    <mergeCell ref="AJ149:AJ150"/>
    <mergeCell ref="AZ175:AZ176"/>
    <mergeCell ref="AS175:AS176"/>
    <mergeCell ref="AT175:AT176"/>
    <mergeCell ref="AU175:AU176"/>
    <mergeCell ref="AV175:AV176"/>
    <mergeCell ref="AX175:AX176"/>
    <mergeCell ref="AZ173:AZ174"/>
    <mergeCell ref="AP173:AP174"/>
    <mergeCell ref="AQ173:AQ174"/>
    <mergeCell ref="AR175:AR176"/>
    <mergeCell ref="AY175:AY176"/>
    <mergeCell ref="AQ175:AQ176"/>
    <mergeCell ref="AV173:AV174"/>
    <mergeCell ref="AX173:AX174"/>
    <mergeCell ref="AY173:AY174"/>
    <mergeCell ref="AW173:AW174"/>
    <mergeCell ref="AW175:AW176"/>
    <mergeCell ref="AP175:AP176"/>
    <mergeCell ref="AR173:AR174"/>
    <mergeCell ref="AS173:AS174"/>
    <mergeCell ref="AT173:AT174"/>
    <mergeCell ref="AU173:AU174"/>
    <mergeCell ref="AY171:AY172"/>
    <mergeCell ref="AW163:AW164"/>
    <mergeCell ref="AW171:AW172"/>
    <mergeCell ref="AT163:AT164"/>
    <mergeCell ref="AR163:AR164"/>
    <mergeCell ref="AS163:AS164"/>
    <mergeCell ref="AT171:AT172"/>
    <mergeCell ref="AU171:AU172"/>
    <mergeCell ref="AZ163:AZ164"/>
    <mergeCell ref="AU163:AU164"/>
    <mergeCell ref="AW167:AW168"/>
    <mergeCell ref="AX167:AX168"/>
    <mergeCell ref="AY167:AY168"/>
    <mergeCell ref="AZ167:AZ168"/>
    <mergeCell ref="AU165:AU166"/>
    <mergeCell ref="AV165:AV166"/>
    <mergeCell ref="AW169:AW170"/>
    <mergeCell ref="AX169:AX170"/>
    <mergeCell ref="AY169:AY170"/>
    <mergeCell ref="AZ169:AZ170"/>
    <mergeCell ref="AV169:AV170"/>
    <mergeCell ref="AV171:AV172"/>
    <mergeCell ref="AR171:AR172"/>
    <mergeCell ref="AS171:AS172"/>
    <mergeCell ref="AY163:AY164"/>
    <mergeCell ref="AV163:AV164"/>
    <mergeCell ref="AX163:AX164"/>
    <mergeCell ref="AZ171:AZ172"/>
    <mergeCell ref="AX171:AX172"/>
    <mergeCell ref="AR167:AR168"/>
    <mergeCell ref="AS167:AS168"/>
    <mergeCell ref="AT167:AT168"/>
    <mergeCell ref="AV161:AV162"/>
    <mergeCell ref="AW165:AW166"/>
    <mergeCell ref="AX165:AX166"/>
    <mergeCell ref="AY165:AY166"/>
    <mergeCell ref="AZ165:AZ166"/>
    <mergeCell ref="AU167:AU168"/>
    <mergeCell ref="AV167:AV168"/>
    <mergeCell ref="AY161:AY162"/>
    <mergeCell ref="AX161:AX162"/>
    <mergeCell ref="AZ155:AZ156"/>
    <mergeCell ref="AS153:AS154"/>
    <mergeCell ref="AW141:AW142"/>
    <mergeCell ref="AZ161:AZ162"/>
    <mergeCell ref="AT161:AT162"/>
    <mergeCell ref="AU161:AU162"/>
    <mergeCell ref="AU151:AU152"/>
    <mergeCell ref="AV143:AV144"/>
    <mergeCell ref="AW143:AW144"/>
    <mergeCell ref="AX143:AX144"/>
    <mergeCell ref="AY143:AY144"/>
    <mergeCell ref="AZ143:AZ144"/>
    <mergeCell ref="AZ149:AZ150"/>
    <mergeCell ref="AW157:AW158"/>
    <mergeCell ref="AX157:AX158"/>
    <mergeCell ref="AY157:AY158"/>
    <mergeCell ref="AZ157:AZ158"/>
    <mergeCell ref="AW159:AW160"/>
    <mergeCell ref="AY159:AY160"/>
    <mergeCell ref="AS151:AS152"/>
    <mergeCell ref="AZ159:AZ160"/>
    <mergeCell ref="AX155:AX156"/>
    <mergeCell ref="AS141:AS142"/>
    <mergeCell ref="AZ151:AZ152"/>
    <mergeCell ref="AZ139:AZ140"/>
    <mergeCell ref="AY141:AY142"/>
    <mergeCell ref="AX141:AX142"/>
    <mergeCell ref="AZ153:AZ154"/>
    <mergeCell ref="AY155:AY156"/>
    <mergeCell ref="AX139:AX140"/>
    <mergeCell ref="AT153:AT154"/>
    <mergeCell ref="AU153:AU154"/>
    <mergeCell ref="AX147:AX148"/>
    <mergeCell ref="AY147:AY148"/>
    <mergeCell ref="AZ147:AZ148"/>
    <mergeCell ref="AW149:AW150"/>
    <mergeCell ref="AX149:AX150"/>
    <mergeCell ref="AY149:AY150"/>
    <mergeCell ref="AW153:AW154"/>
    <mergeCell ref="AW155:AW156"/>
    <mergeCell ref="AV153:AV154"/>
    <mergeCell ref="AT141:AT142"/>
    <mergeCell ref="AX145:AX146"/>
    <mergeCell ref="AY145:AY146"/>
    <mergeCell ref="AZ145:AZ146"/>
    <mergeCell ref="AV155:AV156"/>
    <mergeCell ref="AT155:AT156"/>
    <mergeCell ref="AU155:AU156"/>
    <mergeCell ref="AY135:AY136"/>
    <mergeCell ref="AV133:AV134"/>
    <mergeCell ref="AX133:AX134"/>
    <mergeCell ref="AX135:AX136"/>
    <mergeCell ref="AW161:AW162"/>
    <mergeCell ref="AV151:AV152"/>
    <mergeCell ref="AY151:AY152"/>
    <mergeCell ref="AY139:AY140"/>
    <mergeCell ref="AZ119:AZ120"/>
    <mergeCell ref="AW121:AW122"/>
    <mergeCell ref="AW127:AW128"/>
    <mergeCell ref="AX127:AX128"/>
    <mergeCell ref="AY127:AY128"/>
    <mergeCell ref="AY133:AY134"/>
    <mergeCell ref="AW133:AW134"/>
    <mergeCell ref="AW135:AW136"/>
    <mergeCell ref="AV127:AV128"/>
    <mergeCell ref="AV135:AV136"/>
    <mergeCell ref="AZ135:AZ136"/>
    <mergeCell ref="AY137:AY138"/>
    <mergeCell ref="AW137:AW138"/>
    <mergeCell ref="AZ137:AZ138"/>
    <mergeCell ref="AZ121:AZ122"/>
    <mergeCell ref="AY121:AY122"/>
    <mergeCell ref="AX159:AX160"/>
    <mergeCell ref="AX121:AX122"/>
    <mergeCell ref="AZ127:AZ128"/>
    <mergeCell ref="AV129:AV130"/>
    <mergeCell ref="AV141:AV142"/>
    <mergeCell ref="AY153:AY154"/>
    <mergeCell ref="AZ141:AZ142"/>
    <mergeCell ref="AX151:AX152"/>
    <mergeCell ref="AY129:AY130"/>
    <mergeCell ref="AW151:AW152"/>
    <mergeCell ref="AX153:AX154"/>
    <mergeCell ref="A178:C178"/>
    <mergeCell ref="D178:I178"/>
    <mergeCell ref="K178:M178"/>
    <mergeCell ref="O178:S178"/>
    <mergeCell ref="U178:Y178"/>
    <mergeCell ref="AK161:AK162"/>
    <mergeCell ref="AJ163:AJ164"/>
    <mergeCell ref="AJ161:AJ162"/>
    <mergeCell ref="D163:D164"/>
    <mergeCell ref="A163:A164"/>
    <mergeCell ref="B163:B164"/>
    <mergeCell ref="AK163:AK164"/>
    <mergeCell ref="D161:D162"/>
    <mergeCell ref="A159:A160"/>
    <mergeCell ref="B161:B162"/>
    <mergeCell ref="C161:C162"/>
    <mergeCell ref="C163:C164"/>
    <mergeCell ref="A175:A176"/>
    <mergeCell ref="B175:B176"/>
    <mergeCell ref="C175:C176"/>
    <mergeCell ref="A171:A172"/>
    <mergeCell ref="AJ171:AJ172"/>
    <mergeCell ref="B171:B172"/>
    <mergeCell ref="C171:C172"/>
    <mergeCell ref="D171:D172"/>
    <mergeCell ref="B173:B174"/>
    <mergeCell ref="A167:A168"/>
    <mergeCell ref="B167:B168"/>
    <mergeCell ref="C167:C168"/>
    <mergeCell ref="AJ167:AJ168"/>
    <mergeCell ref="AK167:AK168"/>
    <mergeCell ref="E191:Q191"/>
    <mergeCell ref="U180:Y180"/>
    <mergeCell ref="D181:I181"/>
    <mergeCell ref="K181:M181"/>
    <mergeCell ref="O181:S181"/>
    <mergeCell ref="D179:I179"/>
    <mergeCell ref="K179:M179"/>
    <mergeCell ref="O179:S179"/>
    <mergeCell ref="D180:I180"/>
    <mergeCell ref="K180:M180"/>
    <mergeCell ref="O180:S180"/>
    <mergeCell ref="E190:Q190"/>
    <mergeCell ref="AQ171:AQ172"/>
    <mergeCell ref="AN175:AN176"/>
    <mergeCell ref="AO175:AO176"/>
    <mergeCell ref="AP171:AP172"/>
    <mergeCell ref="AL167:AL168"/>
    <mergeCell ref="AM167:AM168"/>
    <mergeCell ref="AN167:AN168"/>
    <mergeCell ref="AO167:AO168"/>
    <mergeCell ref="AP167:AP168"/>
    <mergeCell ref="AQ167:AQ168"/>
    <mergeCell ref="D173:D174"/>
    <mergeCell ref="AK175:AK176"/>
    <mergeCell ref="AL175:AL176"/>
    <mergeCell ref="AL173:AL174"/>
    <mergeCell ref="AJ173:AJ174"/>
    <mergeCell ref="AK173:AK174"/>
    <mergeCell ref="AO171:AO172"/>
    <mergeCell ref="AJ175:AJ176"/>
    <mergeCell ref="AR121:AR122"/>
    <mergeCell ref="AR111:AR112"/>
    <mergeCell ref="AM173:AM174"/>
    <mergeCell ref="AN173:AN174"/>
    <mergeCell ref="AS135:AS136"/>
    <mergeCell ref="AP153:AP154"/>
    <mergeCell ref="AP161:AP162"/>
    <mergeCell ref="AM121:AM122"/>
    <mergeCell ref="AP111:AP112"/>
    <mergeCell ref="AM163:AM164"/>
    <mergeCell ref="AQ121:AQ122"/>
    <mergeCell ref="AO173:AO174"/>
    <mergeCell ref="AM175:AM176"/>
    <mergeCell ref="C12:C15"/>
    <mergeCell ref="D12:D15"/>
    <mergeCell ref="AJ21:AJ22"/>
    <mergeCell ref="AK51:AK52"/>
    <mergeCell ref="I13:I15"/>
    <mergeCell ref="J13:J15"/>
    <mergeCell ref="AK85:AK86"/>
    <mergeCell ref="D51:D52"/>
    <mergeCell ref="S13:S15"/>
    <mergeCell ref="T13:T15"/>
    <mergeCell ref="W13:W15"/>
    <mergeCell ref="X13:X15"/>
    <mergeCell ref="H13:H15"/>
    <mergeCell ref="AK73:AK74"/>
    <mergeCell ref="AK79:AK80"/>
    <mergeCell ref="AK75:AK76"/>
    <mergeCell ref="AK69:AK70"/>
    <mergeCell ref="AJ35:AJ36"/>
    <mergeCell ref="D167:D168"/>
    <mergeCell ref="AK65:AK66"/>
    <mergeCell ref="AK57:AK58"/>
    <mergeCell ref="AJ55:AJ56"/>
    <mergeCell ref="D73:D74"/>
    <mergeCell ref="D69:D70"/>
    <mergeCell ref="C69:C70"/>
    <mergeCell ref="C79:C80"/>
    <mergeCell ref="D79:D80"/>
    <mergeCell ref="AJ73:AJ74"/>
    <mergeCell ref="AJ69:AJ70"/>
    <mergeCell ref="C85:C86"/>
    <mergeCell ref="B17:B18"/>
    <mergeCell ref="AJ53:AJ54"/>
    <mergeCell ref="C17:C18"/>
    <mergeCell ref="B45:B46"/>
    <mergeCell ref="C45:C46"/>
    <mergeCell ref="D45:D46"/>
    <mergeCell ref="AJ45:AJ46"/>
    <mergeCell ref="AK45:AK46"/>
    <mergeCell ref="B77:B78"/>
    <mergeCell ref="C77:C78"/>
    <mergeCell ref="D77:D78"/>
    <mergeCell ref="AJ77:AJ78"/>
    <mergeCell ref="AK77:AK78"/>
    <mergeCell ref="AK17:AK18"/>
    <mergeCell ref="AJ59:AJ60"/>
    <mergeCell ref="AK71:AK72"/>
    <mergeCell ref="A19:A20"/>
    <mergeCell ref="B19:B20"/>
    <mergeCell ref="C19:C20"/>
    <mergeCell ref="D19:D20"/>
    <mergeCell ref="AJ19:AJ20"/>
    <mergeCell ref="AK19:AK20"/>
    <mergeCell ref="AL19:AL20"/>
    <mergeCell ref="AM19:AM20"/>
    <mergeCell ref="AN19:AN20"/>
    <mergeCell ref="AO19:AO20"/>
    <mergeCell ref="AP19:AP20"/>
    <mergeCell ref="AQ19:AQ20"/>
    <mergeCell ref="AR19:AR20"/>
    <mergeCell ref="AS19:AS20"/>
    <mergeCell ref="AN25:AN26"/>
    <mergeCell ref="AO25:AO26"/>
    <mergeCell ref="AP25:AP26"/>
    <mergeCell ref="AQ25:AQ26"/>
    <mergeCell ref="AR25:AR26"/>
    <mergeCell ref="AK23:AK24"/>
    <mergeCell ref="AL23:AL24"/>
    <mergeCell ref="AM23:AM24"/>
    <mergeCell ref="AN23:AN24"/>
    <mergeCell ref="AO23:AO24"/>
    <mergeCell ref="AP23:AP24"/>
    <mergeCell ref="AQ23:AQ24"/>
    <mergeCell ref="AR23:AR24"/>
    <mergeCell ref="AS23:AS24"/>
    <mergeCell ref="AM25:AM26"/>
    <mergeCell ref="A45:A46"/>
    <mergeCell ref="AT19:AT20"/>
    <mergeCell ref="AU19:AU20"/>
    <mergeCell ref="AL17:AL18"/>
    <mergeCell ref="AM17:AM18"/>
    <mergeCell ref="AN17:AN18"/>
    <mergeCell ref="AV19:AV20"/>
    <mergeCell ref="AW19:AW20"/>
    <mergeCell ref="AX19:AX20"/>
    <mergeCell ref="AY19:AY20"/>
    <mergeCell ref="AZ19:AZ20"/>
    <mergeCell ref="A27:A28"/>
    <mergeCell ref="B27:B28"/>
    <mergeCell ref="C27:C28"/>
    <mergeCell ref="D27:D28"/>
    <mergeCell ref="AJ27:AJ28"/>
    <mergeCell ref="AK27:AK28"/>
    <mergeCell ref="AL27:AL28"/>
    <mergeCell ref="AM27:AM28"/>
    <mergeCell ref="AN27:AN28"/>
    <mergeCell ref="AO27:AO28"/>
    <mergeCell ref="AP27:AP28"/>
    <mergeCell ref="AQ27:AQ28"/>
    <mergeCell ref="AR27:AR28"/>
    <mergeCell ref="AS27:AS28"/>
    <mergeCell ref="AT27:AT28"/>
    <mergeCell ref="AU27:AU28"/>
    <mergeCell ref="AV27:AV28"/>
    <mergeCell ref="AW27:AW28"/>
    <mergeCell ref="AX27:AX28"/>
    <mergeCell ref="AY27:AY28"/>
    <mergeCell ref="AZ27:AZ28"/>
    <mergeCell ref="AX23:AX24"/>
    <mergeCell ref="AY23:AY24"/>
    <mergeCell ref="AZ23:AZ24"/>
    <mergeCell ref="A25:A26"/>
    <mergeCell ref="B25:B26"/>
    <mergeCell ref="C25:C26"/>
    <mergeCell ref="D25:D26"/>
    <mergeCell ref="AJ25:AJ26"/>
    <mergeCell ref="AK25:AK26"/>
    <mergeCell ref="AL25:AL26"/>
    <mergeCell ref="A29:A30"/>
    <mergeCell ref="B29:B30"/>
    <mergeCell ref="C29:C30"/>
    <mergeCell ref="D29:D30"/>
    <mergeCell ref="AJ29:AJ30"/>
    <mergeCell ref="AK29:AK30"/>
    <mergeCell ref="AL29:AL30"/>
    <mergeCell ref="AM29:AM30"/>
    <mergeCell ref="AN29:AN30"/>
    <mergeCell ref="AO29:AO30"/>
    <mergeCell ref="AP29:AP30"/>
    <mergeCell ref="AQ29:AQ30"/>
    <mergeCell ref="AR29:AR30"/>
    <mergeCell ref="AS29:AS30"/>
    <mergeCell ref="AT29:AT30"/>
    <mergeCell ref="AU29:AU30"/>
    <mergeCell ref="AV29:AV30"/>
    <mergeCell ref="A23:A24"/>
    <mergeCell ref="B23:B24"/>
    <mergeCell ref="C23:C24"/>
    <mergeCell ref="D23:D24"/>
    <mergeCell ref="AJ23:AJ24"/>
    <mergeCell ref="AU23:AU24"/>
    <mergeCell ref="AV23:AV24"/>
    <mergeCell ref="AT25:AT26"/>
    <mergeCell ref="AU25:AU26"/>
    <mergeCell ref="AV25:AV26"/>
    <mergeCell ref="AW25:AW26"/>
    <mergeCell ref="AW23:AW24"/>
    <mergeCell ref="AS25:AS26"/>
    <mergeCell ref="AX25:AX26"/>
    <mergeCell ref="AY25:AY26"/>
    <mergeCell ref="AZ25:AZ26"/>
    <mergeCell ref="A37:A38"/>
    <mergeCell ref="B37:B38"/>
    <mergeCell ref="C37:C38"/>
    <mergeCell ref="D37:D38"/>
    <mergeCell ref="AJ37:AJ38"/>
    <mergeCell ref="AK37:AK38"/>
    <mergeCell ref="AL37:AL38"/>
    <mergeCell ref="AM37:AM38"/>
    <mergeCell ref="AN37:AN38"/>
    <mergeCell ref="AO37:AO38"/>
    <mergeCell ref="AP37:AP38"/>
    <mergeCell ref="AQ37:AQ38"/>
    <mergeCell ref="AR37:AR38"/>
    <mergeCell ref="AS37:AS38"/>
    <mergeCell ref="AT37:AT38"/>
    <mergeCell ref="AU37:AU38"/>
    <mergeCell ref="AV37:AV38"/>
    <mergeCell ref="AW37:AW38"/>
    <mergeCell ref="AX37:AX38"/>
    <mergeCell ref="AY37:AY38"/>
    <mergeCell ref="AW29:AW30"/>
    <mergeCell ref="AX29:AX30"/>
    <mergeCell ref="AY29:AY30"/>
    <mergeCell ref="AZ29:AZ30"/>
    <mergeCell ref="AX31:AX32"/>
    <mergeCell ref="AY31:AY32"/>
    <mergeCell ref="AZ31:AZ32"/>
    <mergeCell ref="AZ33:AZ34"/>
    <mergeCell ref="C41:C42"/>
    <mergeCell ref="D41:D42"/>
    <mergeCell ref="AJ41:AJ42"/>
    <mergeCell ref="AK41:AK42"/>
    <mergeCell ref="AL41:AL42"/>
    <mergeCell ref="AM41:AM42"/>
    <mergeCell ref="AN41:AN42"/>
    <mergeCell ref="AO41:AO42"/>
    <mergeCell ref="AP41:AP42"/>
    <mergeCell ref="AQ41:AQ42"/>
    <mergeCell ref="AR41:AR42"/>
    <mergeCell ref="AS41:AS42"/>
    <mergeCell ref="AT41:AT42"/>
    <mergeCell ref="AU41:AU42"/>
    <mergeCell ref="AV41:AV42"/>
    <mergeCell ref="AO39:AO40"/>
    <mergeCell ref="AY41:AY42"/>
    <mergeCell ref="AQ39:AQ40"/>
    <mergeCell ref="AV31:AV32"/>
    <mergeCell ref="A47:A48"/>
    <mergeCell ref="B47:B48"/>
    <mergeCell ref="C47:C48"/>
    <mergeCell ref="D47:D48"/>
    <mergeCell ref="AJ47:AJ48"/>
    <mergeCell ref="AK47:AK48"/>
    <mergeCell ref="AL47:AL48"/>
    <mergeCell ref="AM47:AM48"/>
    <mergeCell ref="AN47:AN48"/>
    <mergeCell ref="AO47:AO48"/>
    <mergeCell ref="AP47:AP48"/>
    <mergeCell ref="AQ47:AQ48"/>
    <mergeCell ref="AR47:AR48"/>
    <mergeCell ref="AS47:AS48"/>
    <mergeCell ref="AT47:AT48"/>
    <mergeCell ref="AU47:AU48"/>
    <mergeCell ref="AV47:AV48"/>
    <mergeCell ref="AY61:AY62"/>
    <mergeCell ref="AU51:AU52"/>
    <mergeCell ref="AR57:AR58"/>
    <mergeCell ref="AO55:AO56"/>
    <mergeCell ref="AY63:AY64"/>
    <mergeCell ref="AM55:AM56"/>
    <mergeCell ref="AL45:AL46"/>
    <mergeCell ref="AM45:AM46"/>
    <mergeCell ref="AN45:AN46"/>
    <mergeCell ref="AO45:AO46"/>
    <mergeCell ref="AP45:AP46"/>
    <mergeCell ref="AQ45:AQ46"/>
    <mergeCell ref="AR45:AR46"/>
    <mergeCell ref="AS45:AS46"/>
    <mergeCell ref="AT45:AT46"/>
    <mergeCell ref="AU45:AU46"/>
    <mergeCell ref="AV45:AV46"/>
    <mergeCell ref="AN51:AN52"/>
    <mergeCell ref="AN57:AN58"/>
    <mergeCell ref="AQ51:AQ52"/>
    <mergeCell ref="AR55:AR56"/>
    <mergeCell ref="AN55:AN56"/>
    <mergeCell ref="AT57:AT58"/>
    <mergeCell ref="A49:A50"/>
    <mergeCell ref="B49:B50"/>
    <mergeCell ref="C49:C50"/>
    <mergeCell ref="D49:D50"/>
    <mergeCell ref="AJ49:AJ50"/>
    <mergeCell ref="AK49:AK50"/>
    <mergeCell ref="AL49:AL50"/>
    <mergeCell ref="AM49:AM50"/>
    <mergeCell ref="AN49:AN50"/>
    <mergeCell ref="AO49:AO50"/>
    <mergeCell ref="AP49:AP50"/>
    <mergeCell ref="AQ49:AQ50"/>
    <mergeCell ref="AR49:AR50"/>
    <mergeCell ref="AS49:AS50"/>
    <mergeCell ref="AT49:AT50"/>
    <mergeCell ref="AU49:AU50"/>
    <mergeCell ref="AV49:AV50"/>
    <mergeCell ref="AZ63:AZ64"/>
    <mergeCell ref="A67:A68"/>
    <mergeCell ref="B67:B68"/>
    <mergeCell ref="C67:C68"/>
    <mergeCell ref="D67:D68"/>
    <mergeCell ref="AJ67:AJ68"/>
    <mergeCell ref="AK67:AK68"/>
    <mergeCell ref="AL67:AL68"/>
    <mergeCell ref="AM67:AM68"/>
    <mergeCell ref="AN67:AN68"/>
    <mergeCell ref="AO67:AO68"/>
    <mergeCell ref="AP67:AP68"/>
    <mergeCell ref="AQ67:AQ68"/>
    <mergeCell ref="AR67:AR68"/>
    <mergeCell ref="AS67:AS68"/>
    <mergeCell ref="AT67:AT68"/>
    <mergeCell ref="AU67:AU68"/>
    <mergeCell ref="AV67:AV68"/>
    <mergeCell ref="AZ65:AZ66"/>
    <mergeCell ref="AZ67:AZ68"/>
    <mergeCell ref="AX65:AX66"/>
    <mergeCell ref="A63:A64"/>
    <mergeCell ref="B63:B64"/>
    <mergeCell ref="AY67:AY68"/>
    <mergeCell ref="C63:C64"/>
    <mergeCell ref="D63:D64"/>
    <mergeCell ref="AJ63:AJ64"/>
    <mergeCell ref="AK63:AK64"/>
    <mergeCell ref="AL63:AL64"/>
    <mergeCell ref="C65:C66"/>
    <mergeCell ref="AJ65:AJ66"/>
    <mergeCell ref="AM65:AM66"/>
    <mergeCell ref="A71:A72"/>
    <mergeCell ref="AJ79:AJ80"/>
    <mergeCell ref="A75:A76"/>
    <mergeCell ref="B75:B76"/>
    <mergeCell ref="A85:A86"/>
    <mergeCell ref="AU61:AU62"/>
    <mergeCell ref="AV61:AV62"/>
    <mergeCell ref="AX63:AX64"/>
    <mergeCell ref="AM87:AM88"/>
    <mergeCell ref="AM79:AM80"/>
    <mergeCell ref="AN79:AN80"/>
    <mergeCell ref="AL79:AL80"/>
    <mergeCell ref="C87:C88"/>
    <mergeCell ref="AX77:AX78"/>
    <mergeCell ref="AN87:AN88"/>
    <mergeCell ref="AU77:AU78"/>
    <mergeCell ref="AV77:AV78"/>
    <mergeCell ref="AW67:AW68"/>
    <mergeCell ref="B87:B88"/>
    <mergeCell ref="AO71:AO72"/>
    <mergeCell ref="B73:B74"/>
    <mergeCell ref="AM73:AM74"/>
    <mergeCell ref="D71:D72"/>
    <mergeCell ref="AJ71:AJ72"/>
    <mergeCell ref="A73:A74"/>
    <mergeCell ref="AM71:AM72"/>
    <mergeCell ref="AN71:AN72"/>
    <mergeCell ref="AL73:AL74"/>
    <mergeCell ref="AM69:AM70"/>
    <mergeCell ref="AN69:AN70"/>
    <mergeCell ref="AL69:AL70"/>
    <mergeCell ref="A77:A78"/>
    <mergeCell ref="A83:A84"/>
    <mergeCell ref="B83:B84"/>
    <mergeCell ref="C83:C84"/>
    <mergeCell ref="D83:D84"/>
    <mergeCell ref="AJ83:AJ84"/>
    <mergeCell ref="AK83:AK84"/>
    <mergeCell ref="AL83:AL84"/>
    <mergeCell ref="AM83:AM84"/>
    <mergeCell ref="AN83:AN84"/>
    <mergeCell ref="AO83:AO84"/>
    <mergeCell ref="AP83:AP84"/>
    <mergeCell ref="AM75:AM76"/>
    <mergeCell ref="AL87:AL88"/>
    <mergeCell ref="AM85:AM86"/>
    <mergeCell ref="AO73:AO74"/>
    <mergeCell ref="AN85:AN86"/>
    <mergeCell ref="AN75:AN76"/>
    <mergeCell ref="AO75:AO76"/>
    <mergeCell ref="AO77:AO78"/>
    <mergeCell ref="AP77:AP78"/>
    <mergeCell ref="AO85:AO86"/>
    <mergeCell ref="AN73:AN74"/>
    <mergeCell ref="AL75:AL76"/>
    <mergeCell ref="B79:B80"/>
    <mergeCell ref="AO79:AO80"/>
    <mergeCell ref="AN81:AN82"/>
    <mergeCell ref="AJ87:AJ88"/>
    <mergeCell ref="D87:D88"/>
    <mergeCell ref="D75:D76"/>
    <mergeCell ref="AJ75:AJ76"/>
    <mergeCell ref="D85:D86"/>
    <mergeCell ref="AY83:AY84"/>
    <mergeCell ref="AZ81:AZ82"/>
    <mergeCell ref="AP81:AP82"/>
    <mergeCell ref="D101:D102"/>
    <mergeCell ref="AJ101:AJ102"/>
    <mergeCell ref="AK101:AK102"/>
    <mergeCell ref="AL101:AL102"/>
    <mergeCell ref="AM101:AM102"/>
    <mergeCell ref="AN101:AN102"/>
    <mergeCell ref="AO101:AO102"/>
    <mergeCell ref="AP101:AP102"/>
    <mergeCell ref="AQ101:AQ102"/>
    <mergeCell ref="AR101:AR102"/>
    <mergeCell ref="AS101:AS102"/>
    <mergeCell ref="AT101:AT102"/>
    <mergeCell ref="AU101:AU102"/>
    <mergeCell ref="AU95:AU96"/>
    <mergeCell ref="AL97:AL98"/>
    <mergeCell ref="D95:D96"/>
    <mergeCell ref="AJ95:AJ96"/>
    <mergeCell ref="AK95:AK96"/>
    <mergeCell ref="AL95:AL96"/>
    <mergeCell ref="AM95:AM96"/>
    <mergeCell ref="AN95:AN96"/>
    <mergeCell ref="AS97:AS98"/>
    <mergeCell ref="AU97:AU98"/>
    <mergeCell ref="AR81:AR82"/>
    <mergeCell ref="AS85:AS86"/>
    <mergeCell ref="AY93:AY94"/>
    <mergeCell ref="AP89:AP90"/>
    <mergeCell ref="AQ89:AQ90"/>
    <mergeCell ref="AR89:AR90"/>
    <mergeCell ref="AV79:AV80"/>
    <mergeCell ref="AQ81:AQ82"/>
    <mergeCell ref="AU87:AU88"/>
    <mergeCell ref="AJ97:AJ98"/>
    <mergeCell ref="AU81:AU82"/>
    <mergeCell ref="AY79:AY80"/>
    <mergeCell ref="A113:A114"/>
    <mergeCell ref="C113:C114"/>
    <mergeCell ref="AR117:AR118"/>
    <mergeCell ref="AS117:AS118"/>
    <mergeCell ref="AT117:AT118"/>
    <mergeCell ref="AU117:AU118"/>
    <mergeCell ref="AV117:AV118"/>
    <mergeCell ref="AW115:AW116"/>
    <mergeCell ref="AX115:AX116"/>
    <mergeCell ref="AY115:AY116"/>
    <mergeCell ref="AZ115:AZ116"/>
    <mergeCell ref="A115:A116"/>
    <mergeCell ref="B115:B116"/>
    <mergeCell ref="AR95:AR96"/>
    <mergeCell ref="AS95:AS96"/>
    <mergeCell ref="AT95:AT96"/>
    <mergeCell ref="AS89:AS90"/>
    <mergeCell ref="AT89:AT90"/>
    <mergeCell ref="AU89:AU90"/>
    <mergeCell ref="AV89:AV90"/>
    <mergeCell ref="AV101:AV102"/>
    <mergeCell ref="AV95:AV96"/>
    <mergeCell ref="AW89:AW90"/>
    <mergeCell ref="AY99:AY100"/>
    <mergeCell ref="AZ99:AZ100"/>
    <mergeCell ref="AW97:AW98"/>
    <mergeCell ref="A89:A90"/>
    <mergeCell ref="A109:A110"/>
    <mergeCell ref="B109:B110"/>
    <mergeCell ref="C109:C110"/>
    <mergeCell ref="D109:D110"/>
    <mergeCell ref="AJ109:AJ110"/>
    <mergeCell ref="AK109:AK110"/>
    <mergeCell ref="AL109:AL110"/>
    <mergeCell ref="AM109:AM110"/>
    <mergeCell ref="AN109:AN110"/>
    <mergeCell ref="AO109:AO110"/>
    <mergeCell ref="AP109:AP110"/>
    <mergeCell ref="AQ109:AQ110"/>
    <mergeCell ref="AR109:AR110"/>
    <mergeCell ref="AS109:AS110"/>
    <mergeCell ref="AT109:AT110"/>
    <mergeCell ref="AU109:AU110"/>
    <mergeCell ref="AJ93:AJ94"/>
    <mergeCell ref="AM89:AM90"/>
    <mergeCell ref="AN89:AN90"/>
    <mergeCell ref="AJ89:AJ90"/>
    <mergeCell ref="A93:A94"/>
    <mergeCell ref="A101:A102"/>
    <mergeCell ref="B101:B102"/>
    <mergeCell ref="C101:C102"/>
    <mergeCell ref="AM93:AM94"/>
    <mergeCell ref="AJ91:AJ92"/>
    <mergeCell ref="A91:A92"/>
    <mergeCell ref="AM91:AM92"/>
    <mergeCell ref="A95:A96"/>
    <mergeCell ref="A97:A98"/>
    <mergeCell ref="AQ95:AQ96"/>
    <mergeCell ref="AX109:AX110"/>
    <mergeCell ref="AY109:AY110"/>
    <mergeCell ref="AY97:AY98"/>
    <mergeCell ref="AY95:AY96"/>
    <mergeCell ref="B95:B96"/>
    <mergeCell ref="C95:C96"/>
    <mergeCell ref="B89:B90"/>
    <mergeCell ref="B103:B104"/>
    <mergeCell ref="C103:C104"/>
    <mergeCell ref="D103:D104"/>
    <mergeCell ref="AZ109:AZ110"/>
    <mergeCell ref="AY107:AY108"/>
    <mergeCell ref="AQ107:AQ108"/>
    <mergeCell ref="AR107:AR108"/>
    <mergeCell ref="D105:D106"/>
    <mergeCell ref="AJ105:AJ106"/>
    <mergeCell ref="AK105:AK106"/>
    <mergeCell ref="AL105:AL106"/>
    <mergeCell ref="AZ105:AZ106"/>
    <mergeCell ref="AV107:AV108"/>
    <mergeCell ref="AX91:AX92"/>
    <mergeCell ref="AP91:AP92"/>
    <mergeCell ref="AZ129:AZ130"/>
    <mergeCell ref="AY131:AY132"/>
    <mergeCell ref="AZ131:AZ132"/>
    <mergeCell ref="AO113:AO114"/>
    <mergeCell ref="AP113:AP114"/>
    <mergeCell ref="AQ113:AQ114"/>
    <mergeCell ref="AR113:AR114"/>
    <mergeCell ref="AS113:AS114"/>
    <mergeCell ref="AT113:AT114"/>
    <mergeCell ref="AU113:AU114"/>
    <mergeCell ref="AV113:AV114"/>
    <mergeCell ref="AW113:AW114"/>
    <mergeCell ref="AX113:AX114"/>
    <mergeCell ref="AY113:AY114"/>
    <mergeCell ref="AZ113:AZ114"/>
    <mergeCell ref="AX123:AX124"/>
    <mergeCell ref="AY123:AY124"/>
    <mergeCell ref="AZ123:AZ124"/>
    <mergeCell ref="AO117:AO118"/>
    <mergeCell ref="AP117:AP118"/>
    <mergeCell ref="AV121:AV122"/>
    <mergeCell ref="AW129:AW130"/>
    <mergeCell ref="AX129:AX130"/>
    <mergeCell ref="AX119:AX120"/>
    <mergeCell ref="AY119:AY120"/>
    <mergeCell ref="AW117:AW118"/>
    <mergeCell ref="AX117:AX118"/>
    <mergeCell ref="AY117:AY118"/>
    <mergeCell ref="AZ117:AZ118"/>
    <mergeCell ref="AW123:AW124"/>
    <mergeCell ref="AV119:AV120"/>
    <mergeCell ref="AQ117:AQ118"/>
    <mergeCell ref="AM123:AM124"/>
    <mergeCell ref="AN123:AN124"/>
    <mergeCell ref="AO123:AO124"/>
    <mergeCell ref="AP123:AP124"/>
    <mergeCell ref="AQ123:AQ124"/>
    <mergeCell ref="AR123:AR124"/>
    <mergeCell ref="AS123:AS124"/>
    <mergeCell ref="AT123:AT124"/>
    <mergeCell ref="AU123:AU124"/>
    <mergeCell ref="AV123:AV124"/>
    <mergeCell ref="AK121:AK122"/>
    <mergeCell ref="AJ121:AJ122"/>
    <mergeCell ref="AZ133:AZ134"/>
    <mergeCell ref="AV137:AV138"/>
    <mergeCell ref="AM147:AM148"/>
    <mergeCell ref="AN147:AN148"/>
    <mergeCell ref="AO147:AO148"/>
    <mergeCell ref="AP147:AP148"/>
    <mergeCell ref="AQ147:AQ148"/>
    <mergeCell ref="AR147:AR148"/>
    <mergeCell ref="AS147:AS148"/>
    <mergeCell ref="AT147:AT148"/>
    <mergeCell ref="AU147:AU148"/>
    <mergeCell ref="AV147:AV148"/>
    <mergeCell ref="AW147:AW148"/>
    <mergeCell ref="AS131:AS132"/>
    <mergeCell ref="AT131:AT132"/>
    <mergeCell ref="AU131:AU132"/>
    <mergeCell ref="AK147:AK148"/>
    <mergeCell ref="AT143:AT144"/>
    <mergeCell ref="AO133:AO134"/>
    <mergeCell ref="AM143:AM144"/>
    <mergeCell ref="AN117:AN118"/>
    <mergeCell ref="AM119:AM120"/>
    <mergeCell ref="AW119:AW120"/>
    <mergeCell ref="AQ145:AQ146"/>
    <mergeCell ref="AR145:AR146"/>
    <mergeCell ref="AS145:AS146"/>
    <mergeCell ref="AT145:AT146"/>
    <mergeCell ref="AU145:AU146"/>
    <mergeCell ref="AV145:AV146"/>
    <mergeCell ref="AW145:AW146"/>
    <mergeCell ref="A131:A132"/>
    <mergeCell ref="AV149:AV150"/>
    <mergeCell ref="AX131:AX132"/>
    <mergeCell ref="AW139:AW140"/>
    <mergeCell ref="AV139:AV140"/>
    <mergeCell ref="AS139:AS140"/>
    <mergeCell ref="AT139:AT140"/>
    <mergeCell ref="AO139:AO140"/>
    <mergeCell ref="AK141:AK142"/>
    <mergeCell ref="AX137:AX138"/>
    <mergeCell ref="AV131:AV132"/>
    <mergeCell ref="AW131:AW132"/>
    <mergeCell ref="AN139:AN140"/>
    <mergeCell ref="AN137:AN138"/>
    <mergeCell ref="AM133:AM134"/>
    <mergeCell ref="AL139:AL140"/>
    <mergeCell ref="AN135:AN136"/>
    <mergeCell ref="AM141:AM142"/>
    <mergeCell ref="AL141:AL142"/>
    <mergeCell ref="AP145:AP146"/>
    <mergeCell ref="AQ143:AQ144"/>
    <mergeCell ref="AR131:AR132"/>
    <mergeCell ref="AV159:AV160"/>
    <mergeCell ref="A157:A158"/>
    <mergeCell ref="B157:B158"/>
    <mergeCell ref="C157:C158"/>
    <mergeCell ref="D157:D158"/>
    <mergeCell ref="AJ157:AJ158"/>
    <mergeCell ref="AK157:AK158"/>
    <mergeCell ref="AL157:AL158"/>
    <mergeCell ref="AM157:AM158"/>
    <mergeCell ref="AN157:AN158"/>
    <mergeCell ref="AO157:AO158"/>
    <mergeCell ref="AP157:AP158"/>
    <mergeCell ref="AQ157:AQ158"/>
    <mergeCell ref="AR157:AR158"/>
    <mergeCell ref="AS157:AS158"/>
    <mergeCell ref="AT157:AT158"/>
    <mergeCell ref="AU157:AU158"/>
    <mergeCell ref="AV157:AV158"/>
    <mergeCell ref="B159:B160"/>
    <mergeCell ref="AM159:AM160"/>
    <mergeCell ref="AP159:AP160"/>
    <mergeCell ref="D159:D160"/>
    <mergeCell ref="AJ159:AJ160"/>
    <mergeCell ref="AK159:AK160"/>
    <mergeCell ref="AN159:AN160"/>
    <mergeCell ref="AO159:AO160"/>
    <mergeCell ref="A133:A134"/>
    <mergeCell ref="A139:A140"/>
    <mergeCell ref="A151:A152"/>
    <mergeCell ref="AO155:AO156"/>
    <mergeCell ref="A141:A142"/>
    <mergeCell ref="B141:B142"/>
    <mergeCell ref="A135:A136"/>
    <mergeCell ref="A137:A138"/>
    <mergeCell ref="C159:C160"/>
    <mergeCell ref="A149:A150"/>
    <mergeCell ref="A155:A156"/>
    <mergeCell ref="AJ155:AJ156"/>
    <mergeCell ref="AN143:AN144"/>
    <mergeCell ref="AO143:AO144"/>
    <mergeCell ref="AP143:AP144"/>
    <mergeCell ref="AP139:AP140"/>
    <mergeCell ref="AU159:AU160"/>
    <mergeCell ref="B155:B156"/>
    <mergeCell ref="AO141:AO142"/>
    <mergeCell ref="AR143:AR144"/>
    <mergeCell ref="AS143:AS144"/>
    <mergeCell ref="AT151:AT152"/>
    <mergeCell ref="AU141:AU142"/>
    <mergeCell ref="AP155:AP156"/>
    <mergeCell ref="AS155:AS156"/>
    <mergeCell ref="AQ153:AQ154"/>
    <mergeCell ref="AR153:AR154"/>
    <mergeCell ref="C133:C134"/>
    <mergeCell ref="D133:D134"/>
    <mergeCell ref="B133:B134"/>
    <mergeCell ref="AK149:AK150"/>
    <mergeCell ref="AL149:AL150"/>
    <mergeCell ref="A165:A166"/>
    <mergeCell ref="B165:B166"/>
    <mergeCell ref="C165:C166"/>
    <mergeCell ref="D165:D166"/>
    <mergeCell ref="AJ165:AJ166"/>
    <mergeCell ref="AK165:AK166"/>
    <mergeCell ref="AL165:AL166"/>
    <mergeCell ref="AM165:AM166"/>
    <mergeCell ref="AN165:AN166"/>
    <mergeCell ref="AO165:AO166"/>
    <mergeCell ref="AP165:AP166"/>
    <mergeCell ref="AQ165:AQ166"/>
    <mergeCell ref="AR165:AR166"/>
    <mergeCell ref="AS165:AS166"/>
    <mergeCell ref="AT165:AT166"/>
    <mergeCell ref="AO131:AO132"/>
    <mergeCell ref="A147:A148"/>
    <mergeCell ref="AQ159:AQ160"/>
    <mergeCell ref="AR159:AR160"/>
    <mergeCell ref="AS159:AS160"/>
    <mergeCell ref="AT159:AT160"/>
    <mergeCell ref="AQ149:AQ150"/>
    <mergeCell ref="AR149:AR150"/>
    <mergeCell ref="AS149:AS150"/>
    <mergeCell ref="AT149:AT150"/>
    <mergeCell ref="AQ155:AQ156"/>
    <mergeCell ref="C145:C146"/>
    <mergeCell ref="D153:D154"/>
    <mergeCell ref="AK153:AK154"/>
    <mergeCell ref="AL153:AL154"/>
    <mergeCell ref="AJ133:AJ134"/>
    <mergeCell ref="D137:D138"/>
    <mergeCell ref="AW125:AW126"/>
    <mergeCell ref="AX125:AX126"/>
    <mergeCell ref="AY125:AY126"/>
    <mergeCell ref="AZ125:AZ126"/>
    <mergeCell ref="A125:A126"/>
    <mergeCell ref="B125:B126"/>
    <mergeCell ref="C125:C126"/>
    <mergeCell ref="D125:D126"/>
    <mergeCell ref="AJ125:AJ126"/>
    <mergeCell ref="AK125:AK126"/>
    <mergeCell ref="AL125:AL126"/>
    <mergeCell ref="AM125:AM126"/>
    <mergeCell ref="AN125:AN126"/>
    <mergeCell ref="AO125:AO126"/>
    <mergeCell ref="AP125:AP126"/>
    <mergeCell ref="AQ125:AQ126"/>
    <mergeCell ref="AR125:AR126"/>
    <mergeCell ref="AS125:AS126"/>
    <mergeCell ref="AT125:AT126"/>
    <mergeCell ref="AU125:AU126"/>
    <mergeCell ref="AV125:AV126"/>
  </mergeCells>
  <conditionalFormatting sqref="E17">
    <cfRule type="expression" dxfId="240" priority="73" stopIfTrue="1">
      <formula>(E17="Р")</formula>
    </cfRule>
    <cfRule type="expression" dxfId="239" priority="74" stopIfTrue="1">
      <formula>(E17="ВЧ")</formula>
    </cfRule>
    <cfRule type="expression" dxfId="238" priority="75" stopIfTrue="1">
      <formula>(E17="ВЧ1")</formula>
    </cfRule>
    <cfRule type="expression" dxfId="237" priority="76" stopIfTrue="1">
      <formula>(E17="ВЧ2")</formula>
    </cfRule>
    <cfRule type="expression" dxfId="236" priority="77" stopIfTrue="1">
      <formula>(E17="РН")</formula>
    </cfRule>
    <cfRule type="expression" dxfId="235" priority="78" stopIfTrue="1">
      <formula>(E17="НУ")</formula>
    </cfRule>
    <cfRule type="expression" dxfId="234" priority="79" stopIfTrue="1">
      <formula>(E17="Р1")</formula>
    </cfRule>
    <cfRule type="expression" dxfId="233" priority="80" stopIfTrue="1">
      <formula>(E17="Р2")</formula>
    </cfRule>
    <cfRule type="expression" dxfId="232" priority="81" stopIfTrue="1">
      <formula>(E17="Р1/РВ")</formula>
    </cfRule>
    <cfRule type="expression" dxfId="231" priority="82" stopIfTrue="1">
      <formula>(E17="Р2/РВ")</formula>
    </cfRule>
    <cfRule type="expression" dxfId="230" priority="83" stopIfTrue="1">
      <formula>(E17="ВЧ/РВ")</formula>
    </cfRule>
    <cfRule type="expression" priority="84" stopIfTrue="1">
      <formula>(E17="РН/РВ")</formula>
    </cfRule>
  </conditionalFormatting>
  <conditionalFormatting sqref="F17:AI17">
    <cfRule type="expression" dxfId="229" priority="61" stopIfTrue="1">
      <formula>(F17="Р")</formula>
    </cfRule>
    <cfRule type="expression" dxfId="228" priority="62" stopIfTrue="1">
      <formula>(F17="ВЧ")</formula>
    </cfRule>
    <cfRule type="expression" dxfId="227" priority="63" stopIfTrue="1">
      <formula>(F17="ВЧ1")</formula>
    </cfRule>
    <cfRule type="expression" dxfId="226" priority="64" stopIfTrue="1">
      <formula>(F17="ВЧ2")</formula>
    </cfRule>
    <cfRule type="expression" dxfId="225" priority="65" stopIfTrue="1">
      <formula>(F17="РН")</formula>
    </cfRule>
    <cfRule type="expression" dxfId="224" priority="66" stopIfTrue="1">
      <formula>(F17="НУ")</formula>
    </cfRule>
    <cfRule type="expression" dxfId="223" priority="67" stopIfTrue="1">
      <formula>(F17="Р1")</formula>
    </cfRule>
    <cfRule type="expression" dxfId="222" priority="68" stopIfTrue="1">
      <formula>(F17="Р2")</formula>
    </cfRule>
    <cfRule type="expression" dxfId="221" priority="69" stopIfTrue="1">
      <formula>(F17="Р1/РВ")</formula>
    </cfRule>
    <cfRule type="expression" dxfId="220" priority="70" stopIfTrue="1">
      <formula>(F17="Р2/РВ")</formula>
    </cfRule>
    <cfRule type="expression" dxfId="219" priority="71" stopIfTrue="1">
      <formula>(F17="ВЧ/РВ")</formula>
    </cfRule>
    <cfRule type="expression" priority="72" stopIfTrue="1">
      <formula>(F17="РН/РВ")</formula>
    </cfRule>
  </conditionalFormatting>
  <conditionalFormatting sqref="E18">
    <cfRule type="expression" dxfId="218" priority="85" stopIfTrue="1">
      <formula>(E17="ВД")</formula>
    </cfRule>
    <cfRule type="expression" dxfId="217" priority="86" stopIfTrue="1">
      <formula>(E17="В")</formula>
    </cfRule>
    <cfRule type="expression" dxfId="216" priority="87" stopIfTrue="1">
      <formula>(E17="ВП")</formula>
    </cfRule>
    <cfRule type="expression" dxfId="215" priority="88" stopIfTrue="1">
      <formula>(E17="ДД")</formula>
    </cfRule>
    <cfRule type="expression" dxfId="214" priority="89" stopIfTrue="1">
      <formula>(E17="НА")</formula>
    </cfRule>
    <cfRule type="expression" dxfId="213" priority="90" stopIfTrue="1">
      <formula>(E17="Ч")</formula>
    </cfRule>
    <cfRule type="expression" dxfId="212" priority="91" stopIfTrue="1">
      <formula>(E17="Н")</formula>
    </cfRule>
    <cfRule type="expression" dxfId="211" priority="92" stopIfTrue="1">
      <formula>(E17="ТН")</formula>
    </cfRule>
    <cfRule type="expression" dxfId="210" priority="93" stopIfTrue="1">
      <formula>(E17="ДО")</formula>
    </cfRule>
    <cfRule type="expression" dxfId="209" priority="94" stopIfTrue="1">
      <formula>(E17="ІН")</formula>
    </cfRule>
    <cfRule type="expression" dxfId="208" priority="95" stopIfTrue="1">
      <formula>(E17="РВ")</formula>
    </cfRule>
    <cfRule type="expression" dxfId="207" priority="96" stopIfTrue="1">
      <formula>(E17="ВБ")</formula>
    </cfRule>
  </conditionalFormatting>
  <conditionalFormatting sqref="F18:AI18">
    <cfRule type="expression" dxfId="206" priority="49" stopIfTrue="1">
      <formula>(F17="ВД")</formula>
    </cfRule>
    <cfRule type="expression" dxfId="205" priority="50" stopIfTrue="1">
      <formula>(F17="В")</formula>
    </cfRule>
    <cfRule type="expression" dxfId="204" priority="51" stopIfTrue="1">
      <formula>(F17="ВП")</formula>
    </cfRule>
    <cfRule type="expression" dxfId="203" priority="52" stopIfTrue="1">
      <formula>(F17="ДД")</formula>
    </cfRule>
    <cfRule type="expression" dxfId="202" priority="53" stopIfTrue="1">
      <formula>(F17="НА")</formula>
    </cfRule>
    <cfRule type="expression" dxfId="201" priority="54" stopIfTrue="1">
      <formula>(F17="Ч")</formula>
    </cfRule>
    <cfRule type="expression" dxfId="200" priority="55" stopIfTrue="1">
      <formula>(F17="Н")</formula>
    </cfRule>
    <cfRule type="expression" dxfId="199" priority="56" stopIfTrue="1">
      <formula>(F17="ТН")</formula>
    </cfRule>
    <cfRule type="expression" dxfId="198" priority="57" stopIfTrue="1">
      <formula>(F17="ДО")</formula>
    </cfRule>
    <cfRule type="expression" dxfId="197" priority="58" stopIfTrue="1">
      <formula>(F17="ІН")</formula>
    </cfRule>
    <cfRule type="expression" dxfId="196" priority="59" stopIfTrue="1">
      <formula>(F17="РВ")</formula>
    </cfRule>
    <cfRule type="expression" dxfId="195" priority="60" stopIfTrue="1">
      <formula>(F17="ВБ")</formula>
    </cfRule>
  </conditionalFormatting>
  <conditionalFormatting sqref="E19 E21 E23 E25 E27 E29 E31 E33 E35 E37 E39 E41 E43 E45 E47 E49 E51 E53 E55 E57 E59 E61 E63 E65 E67 E69 E71 E73 E75 E77 E79 E81 E83 E85 E87 E89 E91 E93 E95 E97 E99 E101 E103 E105 E107 E109 E111 E113 E115 E117 E119 E121 E123 E125 E127 E129 E131 E133 E135 E137 E139 E141 E143 E145 E147 E149 E151 E153 E155 E157 E159 E161 E163 E165 E167 E169 E171 E173">
    <cfRule type="expression" dxfId="194" priority="25" stopIfTrue="1">
      <formula>(E19="Р")</formula>
    </cfRule>
    <cfRule type="expression" dxfId="193" priority="26" stopIfTrue="1">
      <formula>(E19="ВЧ")</formula>
    </cfRule>
    <cfRule type="expression" dxfId="192" priority="27" stopIfTrue="1">
      <formula>(E19="ВЧ1")</formula>
    </cfRule>
    <cfRule type="expression" dxfId="191" priority="28" stopIfTrue="1">
      <formula>(E19="ВЧ2")</formula>
    </cfRule>
    <cfRule type="expression" dxfId="190" priority="29" stopIfTrue="1">
      <formula>(E19="РН")</formula>
    </cfRule>
    <cfRule type="expression" dxfId="189" priority="30" stopIfTrue="1">
      <formula>(E19="НУ")</formula>
    </cfRule>
    <cfRule type="expression" dxfId="188" priority="31" stopIfTrue="1">
      <formula>(E19="Р1")</formula>
    </cfRule>
    <cfRule type="expression" dxfId="187" priority="32" stopIfTrue="1">
      <formula>(E19="Р2")</formula>
    </cfRule>
    <cfRule type="expression" dxfId="186" priority="33" stopIfTrue="1">
      <formula>(E19="Р1/РВ")</formula>
    </cfRule>
    <cfRule type="expression" dxfId="185" priority="34" stopIfTrue="1">
      <formula>(E19="Р2/РВ")</formula>
    </cfRule>
    <cfRule type="expression" dxfId="184" priority="35" stopIfTrue="1">
      <formula>(E19="ВЧ/РВ")</formula>
    </cfRule>
    <cfRule type="expression" priority="36" stopIfTrue="1">
      <formula>(E19="РН/РВ")</formula>
    </cfRule>
  </conditionalFormatting>
  <conditionalFormatting sqref="F19:AI19 F21:AI21 F23:AI23 F25:AI25 F27:AI27 F29:AI29 F31:AI31 F33:AI33 F35:AI35 F37:AI37 F39:AI39 F41:AI41 F43:AI43 F45:AI45 F47:AI47 F49:AI49 F51:AI51 F53:AI53 F55:AI55 F57:AI57 F59:AI59 F61:AI61 F63:AI63 F65:AI65 F67:AI67 F69:AI69 F71:AI71 F73:AI73 F75:AI75 F77:AI77 F79:AI79 F81:AI81 F83:AI83 F85:AI85 F87:AI87 F89:AI89 F91:AI91 F93:AI93 F95:AI95 F97:AI97 F99:AI99 F101:AI101 F103:AI103 F105:AI105 F107:AI107 F109:AI109 F111:AI111 F113:AI113 F115:AI115 F117:AI117 F119:AI119 F121:AI121 F123:AI123 F125:AI125 F127:AI127 F129:AI129 F131:AI131 F133:AI133 F135:AI135 F137:AI137 F139:AI139 F141:AI141 F143:AI143 F145:AI145 F147:AI147 F149:AI149 F151:AI151 F153:AI153 F155:AI155 F157:AI157 F159:AI159 F161:AI161 F163:AI163 F165:AI165 F167:AI167 F169:AI169 F171:AI171 F173:AI173">
    <cfRule type="expression" dxfId="183" priority="13" stopIfTrue="1">
      <formula>(F19="Р")</formula>
    </cfRule>
    <cfRule type="expression" dxfId="182" priority="14" stopIfTrue="1">
      <formula>(F19="ВЧ")</formula>
    </cfRule>
    <cfRule type="expression" dxfId="181" priority="15" stopIfTrue="1">
      <formula>(F19="ВЧ1")</formula>
    </cfRule>
    <cfRule type="expression" dxfId="180" priority="16" stopIfTrue="1">
      <formula>(F19="ВЧ2")</formula>
    </cfRule>
    <cfRule type="expression" dxfId="179" priority="17" stopIfTrue="1">
      <formula>(F19="РН")</formula>
    </cfRule>
    <cfRule type="expression" dxfId="178" priority="18" stopIfTrue="1">
      <formula>(F19="НУ")</formula>
    </cfRule>
    <cfRule type="expression" dxfId="177" priority="19" stopIfTrue="1">
      <formula>(F19="Р1")</formula>
    </cfRule>
    <cfRule type="expression" dxfId="176" priority="20" stopIfTrue="1">
      <formula>(F19="Р2")</formula>
    </cfRule>
    <cfRule type="expression" dxfId="175" priority="21" stopIfTrue="1">
      <formula>(F19="Р1/РВ")</formula>
    </cfRule>
    <cfRule type="expression" dxfId="174" priority="22" stopIfTrue="1">
      <formula>(F19="Р2/РВ")</formula>
    </cfRule>
    <cfRule type="expression" dxfId="173" priority="23" stopIfTrue="1">
      <formula>(F19="ВЧ/РВ")</formula>
    </cfRule>
    <cfRule type="expression" priority="24" stopIfTrue="1">
      <formula>(F19="РН/РВ")</formula>
    </cfRule>
  </conditionalFormatting>
  <conditionalFormatting sqref="E20 E22 E24 E26 E28 E30 E32 E34 E36 E38 E40 E42 E44 E46 E48 E50 E52 E54 E56 E58 E60 E62 E64 E66 E68 E70 E72 E74 E76 E78 E80 E82 E84 E86 E88 E90 E92 E94 E96 E98 E100 E102 E104 E106 E108 E110 E112 E114 E116 E118 E120 E122 E124 E126 E128 E130 E132 E134 E136 E138 E140 E142 E144 E146 E148 E150 E152 E154 E156 E158 E160 E162 E164 E166 E168 E170 E172 E174">
    <cfRule type="expression" dxfId="172" priority="37" stopIfTrue="1">
      <formula>(E19="ВД")</formula>
    </cfRule>
    <cfRule type="expression" dxfId="171" priority="38" stopIfTrue="1">
      <formula>(E19="В")</formula>
    </cfRule>
    <cfRule type="expression" dxfId="170" priority="39" stopIfTrue="1">
      <formula>(E19="ВП")</formula>
    </cfRule>
    <cfRule type="expression" dxfId="169" priority="40" stopIfTrue="1">
      <formula>(E19="ДД")</formula>
    </cfRule>
    <cfRule type="expression" dxfId="168" priority="41" stopIfTrue="1">
      <formula>(E19="НА")</formula>
    </cfRule>
    <cfRule type="expression" dxfId="167" priority="42" stopIfTrue="1">
      <formula>(E19="Ч")</formula>
    </cfRule>
    <cfRule type="expression" dxfId="166" priority="43" stopIfTrue="1">
      <formula>(E19="Н")</formula>
    </cfRule>
    <cfRule type="expression" dxfId="165" priority="44" stopIfTrue="1">
      <formula>(E19="ТН")</formula>
    </cfRule>
    <cfRule type="expression" dxfId="164" priority="45" stopIfTrue="1">
      <formula>(E19="ДО")</formula>
    </cfRule>
    <cfRule type="expression" dxfId="163" priority="46" stopIfTrue="1">
      <formula>(E19="ІН")</formula>
    </cfRule>
    <cfRule type="expression" dxfId="162" priority="47" stopIfTrue="1">
      <formula>(E19="РВ")</formula>
    </cfRule>
    <cfRule type="expression" dxfId="161" priority="48" stopIfTrue="1">
      <formula>(E19="ВБ")</formula>
    </cfRule>
  </conditionalFormatting>
  <conditionalFormatting sqref="F20:AI20 F22:AI22 F24:AI24 F26:AI26 F28:AI28 F30:AI30 F32:AI32 F34:AI34 F36:AI36 F38:AI38 F40:AI40 F42:AI42 F44:AI44 F46:AI46 F48:AI48 F50:AI50 F52:AI52 F54:AI54 F56:AI56 F58:AI58 F60:AI60 F62:AI62 F64:AI64 F66:AI66 F68:AI68 F70:AI70 F72:AI72 F74:AI74 F76:AI76 F78:AI78 F80:AI80 F82:AI82 F84:AI84 F86:AI86 F88:AI88 F90:AI90 F92:AI92 F94:AI94 F96:AI96 F98:AI98 F100:AI100 F102:AI102 F104:AI104 F106:AI106 F108:AI108 F110:AI110 F112:AI112 F114:AI114 F116:AI116 F118:AI118 F120:AI120 F122:AI122 F124:AI124 F126:AI126 F128:AI128 F130:AI130 F132:AI132 F134:AI134 F136:AI136 F138:AI138 F140:AI140 F142:AI142 F144:AI144 F146:AI146 F148:AI148 F150:AI150 F152:AI152 F154:AI154 F156:AI156 F158:AI158 F160:AI160 F162:AI162 F164:AI164 F166:AI166 F168:AI168 F170:AI170 F172:AI172 F174:AI174">
    <cfRule type="expression" dxfId="160" priority="1" stopIfTrue="1">
      <formula>(F19="ВД")</formula>
    </cfRule>
    <cfRule type="expression" dxfId="159" priority="2" stopIfTrue="1">
      <formula>(F19="В")</formula>
    </cfRule>
    <cfRule type="expression" dxfId="158" priority="3" stopIfTrue="1">
      <formula>(F19="ВП")</formula>
    </cfRule>
    <cfRule type="expression" dxfId="157" priority="4" stopIfTrue="1">
      <formula>(F19="ДД")</formula>
    </cfRule>
    <cfRule type="expression" dxfId="156" priority="5" stopIfTrue="1">
      <formula>(F19="НА")</formula>
    </cfRule>
    <cfRule type="expression" dxfId="155" priority="6" stopIfTrue="1">
      <formula>(F19="Ч")</formula>
    </cfRule>
    <cfRule type="expression" dxfId="154" priority="7" stopIfTrue="1">
      <formula>(F19="Н")</formula>
    </cfRule>
    <cfRule type="expression" dxfId="153" priority="8" stopIfTrue="1">
      <formula>(F19="ТН")</formula>
    </cfRule>
    <cfRule type="expression" dxfId="152" priority="9" stopIfTrue="1">
      <formula>(F19="ДО")</formula>
    </cfRule>
    <cfRule type="expression" dxfId="151" priority="10" stopIfTrue="1">
      <formula>(F19="ІН")</formula>
    </cfRule>
    <cfRule type="expression" dxfId="150" priority="11" stopIfTrue="1">
      <formula>(F19="РВ")</formula>
    </cfRule>
    <cfRule type="expression" dxfId="149" priority="12" stopIfTrue="1">
      <formula>(F19="ВБ")</formula>
    </cfRule>
  </conditionalFormatting>
  <pageMargins left="0.39370078740157483" right="0.39370078740157483" top="0.59055118110236227" bottom="0.59055118110236227" header="0" footer="0"/>
  <pageSetup paperSize="8" scale="75" fitToHeight="0" orientation="landscape"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7892" r:id="rId4" name="Button 4">
              <controlPr defaultSize="0" print="0" autoFill="0" autoPict="0" macro="[0]!Макрос1">
                <anchor moveWithCells="1" sizeWithCells="1">
                  <from>
                    <xdr:col>11</xdr:col>
                    <xdr:colOff>152400</xdr:colOff>
                    <xdr:row>0</xdr:row>
                    <xdr:rowOff>133350</xdr:rowOff>
                  </from>
                  <to>
                    <xdr:col>14</xdr:col>
                    <xdr:colOff>152400</xdr:colOff>
                    <xdr:row>1</xdr:row>
                    <xdr:rowOff>152400</xdr:rowOff>
                  </to>
                </anchor>
              </controlPr>
            </control>
          </mc:Choice>
        </mc:AlternateContent>
        <mc:AlternateContent xmlns:mc="http://schemas.openxmlformats.org/markup-compatibility/2006">
          <mc:Choice Requires="x14">
            <control shapeId="37893" r:id="rId5" name="Button 5">
              <controlPr defaultSize="0" print="0" autoFill="0" autoPict="0" macro="[0]!Макрос2">
                <anchor moveWithCells="1" sizeWithCells="1">
                  <from>
                    <xdr:col>11</xdr:col>
                    <xdr:colOff>152400</xdr:colOff>
                    <xdr:row>2</xdr:row>
                    <xdr:rowOff>95250</xdr:rowOff>
                  </from>
                  <to>
                    <xdr:col>14</xdr:col>
                    <xdr:colOff>161925</xdr:colOff>
                    <xdr:row>3</xdr:row>
                    <xdr:rowOff>95250</xdr:rowOff>
                  </to>
                </anchor>
              </controlPr>
            </control>
          </mc:Choice>
        </mc:AlternateContent>
        <mc:AlternateContent xmlns:mc="http://schemas.openxmlformats.org/markup-compatibility/2006">
          <mc:Choice Requires="x14">
            <control shapeId="37894" r:id="rId6" name="Button 6">
              <controlPr defaultSize="0" print="0" autoFill="0" autoPict="0" macro="[0]!Макрос3">
                <anchor moveWithCells="1" sizeWithCells="1">
                  <from>
                    <xdr:col>10</xdr:col>
                    <xdr:colOff>161925</xdr:colOff>
                    <xdr:row>4</xdr:row>
                    <xdr:rowOff>57150</xdr:rowOff>
                  </from>
                  <to>
                    <xdr:col>14</xdr:col>
                    <xdr:colOff>161925</xdr:colOff>
                    <xdr:row>5</xdr:row>
                    <xdr:rowOff>57150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7">
    <pageSetUpPr fitToPage="1"/>
  </sheetPr>
  <dimension ref="A2:AZ80"/>
  <sheetViews>
    <sheetView showZeros="0" topLeftCell="D1" zoomScale="90" zoomScaleNormal="90" zoomScaleSheetLayoutView="80" workbookViewId="0">
      <pane ySplit="15" topLeftCell="A57" activePane="bottomLeft" state="frozen"/>
      <selection pane="bottomLeft" activeCell="AX63" sqref="AX63:AX64"/>
    </sheetView>
  </sheetViews>
  <sheetFormatPr defaultRowHeight="12.75" x14ac:dyDescent="0.2"/>
  <cols>
    <col min="1" max="1" width="5.28515625" style="51" customWidth="1"/>
    <col min="2" max="2" width="25.85546875" style="51" customWidth="1"/>
    <col min="3" max="3" width="5.85546875" style="13" customWidth="1"/>
    <col min="4" max="4" width="3.7109375" style="51" customWidth="1"/>
    <col min="5" max="5" width="3.85546875" style="51" customWidth="1"/>
    <col min="6" max="18" width="3.7109375" style="51" customWidth="1"/>
    <col min="19" max="19" width="5.28515625" style="51" customWidth="1"/>
    <col min="20" max="20" width="4.5703125" style="51" customWidth="1"/>
    <col min="21" max="35" width="3.7109375" style="51" customWidth="1"/>
    <col min="36" max="36" width="4.7109375" style="51" customWidth="1"/>
    <col min="37" max="37" width="7" style="51" customWidth="1"/>
    <col min="38" max="42" width="4.7109375" style="51" customWidth="1"/>
    <col min="43" max="43" width="7.42578125" style="51" customWidth="1"/>
    <col min="44" max="44" width="6.42578125" style="51" customWidth="1"/>
    <col min="45" max="45" width="5" style="51" customWidth="1"/>
    <col min="46" max="46" width="5.42578125" style="51" customWidth="1"/>
    <col min="47" max="48" width="4.7109375" style="51" customWidth="1"/>
    <col min="49" max="49" width="4.7109375" style="131" customWidth="1"/>
    <col min="50" max="50" width="4.7109375" style="51" customWidth="1"/>
    <col min="51" max="51" width="5.5703125" style="51" customWidth="1"/>
    <col min="52" max="52" width="4.7109375" style="51" customWidth="1"/>
    <col min="53" max="16384" width="9.140625" style="51"/>
  </cols>
  <sheetData>
    <row r="2" spans="1:52" ht="12.75" customHeight="1" x14ac:dyDescent="0.2">
      <c r="A2" s="257" t="s">
        <v>69</v>
      </c>
      <c r="B2" s="257"/>
      <c r="C2" s="257"/>
      <c r="D2" s="257"/>
      <c r="E2" s="257"/>
      <c r="F2" s="257"/>
      <c r="G2" s="257"/>
      <c r="H2" s="257"/>
      <c r="I2" s="257"/>
      <c r="J2" s="257"/>
      <c r="K2" s="257"/>
      <c r="L2" s="257"/>
      <c r="M2" s="257"/>
      <c r="N2" s="257"/>
      <c r="W2" s="258" t="s">
        <v>8</v>
      </c>
      <c r="X2" s="259"/>
      <c r="Y2" s="259"/>
      <c r="Z2" s="259"/>
      <c r="AA2" s="259"/>
      <c r="AB2" s="260"/>
    </row>
    <row r="3" spans="1:52" ht="12.75" customHeight="1" x14ac:dyDescent="0.2">
      <c r="C3" s="46" t="s">
        <v>6</v>
      </c>
      <c r="D3" s="47"/>
      <c r="W3" s="258" t="s">
        <v>9</v>
      </c>
      <c r="X3" s="259"/>
      <c r="Y3" s="260"/>
      <c r="Z3" s="254" t="s">
        <v>0</v>
      </c>
      <c r="AA3" s="255"/>
      <c r="AB3" s="256"/>
    </row>
    <row r="4" spans="1:52" ht="13.5" customHeight="1" x14ac:dyDescent="0.2">
      <c r="O4" s="48"/>
      <c r="P4" s="48"/>
      <c r="Q4" s="48"/>
      <c r="W4" s="261">
        <v>45717</v>
      </c>
      <c r="X4" s="262"/>
      <c r="Y4" s="263"/>
      <c r="Z4" s="261">
        <v>45747</v>
      </c>
      <c r="AA4" s="262"/>
      <c r="AB4" s="263"/>
    </row>
    <row r="5" spans="1:52" x14ac:dyDescent="0.2">
      <c r="A5" s="257" t="s">
        <v>139</v>
      </c>
      <c r="B5" s="257"/>
      <c r="C5" s="257"/>
      <c r="D5" s="257"/>
      <c r="E5" s="257"/>
      <c r="F5" s="257"/>
      <c r="G5" s="257"/>
      <c r="H5" s="257"/>
      <c r="I5" s="257"/>
      <c r="J5" s="257"/>
      <c r="K5" s="257"/>
      <c r="L5" s="257"/>
      <c r="M5" s="257"/>
      <c r="N5" s="257"/>
      <c r="O5" s="49"/>
      <c r="P5" s="49"/>
    </row>
    <row r="6" spans="1:52" ht="12.75" customHeight="1" x14ac:dyDescent="0.2">
      <c r="A6" s="270" t="s">
        <v>7</v>
      </c>
      <c r="B6" s="270"/>
      <c r="C6" s="270"/>
      <c r="D6" s="270"/>
      <c r="E6" s="270"/>
      <c r="F6" s="270"/>
      <c r="G6" s="270"/>
      <c r="H6" s="270"/>
      <c r="I6" s="270"/>
      <c r="J6" s="270"/>
      <c r="K6" s="270"/>
      <c r="L6" s="270"/>
      <c r="M6" s="270"/>
      <c r="N6" s="270"/>
      <c r="O6" s="48"/>
      <c r="P6" s="48"/>
      <c r="W6" s="251" t="s">
        <v>11</v>
      </c>
      <c r="X6" s="252"/>
      <c r="Y6" s="253"/>
      <c r="Z6" s="251" t="s">
        <v>10</v>
      </c>
      <c r="AA6" s="252"/>
      <c r="AB6" s="253"/>
    </row>
    <row r="7" spans="1:52" ht="12.75" customHeight="1" x14ac:dyDescent="0.2">
      <c r="O7" s="50"/>
      <c r="P7" s="50"/>
      <c r="W7" s="254"/>
      <c r="X7" s="255"/>
      <c r="Y7" s="256"/>
      <c r="Z7" s="254"/>
      <c r="AA7" s="255"/>
      <c r="AB7" s="256"/>
    </row>
    <row r="8" spans="1:52" ht="12.75" customHeight="1" x14ac:dyDescent="0.2">
      <c r="A8" s="271" t="s">
        <v>58</v>
      </c>
      <c r="B8" s="271"/>
      <c r="C8" s="227">
        <v>38076191</v>
      </c>
      <c r="D8" s="227"/>
      <c r="E8" s="227"/>
      <c r="F8" s="227"/>
      <c r="W8" s="272" t="s">
        <v>140</v>
      </c>
      <c r="X8" s="273"/>
      <c r="Y8" s="274"/>
      <c r="Z8" s="261">
        <v>45747</v>
      </c>
      <c r="AA8" s="262"/>
      <c r="AB8" s="263"/>
    </row>
    <row r="9" spans="1:52" ht="16.5" customHeight="1" x14ac:dyDescent="0.2">
      <c r="B9" s="101">
        <v>168</v>
      </c>
      <c r="H9" s="278" t="s">
        <v>1</v>
      </c>
      <c r="I9" s="278"/>
      <c r="J9" s="278"/>
      <c r="K9" s="278"/>
      <c r="L9" s="278"/>
      <c r="M9" s="278"/>
      <c r="N9" s="278"/>
      <c r="O9" s="278"/>
      <c r="P9" s="278"/>
      <c r="Q9" s="278"/>
      <c r="R9" s="278"/>
      <c r="S9" s="278"/>
      <c r="T9" s="44"/>
      <c r="U9" s="44"/>
      <c r="V9" s="44"/>
      <c r="W9" s="44"/>
      <c r="X9" s="44"/>
      <c r="Y9" s="44"/>
      <c r="Z9" s="44"/>
      <c r="AA9" s="44"/>
      <c r="AB9" s="44"/>
      <c r="AC9" s="44"/>
      <c r="AD9" s="44"/>
      <c r="AE9" s="44"/>
      <c r="AF9" s="44"/>
      <c r="AG9" s="44"/>
      <c r="AH9" s="44"/>
      <c r="AI9" s="44"/>
      <c r="AJ9" s="7"/>
      <c r="AK9" s="7"/>
      <c r="AL9" s="7"/>
      <c r="AM9" s="7"/>
      <c r="AN9" s="7"/>
      <c r="AO9" s="7"/>
      <c r="AP9" s="7"/>
      <c r="AQ9" s="7"/>
      <c r="AR9" s="7"/>
      <c r="AS9" s="7"/>
      <c r="AT9" s="7"/>
      <c r="AU9" s="7"/>
      <c r="AV9" s="7"/>
      <c r="AW9" s="7"/>
      <c r="AX9" s="7"/>
      <c r="AY9" s="7"/>
    </row>
    <row r="10" spans="1:52" ht="18" customHeight="1" x14ac:dyDescent="0.2">
      <c r="D10" s="244" t="s">
        <v>37</v>
      </c>
      <c r="E10" s="244"/>
      <c r="F10" s="244"/>
      <c r="G10" s="244"/>
      <c r="H10" s="244"/>
      <c r="I10" s="244"/>
      <c r="J10" s="244"/>
      <c r="K10" s="244"/>
      <c r="L10" s="244"/>
      <c r="M10" s="244"/>
      <c r="N10" s="244"/>
      <c r="O10" s="244"/>
      <c r="P10" s="244"/>
      <c r="Q10" s="22" t="s">
        <v>464</v>
      </c>
      <c r="R10" s="22"/>
      <c r="S10" s="22"/>
      <c r="T10" s="22"/>
      <c r="U10" s="22"/>
      <c r="V10" s="18"/>
      <c r="W10" s="18"/>
      <c r="X10" s="18"/>
      <c r="Y10" s="18"/>
      <c r="Z10" s="18"/>
      <c r="AA10" s="18"/>
      <c r="AB10" s="18"/>
      <c r="AC10" s="18"/>
      <c r="AD10" s="18"/>
      <c r="AE10" s="18"/>
      <c r="AF10" s="18"/>
      <c r="AG10" s="18"/>
      <c r="AH10" s="18"/>
      <c r="AI10" s="18"/>
      <c r="AJ10" s="18"/>
      <c r="AK10" s="7"/>
      <c r="AL10" s="7"/>
      <c r="AM10" s="7"/>
      <c r="AN10" s="7"/>
      <c r="AO10" s="7"/>
      <c r="AP10" s="7"/>
      <c r="AQ10" s="7"/>
      <c r="AR10" s="7"/>
      <c r="AS10" s="7"/>
      <c r="AT10" s="7"/>
      <c r="AU10" s="7"/>
      <c r="AV10" s="7"/>
      <c r="AW10" s="7"/>
      <c r="AX10" s="7"/>
      <c r="AY10" s="7"/>
    </row>
    <row r="11" spans="1:52" ht="13.5" thickBot="1" x14ac:dyDescent="0.25"/>
    <row r="12" spans="1:52" s="13" customFormat="1" ht="19.5" customHeight="1" thickBot="1" x14ac:dyDescent="0.25">
      <c r="A12" s="264" t="s">
        <v>12</v>
      </c>
      <c r="B12" s="267" t="s">
        <v>13</v>
      </c>
      <c r="C12" s="245" t="s">
        <v>14</v>
      </c>
      <c r="D12" s="245" t="s">
        <v>15</v>
      </c>
      <c r="E12" s="249" t="s">
        <v>16</v>
      </c>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8" t="s">
        <v>17</v>
      </c>
      <c r="AK12" s="249"/>
      <c r="AL12" s="249"/>
      <c r="AM12" s="249"/>
      <c r="AN12" s="249"/>
      <c r="AO12" s="250"/>
      <c r="AP12" s="245" t="s">
        <v>25</v>
      </c>
      <c r="AQ12" s="245" t="s">
        <v>26</v>
      </c>
      <c r="AR12" s="23" t="s">
        <v>28</v>
      </c>
      <c r="AS12" s="24"/>
      <c r="AT12" s="24"/>
      <c r="AU12" s="24"/>
      <c r="AV12" s="24"/>
      <c r="AW12" s="24"/>
      <c r="AX12" s="24"/>
      <c r="AY12" s="24"/>
      <c r="AZ12" s="25"/>
    </row>
    <row r="13" spans="1:52" s="13" customFormat="1" ht="19.5" customHeight="1" thickBot="1" x14ac:dyDescent="0.25">
      <c r="A13" s="265"/>
      <c r="B13" s="268"/>
      <c r="C13" s="246"/>
      <c r="D13" s="246"/>
      <c r="E13" s="275">
        <v>1</v>
      </c>
      <c r="F13" s="238">
        <v>2</v>
      </c>
      <c r="G13" s="241">
        <v>3</v>
      </c>
      <c r="H13" s="241">
        <v>4</v>
      </c>
      <c r="I13" s="241">
        <v>5</v>
      </c>
      <c r="J13" s="241">
        <v>6</v>
      </c>
      <c r="K13" s="241">
        <v>7</v>
      </c>
      <c r="L13" s="238">
        <v>8</v>
      </c>
      <c r="M13" s="238">
        <v>9</v>
      </c>
      <c r="N13" s="241">
        <v>10</v>
      </c>
      <c r="O13" s="241">
        <v>11</v>
      </c>
      <c r="P13" s="241">
        <v>12</v>
      </c>
      <c r="Q13" s="241">
        <v>13</v>
      </c>
      <c r="R13" s="241">
        <v>14</v>
      </c>
      <c r="S13" s="238">
        <v>15</v>
      </c>
      <c r="T13" s="238">
        <v>16</v>
      </c>
      <c r="U13" s="241">
        <v>17</v>
      </c>
      <c r="V13" s="241">
        <v>18</v>
      </c>
      <c r="W13" s="241">
        <v>19</v>
      </c>
      <c r="X13" s="241">
        <v>20</v>
      </c>
      <c r="Y13" s="241">
        <v>21</v>
      </c>
      <c r="Z13" s="238">
        <v>22</v>
      </c>
      <c r="AA13" s="238">
        <v>23</v>
      </c>
      <c r="AB13" s="241">
        <v>24</v>
      </c>
      <c r="AC13" s="241">
        <v>25</v>
      </c>
      <c r="AD13" s="241">
        <v>26</v>
      </c>
      <c r="AE13" s="241">
        <v>27</v>
      </c>
      <c r="AF13" s="241">
        <v>28</v>
      </c>
      <c r="AG13" s="238">
        <v>29</v>
      </c>
      <c r="AH13" s="238">
        <v>30</v>
      </c>
      <c r="AI13" s="241">
        <v>31</v>
      </c>
      <c r="AJ13" s="245" t="s">
        <v>18</v>
      </c>
      <c r="AK13" s="248" t="s">
        <v>19</v>
      </c>
      <c r="AL13" s="249"/>
      <c r="AM13" s="249"/>
      <c r="AN13" s="249"/>
      <c r="AO13" s="250"/>
      <c r="AP13" s="246"/>
      <c r="AQ13" s="246"/>
      <c r="AR13" s="204" t="s">
        <v>55</v>
      </c>
      <c r="AS13" s="204" t="s">
        <v>59</v>
      </c>
      <c r="AT13" s="204" t="s">
        <v>56</v>
      </c>
      <c r="AU13" s="235" t="s">
        <v>38</v>
      </c>
      <c r="AV13" s="204" t="s">
        <v>30</v>
      </c>
      <c r="AW13" s="204" t="s">
        <v>64</v>
      </c>
      <c r="AX13" s="204" t="s">
        <v>57</v>
      </c>
      <c r="AY13" s="204" t="s">
        <v>29</v>
      </c>
      <c r="AZ13" s="204" t="s">
        <v>60</v>
      </c>
    </row>
    <row r="14" spans="1:52" s="13" customFormat="1" ht="19.5" customHeight="1" thickBot="1" x14ac:dyDescent="0.25">
      <c r="A14" s="265"/>
      <c r="B14" s="268"/>
      <c r="C14" s="246"/>
      <c r="D14" s="246"/>
      <c r="E14" s="276"/>
      <c r="F14" s="239"/>
      <c r="G14" s="242"/>
      <c r="H14" s="242"/>
      <c r="I14" s="242"/>
      <c r="J14" s="242"/>
      <c r="K14" s="242"/>
      <c r="L14" s="239"/>
      <c r="M14" s="239"/>
      <c r="N14" s="242"/>
      <c r="O14" s="242"/>
      <c r="P14" s="242"/>
      <c r="Q14" s="242"/>
      <c r="R14" s="242"/>
      <c r="S14" s="239"/>
      <c r="T14" s="239"/>
      <c r="U14" s="242"/>
      <c r="V14" s="242"/>
      <c r="W14" s="242"/>
      <c r="X14" s="242"/>
      <c r="Y14" s="242"/>
      <c r="Z14" s="239"/>
      <c r="AA14" s="239"/>
      <c r="AB14" s="242"/>
      <c r="AC14" s="242"/>
      <c r="AD14" s="242"/>
      <c r="AE14" s="242"/>
      <c r="AF14" s="242"/>
      <c r="AG14" s="239"/>
      <c r="AH14" s="239"/>
      <c r="AI14" s="242"/>
      <c r="AJ14" s="246"/>
      <c r="AK14" s="245" t="s">
        <v>20</v>
      </c>
      <c r="AL14" s="233" t="s">
        <v>21</v>
      </c>
      <c r="AM14" s="232"/>
      <c r="AN14" s="232"/>
      <c r="AO14" s="234"/>
      <c r="AP14" s="246"/>
      <c r="AQ14" s="246"/>
      <c r="AR14" s="205"/>
      <c r="AS14" s="205"/>
      <c r="AT14" s="205"/>
      <c r="AU14" s="236"/>
      <c r="AV14" s="205"/>
      <c r="AW14" s="205"/>
      <c r="AX14" s="205"/>
      <c r="AY14" s="205"/>
      <c r="AZ14" s="205"/>
    </row>
    <row r="15" spans="1:52" s="13" customFormat="1" ht="45" customHeight="1" thickBot="1" x14ac:dyDescent="0.25">
      <c r="A15" s="266"/>
      <c r="B15" s="269"/>
      <c r="C15" s="247"/>
      <c r="D15" s="247"/>
      <c r="E15" s="277"/>
      <c r="F15" s="240"/>
      <c r="G15" s="243"/>
      <c r="H15" s="243"/>
      <c r="I15" s="243"/>
      <c r="J15" s="243"/>
      <c r="K15" s="243"/>
      <c r="L15" s="240"/>
      <c r="M15" s="240"/>
      <c r="N15" s="243"/>
      <c r="O15" s="243"/>
      <c r="P15" s="243"/>
      <c r="Q15" s="243"/>
      <c r="R15" s="243"/>
      <c r="S15" s="240"/>
      <c r="T15" s="240"/>
      <c r="U15" s="243"/>
      <c r="V15" s="243"/>
      <c r="W15" s="243"/>
      <c r="X15" s="243"/>
      <c r="Y15" s="243"/>
      <c r="Z15" s="240"/>
      <c r="AA15" s="240"/>
      <c r="AB15" s="243"/>
      <c r="AC15" s="243"/>
      <c r="AD15" s="243"/>
      <c r="AE15" s="243"/>
      <c r="AF15" s="243"/>
      <c r="AG15" s="240"/>
      <c r="AH15" s="240"/>
      <c r="AI15" s="243"/>
      <c r="AJ15" s="247"/>
      <c r="AK15" s="247"/>
      <c r="AL15" s="12" t="s">
        <v>22</v>
      </c>
      <c r="AM15" s="12" t="s">
        <v>23</v>
      </c>
      <c r="AN15" s="12" t="s">
        <v>24</v>
      </c>
      <c r="AO15" s="12" t="s">
        <v>141</v>
      </c>
      <c r="AP15" s="247"/>
      <c r="AQ15" s="247"/>
      <c r="AR15" s="206"/>
      <c r="AS15" s="206"/>
      <c r="AT15" s="206"/>
      <c r="AU15" s="237"/>
      <c r="AV15" s="206"/>
      <c r="AW15" s="206"/>
      <c r="AX15" s="206"/>
      <c r="AY15" s="206"/>
      <c r="AZ15" s="206"/>
    </row>
    <row r="16" spans="1:52" s="14" customFormat="1" ht="13.5" customHeight="1" thickBot="1" x14ac:dyDescent="0.25">
      <c r="A16" s="67">
        <v>1</v>
      </c>
      <c r="B16" s="66">
        <v>2</v>
      </c>
      <c r="C16" s="71">
        <v>3</v>
      </c>
      <c r="D16" s="71" t="s">
        <v>27</v>
      </c>
      <c r="E16" s="232">
        <v>5</v>
      </c>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2"/>
      <c r="AH16" s="232"/>
      <c r="AI16" s="232"/>
      <c r="AJ16" s="45">
        <v>6</v>
      </c>
      <c r="AK16" s="233">
        <v>7</v>
      </c>
      <c r="AL16" s="232"/>
      <c r="AM16" s="232"/>
      <c r="AN16" s="232"/>
      <c r="AO16" s="234"/>
      <c r="AP16" s="45">
        <v>8</v>
      </c>
      <c r="AQ16" s="27">
        <v>9</v>
      </c>
      <c r="AR16" s="28"/>
      <c r="AS16" s="28"/>
      <c r="AT16" s="28"/>
      <c r="AU16" s="28"/>
      <c r="AV16" s="28"/>
      <c r="AW16" s="28"/>
      <c r="AX16" s="28"/>
      <c r="AY16" s="29"/>
      <c r="AZ16" s="30"/>
    </row>
    <row r="17" spans="1:52" ht="20.100000000000001" customHeight="1" x14ac:dyDescent="0.2">
      <c r="A17" s="289">
        <v>1</v>
      </c>
      <c r="B17" s="228" t="s">
        <v>229</v>
      </c>
      <c r="C17" s="228">
        <v>2094</v>
      </c>
      <c r="D17" s="279" t="s">
        <v>65</v>
      </c>
      <c r="E17" s="157" t="s">
        <v>68</v>
      </c>
      <c r="F17" s="191" t="s">
        <v>68</v>
      </c>
      <c r="G17" s="191" t="s">
        <v>68</v>
      </c>
      <c r="H17" s="191" t="s">
        <v>68</v>
      </c>
      <c r="I17" s="191" t="s">
        <v>68</v>
      </c>
      <c r="J17" s="191" t="s">
        <v>68</v>
      </c>
      <c r="K17" s="191" t="s">
        <v>68</v>
      </c>
      <c r="L17" s="191" t="s">
        <v>68</v>
      </c>
      <c r="M17" s="191" t="s">
        <v>68</v>
      </c>
      <c r="N17" s="191" t="s">
        <v>68</v>
      </c>
      <c r="O17" s="191" t="s">
        <v>68</v>
      </c>
      <c r="P17" s="191" t="s">
        <v>68</v>
      </c>
      <c r="Q17" s="191" t="s">
        <v>68</v>
      </c>
      <c r="R17" s="191" t="s">
        <v>68</v>
      </c>
      <c r="S17" s="191" t="s">
        <v>68</v>
      </c>
      <c r="T17" s="191" t="s">
        <v>68</v>
      </c>
      <c r="U17" s="191" t="s">
        <v>68</v>
      </c>
      <c r="V17" s="191" t="s">
        <v>68</v>
      </c>
      <c r="W17" s="191" t="s">
        <v>68</v>
      </c>
      <c r="X17" s="191" t="s">
        <v>68</v>
      </c>
      <c r="Y17" s="191" t="s">
        <v>68</v>
      </c>
      <c r="Z17" s="191" t="s">
        <v>68</v>
      </c>
      <c r="AA17" s="191" t="s">
        <v>68</v>
      </c>
      <c r="AB17" s="191" t="s">
        <v>68</v>
      </c>
      <c r="AC17" s="191" t="s">
        <v>68</v>
      </c>
      <c r="AD17" s="191" t="s">
        <v>68</v>
      </c>
      <c r="AE17" s="191" t="s">
        <v>68</v>
      </c>
      <c r="AF17" s="191" t="s">
        <v>68</v>
      </c>
      <c r="AG17" s="191" t="s">
        <v>68</v>
      </c>
      <c r="AH17" s="191" t="s">
        <v>68</v>
      </c>
      <c r="AI17" s="191" t="s">
        <v>68</v>
      </c>
      <c r="AJ17" s="213">
        <f>IFERROR(COUNTIF(E17:AI17,"=Р")+COUNTIF(E17:AI17,"=Р1")+COUNTIF(E17:AI17,"=ВЧ")+COUNTIF(E17:AI17,"=РН")+COUNTIF(E17:AI17,"=Р2")+COUNTIF(E17:AI17,"=Р1/РВ")+COUNTIF(E17:AI17,"=Р2/РВ")+COUNTIF(E17:AI17,"=ВЧ/РВ")+COUNTIF(E17:AI17,"=РН/РВ"),0)</f>
        <v>0</v>
      </c>
      <c r="AK17" s="202">
        <f>IFERROR(SUMIF(E17:AI17,"=Р2",E18:AI18)+SUMIF(E17:AI17,"=ВЧ/РВ",E18:AI18)+SUMIF(E17:AI17,"=РН/РВ",E18:AI18)+SUMIF(E17:AI17,"=Р1/РВ",E18:AI18)+SUMIF(E17:AI17,"=ВЧ2/РВ",E18:AI18)+SUMIF(E17:AI17,"=Р2/РВ",E18:AI18)+SUMIF(E17:AI17,"=Р",E18:AI18)+SUMIF(E17:AI17,"=Р1",E18:AI18)+SUMIF(E17:AI17,"=ВЧ1",E18:AI18)+SUMIF(E17:AI17,"=РН",E18:AI18)+SUMIF(E17:AI17,"=ВЧ",E18:AI18),0)+AL17</f>
        <v>0</v>
      </c>
      <c r="AL17" s="202">
        <f>IFERROR(SUMIF(E17:AI17,"=НУ",E18:AI18),0)</f>
        <v>0</v>
      </c>
      <c r="AM17" s="202">
        <f>IFERROR(SUMIF(E17:AI17,"=РН",E18:AI18)+SUMIF(E17:AI17,"=РН/РВ",E18:AI18)+SUMIFS(E18:AI18,E17:AI17,"=Р2",E18:AI18,"=8"),0)</f>
        <v>0</v>
      </c>
      <c r="AN17" s="211">
        <f>IFERROR(SUMIF(E17:AI17,"=ВЧ",E18:AI18)+SUMIF(E17:AI17,"=ВЧ/РВ",E18:AI18)+CEILING(COUNTIFS(E17:AI17,"=Р2",E18:AI18,"=7")*4,1)+CEILING(COUNTIFS(E17:AI17,"=Р2/РВ",E18:AI18,"=7")*4,1)+SUMIFS(E18:AI18,E17:AI17,"=Р1/РВ",E18:AI18,"=12")/6+SUMIFS(E18:AI18,E17:AI17,"=ВЧ2/РВ",E18:AI18,"=4")/2+SUMIFS(E18:AI18,E17:AI17,"=Р1",E18:AI18,"=12")/6+SUMIFS(E18:AI18,E17:AI17,"=Р1",E18:AI18,"=8")/4+SUMIF(E17:AI17,"=ВЧ1",E18:AI18)/2,0)</f>
        <v>0</v>
      </c>
      <c r="AO17" s="202">
        <f>IFERROR(SUMIF(E17:AI17,"=РВ",E18:AI18)+SUMIF(E17:AI17,"=ВЧ/РВ",E18:AI18)+SUMIF(E17:AI17,"=РН/РВ",E18:AI18)+SUMIF(E17:AI17,"=Р1/РВ",E18:AI18)+SUMIF(E17:AI17,"=ВЧ2/РВ",E18:AI18)+SUMIF(E17:AI17,"=Р2/РВ",E18:AI18),0)</f>
        <v>0</v>
      </c>
      <c r="AP17" s="202">
        <f>IFERROR(COUNTIF(E17:AI17,"=ВВ")+COUNTIF(E17:AI17,"=Р1/ВВ")+COUNTIF(E17:AI17,"=РН/ВВ")+COUNTIF(E17:AI17,"=ВЧ/ВВ"),0)</f>
        <v>0</v>
      </c>
      <c r="AQ17" s="202">
        <f>SUM(AR17:AZ17)</f>
        <v>167.99999999999997</v>
      </c>
      <c r="AR17" s="202">
        <f>IFERROR(SUMIF(E17:AI17,"=В",E18:AI18)+SUMIF(E17:AI17,"=Ч",E18:AI18)+SUMIF(E17:AI17,"=ВБ",E18:AI18),0)</f>
        <v>0</v>
      </c>
      <c r="AS17" s="202">
        <f>IFERROR(SUMIF(E17:AI17,"=Н",E18:AI18),0)</f>
        <v>0</v>
      </c>
      <c r="AT17" s="202">
        <f>IFERROR(SUMIF(E17:AI17,"=НА",E18:AI18),0)</f>
        <v>0</v>
      </c>
      <c r="AU17" s="202">
        <f>IFERROR(SUMIF(E17:AI17,"=ВП",E18:AI18),0)</f>
        <v>0</v>
      </c>
      <c r="AV17" s="202">
        <f>IFERROR(SUMIF(E17:AI17,"=ДД",E18:AI18),0)</f>
        <v>0</v>
      </c>
      <c r="AW17" s="202">
        <f>IFERROR(SUMIF(E17:AI17,"=ДО",E18:AI18),0)</f>
        <v>0</v>
      </c>
      <c r="AX17" s="202">
        <f>IFERROR(SUMIF(E17:AI17,"=ТН",E18:AI18),0)</f>
        <v>0</v>
      </c>
      <c r="AY17" s="202">
        <f>IFERROR(SUMIF(E17:AI17,"=ВД",E18:AI18),0)</f>
        <v>0</v>
      </c>
      <c r="AZ17" s="200">
        <f>IFERROR(SUMIF(E17:AI17,"=ІН",E18:AI18),0)+SUMIF(E17:AI17,"=НЗ",E18:AI18)</f>
        <v>167.99999999999997</v>
      </c>
    </row>
    <row r="18" spans="1:52" ht="20.100000000000001" customHeight="1" thickBot="1" x14ac:dyDescent="0.25">
      <c r="A18" s="290"/>
      <c r="B18" s="229"/>
      <c r="C18" s="229"/>
      <c r="D18" s="280"/>
      <c r="E18" s="186"/>
      <c r="F18" s="192"/>
      <c r="G18" s="192">
        <v>8.1999999999999993</v>
      </c>
      <c r="H18" s="192">
        <v>8.1999999999999993</v>
      </c>
      <c r="I18" s="192">
        <v>8.1999999999999993</v>
      </c>
      <c r="J18" s="192">
        <v>8.1999999999999993</v>
      </c>
      <c r="K18" s="192">
        <v>7</v>
      </c>
      <c r="L18" s="192"/>
      <c r="M18" s="192"/>
      <c r="N18" s="192">
        <v>8.1999999999999993</v>
      </c>
      <c r="O18" s="192">
        <v>8.1999999999999993</v>
      </c>
      <c r="P18" s="192">
        <v>8.1999999999999993</v>
      </c>
      <c r="Q18" s="192">
        <v>8.1999999999999993</v>
      </c>
      <c r="R18" s="192">
        <v>7.2</v>
      </c>
      <c r="S18" s="192"/>
      <c r="T18" s="192"/>
      <c r="U18" s="192">
        <v>8.1999999999999993</v>
      </c>
      <c r="V18" s="192">
        <v>8.1999999999999993</v>
      </c>
      <c r="W18" s="192">
        <v>8.1999999999999993</v>
      </c>
      <c r="X18" s="192">
        <v>8.1999999999999993</v>
      </c>
      <c r="Y18" s="192">
        <v>7.2</v>
      </c>
      <c r="Z18" s="192"/>
      <c r="AA18" s="192"/>
      <c r="AB18" s="192">
        <v>8.1999999999999993</v>
      </c>
      <c r="AC18" s="192">
        <v>8.1999999999999993</v>
      </c>
      <c r="AD18" s="192">
        <v>8.1999999999999993</v>
      </c>
      <c r="AE18" s="192">
        <v>8.1999999999999993</v>
      </c>
      <c r="AF18" s="192">
        <v>7.2</v>
      </c>
      <c r="AG18" s="192"/>
      <c r="AH18" s="192"/>
      <c r="AI18" s="192">
        <v>8.1999999999999993</v>
      </c>
      <c r="AJ18" s="214"/>
      <c r="AK18" s="203"/>
      <c r="AL18" s="203"/>
      <c r="AM18" s="203"/>
      <c r="AN18" s="212"/>
      <c r="AO18" s="203"/>
      <c r="AP18" s="203"/>
      <c r="AQ18" s="203"/>
      <c r="AR18" s="203"/>
      <c r="AS18" s="203"/>
      <c r="AT18" s="203"/>
      <c r="AU18" s="203"/>
      <c r="AV18" s="203"/>
      <c r="AW18" s="203"/>
      <c r="AX18" s="203"/>
      <c r="AY18" s="203"/>
      <c r="AZ18" s="201"/>
    </row>
    <row r="19" spans="1:52" ht="20.100000000000001" customHeight="1" x14ac:dyDescent="0.2">
      <c r="A19" s="289">
        <f>A17+1</f>
        <v>2</v>
      </c>
      <c r="B19" s="228" t="s">
        <v>230</v>
      </c>
      <c r="C19" s="228">
        <v>1797</v>
      </c>
      <c r="D19" s="279" t="s">
        <v>72</v>
      </c>
      <c r="E19" s="191" t="s">
        <v>142</v>
      </c>
      <c r="F19" s="191" t="s">
        <v>142</v>
      </c>
      <c r="G19" s="191" t="s">
        <v>4</v>
      </c>
      <c r="H19" s="191" t="s">
        <v>4</v>
      </c>
      <c r="I19" s="191" t="s">
        <v>4</v>
      </c>
      <c r="J19" s="191" t="s">
        <v>4</v>
      </c>
      <c r="K19" s="191" t="s">
        <v>4</v>
      </c>
      <c r="L19" s="191" t="s">
        <v>142</v>
      </c>
      <c r="M19" s="191" t="s">
        <v>142</v>
      </c>
      <c r="N19" s="191" t="s">
        <v>4</v>
      </c>
      <c r="O19" s="191" t="s">
        <v>4</v>
      </c>
      <c r="P19" s="191" t="s">
        <v>4</v>
      </c>
      <c r="Q19" s="191" t="s">
        <v>4</v>
      </c>
      <c r="R19" s="191" t="s">
        <v>4</v>
      </c>
      <c r="S19" s="191" t="s">
        <v>142</v>
      </c>
      <c r="T19" s="191" t="s">
        <v>142</v>
      </c>
      <c r="U19" s="191" t="s">
        <v>4</v>
      </c>
      <c r="V19" s="191" t="s">
        <v>4</v>
      </c>
      <c r="W19" s="191" t="s">
        <v>4</v>
      </c>
      <c r="X19" s="191" t="s">
        <v>4</v>
      </c>
      <c r="Y19" s="191" t="s">
        <v>4</v>
      </c>
      <c r="Z19" s="191" t="s">
        <v>142</v>
      </c>
      <c r="AA19" s="191" t="s">
        <v>142</v>
      </c>
      <c r="AB19" s="191" t="s">
        <v>4</v>
      </c>
      <c r="AC19" s="191" t="s">
        <v>4</v>
      </c>
      <c r="AD19" s="191" t="s">
        <v>4</v>
      </c>
      <c r="AE19" s="191" t="s">
        <v>4</v>
      </c>
      <c r="AF19" s="191" t="s">
        <v>4</v>
      </c>
      <c r="AG19" s="191" t="s">
        <v>142</v>
      </c>
      <c r="AH19" s="191" t="s">
        <v>142</v>
      </c>
      <c r="AI19" s="191" t="s">
        <v>4</v>
      </c>
      <c r="AJ19" s="213">
        <f>IFERROR(COUNTIF(E19:AI19,"=Р")+COUNTIF(E19:AI19,"=Р1")+COUNTIF(E19:AI19,"=ВЧ")+COUNTIF(E19:AI19,"=РН")+COUNTIF(E19:AI19,"=Р2")+COUNTIF(E19:AI19,"=Р1/РВ")+COUNTIF(E19:AI19,"=Р2/РВ")+COUNTIF(E19:AI19,"=ВЧ/РВ")+COUNTIF(E19:AI19,"=РН/РВ"),0)</f>
        <v>21</v>
      </c>
      <c r="AK19" s="202">
        <f>IFERROR(SUMIF(E19:AI19,"=Р2",E20:AI20)+SUMIF(E19:AI19,"=ВЧ/РВ",E20:AI20)+SUMIF(E19:AI19,"=РН/РВ",E20:AI20)+SUMIF(E19:AI19,"=Р1/РВ",E20:AI20)+SUMIF(E19:AI19,"=ВЧ2/РВ",E20:AI20)+SUMIF(E19:AI19,"=Р2/РВ",E20:AI20)+SUMIF(E19:AI19,"=Р",E20:AI20)+SUMIF(E19:AI19,"=Р1",E20:AI20)+SUMIF(E19:AI19,"=ВЧ1",E20:AI20)+SUMIF(E19:AI19,"=РН",E20:AI20)+SUMIF(E19:AI19,"=ВЧ",E20:AI20),0)+AL19</f>
        <v>63</v>
      </c>
      <c r="AL19" s="202">
        <f>IFERROR(SUMIF(E19:AI19,"=НУ",E20:AI20),0)</f>
        <v>0</v>
      </c>
      <c r="AM19" s="202">
        <f>IFERROR(SUMIF(E19:AI19,"=РН",E20:AI20)+SUMIF(E19:AI19,"=РН/РВ",E20:AI20)+SUMIFS(E20:AI20,E19:AI19,"=Р2",E20:AI20,"=8"),0)</f>
        <v>0</v>
      </c>
      <c r="AN19" s="211">
        <f>IFERROR(SUMIF(E19:AI19,"=ВЧ",E20:AI20)+SUMIF(E19:AI19,"=ВЧ/РВ",E20:AI20)+CEILING(COUNTIFS(E19:AI19,"=Р2",E20:AI20,"=7")*4,1)+CEILING(COUNTIFS(E19:AI19,"=Р2/РВ",E20:AI20,"=7")*4,1)+SUMIFS(E20:AI20,E19:AI19,"=Р1/РВ",E20:AI20,"=12")/6+SUMIFS(E20:AI20,E19:AI19,"=ВЧ2/РВ",E20:AI20,"=4")/2+SUMIFS(E20:AI20,E19:AI19,"=Р1",E20:AI20,"=12")/6+SUMIFS(E20:AI20,E19:AI19,"=Р1",E20:AI20,"=8")/4+SUMIF(E19:AI19,"=ВЧ1",E20:AI20)/2,0)</f>
        <v>0</v>
      </c>
      <c r="AO19" s="202">
        <f>IFERROR(SUMIF(E19:AI19,"=РВ",E20:AI20)+SUMIF(E19:AI19,"=ВЧ/РВ",E20:AI20)+SUMIF(E19:AI19,"=РН/РВ",E20:AI20)+SUMIF(E19:AI19,"=Р1/РВ",E20:AI20)+SUMIF(E19:AI19,"=ВЧ2/РВ",E20:AI20)+SUMIF(E19:AI19,"=Р2/РВ",E20:AI20),0)</f>
        <v>0</v>
      </c>
      <c r="AP19" s="202">
        <f>IFERROR(COUNTIF(E19:AI19,"=ВВ")+COUNTIF(E19:AI19,"=Р1/ВВ")+COUNTIF(E19:AI19,"=РН/ВВ")+COUNTIF(E19:AI19,"=ВЧ/ВВ"),0)</f>
        <v>10</v>
      </c>
      <c r="AQ19" s="202">
        <f>SUM(AR19:AZ19)</f>
        <v>0</v>
      </c>
      <c r="AR19" s="202">
        <f>IFERROR(SUMIF(E19:AI19,"=В",E20:AI20)+SUMIF(E19:AI19,"=Ч",E20:AI20)+SUMIF(E19:AI19,"=ВБ",E20:AI20),0)</f>
        <v>0</v>
      </c>
      <c r="AS19" s="202">
        <f>IFERROR(SUMIF(E19:AI19,"=Н",E20:AI20),0)</f>
        <v>0</v>
      </c>
      <c r="AT19" s="202">
        <f>IFERROR(SUMIF(E19:AI19,"=НА",E20:AI20),0)</f>
        <v>0</v>
      </c>
      <c r="AU19" s="202">
        <f>IFERROR(SUMIF(E19:AI19,"=ВП",E20:AI20),0)</f>
        <v>0</v>
      </c>
      <c r="AV19" s="202">
        <f>IFERROR(SUMIF(E19:AI19,"=ДД",E20:AI20),0)</f>
        <v>0</v>
      </c>
      <c r="AW19" s="202">
        <f>IFERROR(SUMIF(E19:AI19,"=ДО",E20:AI20),0)</f>
        <v>0</v>
      </c>
      <c r="AX19" s="202">
        <f>IFERROR(SUMIF(E19:AI19,"=ТН",E20:AI20),0)</f>
        <v>0</v>
      </c>
      <c r="AY19" s="202">
        <f>IFERROR(SUMIF(E19:AI19,"=ВД",E20:AI20),0)</f>
        <v>0</v>
      </c>
      <c r="AZ19" s="200">
        <f>IFERROR(SUMIF(E19:AI19,"=ІН",E20:AI20),0)+SUMIF(E19:AI19,"=НЗ",E20:AI20)</f>
        <v>0</v>
      </c>
    </row>
    <row r="20" spans="1:52" ht="20.100000000000001" customHeight="1" thickBot="1" x14ac:dyDescent="0.25">
      <c r="A20" s="290"/>
      <c r="B20" s="229"/>
      <c r="C20" s="229"/>
      <c r="D20" s="280"/>
      <c r="E20" s="192"/>
      <c r="F20" s="192"/>
      <c r="G20" s="192">
        <v>3</v>
      </c>
      <c r="H20" s="192">
        <v>3</v>
      </c>
      <c r="I20" s="192">
        <v>3</v>
      </c>
      <c r="J20" s="192">
        <v>3</v>
      </c>
      <c r="K20" s="192">
        <v>3</v>
      </c>
      <c r="L20" s="192"/>
      <c r="M20" s="192"/>
      <c r="N20" s="192">
        <v>3</v>
      </c>
      <c r="O20" s="192">
        <v>3</v>
      </c>
      <c r="P20" s="192">
        <v>3</v>
      </c>
      <c r="Q20" s="192">
        <v>3</v>
      </c>
      <c r="R20" s="192">
        <v>3</v>
      </c>
      <c r="S20" s="192"/>
      <c r="T20" s="192"/>
      <c r="U20" s="192">
        <v>3</v>
      </c>
      <c r="V20" s="192">
        <v>3</v>
      </c>
      <c r="W20" s="192">
        <v>3</v>
      </c>
      <c r="X20" s="192">
        <v>3</v>
      </c>
      <c r="Y20" s="192">
        <v>3</v>
      </c>
      <c r="Z20" s="192"/>
      <c r="AA20" s="192"/>
      <c r="AB20" s="192">
        <v>3</v>
      </c>
      <c r="AC20" s="192">
        <v>3</v>
      </c>
      <c r="AD20" s="192">
        <v>3</v>
      </c>
      <c r="AE20" s="192">
        <v>3</v>
      </c>
      <c r="AF20" s="192">
        <v>3</v>
      </c>
      <c r="AG20" s="192"/>
      <c r="AH20" s="192"/>
      <c r="AI20" s="192">
        <v>3</v>
      </c>
      <c r="AJ20" s="214"/>
      <c r="AK20" s="203"/>
      <c r="AL20" s="203"/>
      <c r="AM20" s="203"/>
      <c r="AN20" s="212"/>
      <c r="AO20" s="203"/>
      <c r="AP20" s="203"/>
      <c r="AQ20" s="203"/>
      <c r="AR20" s="203"/>
      <c r="AS20" s="203"/>
      <c r="AT20" s="203"/>
      <c r="AU20" s="203"/>
      <c r="AV20" s="203"/>
      <c r="AW20" s="203"/>
      <c r="AX20" s="203"/>
      <c r="AY20" s="203"/>
      <c r="AZ20" s="201"/>
    </row>
    <row r="21" spans="1:52" s="187" customFormat="1" ht="20.100000000000001" customHeight="1" x14ac:dyDescent="0.2">
      <c r="A21" s="289">
        <f t="shared" ref="A21:A23" si="0">A19+1</f>
        <v>3</v>
      </c>
      <c r="B21" s="228" t="s">
        <v>463</v>
      </c>
      <c r="C21" s="228">
        <v>2161</v>
      </c>
      <c r="D21" s="279" t="s">
        <v>65</v>
      </c>
      <c r="E21" s="191" t="s">
        <v>142</v>
      </c>
      <c r="F21" s="191" t="s">
        <v>142</v>
      </c>
      <c r="G21" s="191" t="s">
        <v>4</v>
      </c>
      <c r="H21" s="191" t="s">
        <v>4</v>
      </c>
      <c r="I21" s="191" t="s">
        <v>4</v>
      </c>
      <c r="J21" s="191" t="s">
        <v>4</v>
      </c>
      <c r="K21" s="191" t="s">
        <v>4</v>
      </c>
      <c r="L21" s="191" t="s">
        <v>142</v>
      </c>
      <c r="M21" s="191" t="s">
        <v>142</v>
      </c>
      <c r="N21" s="191" t="s">
        <v>4</v>
      </c>
      <c r="O21" s="191" t="s">
        <v>4</v>
      </c>
      <c r="P21" s="191" t="s">
        <v>4</v>
      </c>
      <c r="Q21" s="191" t="s">
        <v>4</v>
      </c>
      <c r="R21" s="191" t="s">
        <v>4</v>
      </c>
      <c r="S21" s="191" t="s">
        <v>142</v>
      </c>
      <c r="T21" s="191" t="s">
        <v>142</v>
      </c>
      <c r="U21" s="191" t="s">
        <v>52</v>
      </c>
      <c r="V21" s="191" t="s">
        <v>52</v>
      </c>
      <c r="W21" s="191" t="s">
        <v>52</v>
      </c>
      <c r="X21" s="191" t="s">
        <v>52</v>
      </c>
      <c r="Y21" s="191" t="s">
        <v>52</v>
      </c>
      <c r="Z21" s="191" t="s">
        <v>52</v>
      </c>
      <c r="AA21" s="191" t="s">
        <v>52</v>
      </c>
      <c r="AB21" s="191" t="s">
        <v>52</v>
      </c>
      <c r="AC21" s="191" t="s">
        <v>52</v>
      </c>
      <c r="AD21" s="191" t="s">
        <v>52</v>
      </c>
      <c r="AE21" s="191" t="s">
        <v>4</v>
      </c>
      <c r="AF21" s="191" t="s">
        <v>4</v>
      </c>
      <c r="AG21" s="191" t="s">
        <v>142</v>
      </c>
      <c r="AH21" s="191" t="s">
        <v>142</v>
      </c>
      <c r="AI21" s="191" t="s">
        <v>4</v>
      </c>
      <c r="AJ21" s="213">
        <f>IFERROR(COUNTIF(E21:AI21,"=Р")+COUNTIF(E21:AI21,"=Р1")+COUNTIF(E21:AI21,"=ВЧ")+COUNTIF(E21:AI21,"=РН")+COUNTIF(E21:AI21,"=Р2")+COUNTIF(E21:AI21,"=Р1/РВ")+COUNTIF(E21:AI21,"=Р2/РВ")+COUNTIF(E21:AI21,"=ВЧ/РВ")+COUNTIF(E21:AI21,"=РН/РВ"),0)</f>
        <v>13</v>
      </c>
      <c r="AK21" s="202">
        <f>IFERROR(SUMIF(E21:AI21,"=Р2",E22:AI22)+SUMIF(E21:AI21,"=ВЧ/РВ",E22:AI22)+SUMIF(E21:AI21,"=РН/РВ",E22:AI22)+SUMIF(E21:AI21,"=Р1/РВ",E22:AI22)+SUMIF(E21:AI21,"=ВЧ2/РВ",E22:AI22)+SUMIF(E21:AI21,"=Р2/РВ",E22:AI22)+SUMIF(E21:AI21,"=Р",E22:AI22)+SUMIF(E21:AI21,"=Р1",E22:AI22)+SUMIF(E21:AI21,"=ВЧ1",E22:AI22)+SUMIF(E21:AI21,"=РН",E22:AI22)+SUMIF(E21:AI21,"=ВЧ",E22:AI22),0)+AL21</f>
        <v>103.40000000000002</v>
      </c>
      <c r="AL21" s="202">
        <f>IFERROR(SUMIF(E21:AI21,"=НУ",E22:AI22),0)</f>
        <v>0</v>
      </c>
      <c r="AM21" s="202">
        <f>IFERROR(SUMIF(E21:AI21,"=РН",E22:AI22)+SUMIF(E21:AI21,"=РН/РВ",E22:AI22)+SUMIFS(E22:AI22,E21:AI21,"=Р2",E22:AI22,"=8"),0)</f>
        <v>0</v>
      </c>
      <c r="AN21" s="211">
        <f>IFERROR(SUMIF(E21:AI21,"=ВЧ",E22:AI22)+SUMIF(E21:AI21,"=ВЧ/РВ",E22:AI22)+CEILING(COUNTIFS(E21:AI21,"=Р2",E22:AI22,"=7")*4,1)+CEILING(COUNTIFS(E21:AI21,"=Р2/РВ",E22:AI22,"=7")*4,1)+SUMIFS(E22:AI22,E21:AI21,"=Р1/РВ",E22:AI22,"=12")/6+SUMIFS(E22:AI22,E21:AI21,"=ВЧ2/РВ",E22:AI22,"=4")/2+SUMIFS(E22:AI22,E21:AI21,"=Р1",E22:AI22,"=12")/6+SUMIFS(E22:AI22,E21:AI21,"=Р1",E22:AI22,"=8")/4+SUMIF(E21:AI21,"=ВЧ1",E22:AI22)/2,0)</f>
        <v>0</v>
      </c>
      <c r="AO21" s="202">
        <f>IFERROR(SUMIF(E21:AI21,"=РВ",E22:AI22)+SUMIF(E21:AI21,"=ВЧ/РВ",E22:AI22)+SUMIF(E21:AI21,"=РН/РВ",E22:AI22)+SUMIF(E21:AI21,"=Р1/РВ",E22:AI22)+SUMIF(E21:AI21,"=ВЧ2/РВ",E22:AI22)+SUMIF(E21:AI21,"=Р2/РВ",E22:AI22),0)</f>
        <v>0</v>
      </c>
      <c r="AP21" s="202">
        <f>IFERROR(COUNTIF(E21:AI21,"=ВВ")+COUNTIF(E21:AI21,"=Р1/ВВ")+COUNTIF(E21:AI21,"=РН/ВВ")+COUNTIF(E21:AI21,"=ВЧ/ВВ"),0)</f>
        <v>8</v>
      </c>
      <c r="AQ21" s="202">
        <f>SUM(AR21:AZ21)</f>
        <v>64.600000000000009</v>
      </c>
      <c r="AR21" s="202">
        <f>IFERROR(SUMIF(E21:AI21,"=В",E22:AI22)+SUMIF(E21:AI21,"=Ч",E22:AI22)+SUMIF(E21:AI21,"=ВБ",E22:AI22),0)</f>
        <v>0</v>
      </c>
      <c r="AS21" s="202">
        <f>IFERROR(SUMIF(E21:AI21,"=Н",E22:AI22),0)</f>
        <v>0</v>
      </c>
      <c r="AT21" s="202">
        <f>IFERROR(SUMIF(E21:AI21,"=НА",E22:AI22),0)</f>
        <v>0</v>
      </c>
      <c r="AU21" s="202">
        <f>IFERROR(SUMIF(E21:AI21,"=ВП",E22:AI22),0)</f>
        <v>0</v>
      </c>
      <c r="AV21" s="202">
        <f>IFERROR(SUMIF(E21:AI21,"=ДД",E22:AI22),0)</f>
        <v>0</v>
      </c>
      <c r="AW21" s="202">
        <f>IFERROR(SUMIF(E21:AI21,"=ДО",E22:AI22),0)</f>
        <v>0</v>
      </c>
      <c r="AX21" s="202">
        <f>IFERROR(SUMIF(E21:AI21,"=ТН",E22:AI22),0)</f>
        <v>64.600000000000009</v>
      </c>
      <c r="AY21" s="202">
        <f>IFERROR(SUMIF(E21:AI21,"=ВД",E22:AI22),0)</f>
        <v>0</v>
      </c>
      <c r="AZ21" s="200">
        <f>IFERROR(SUMIF(E21:AI21,"=ІН",E22:AI22),0)+SUMIF(E21:AI21,"=НЗ",E22:AI22)</f>
        <v>0</v>
      </c>
    </row>
    <row r="22" spans="1:52" s="187" customFormat="1" ht="20.100000000000001" customHeight="1" thickBot="1" x14ac:dyDescent="0.25">
      <c r="A22" s="290"/>
      <c r="B22" s="229"/>
      <c r="C22" s="229"/>
      <c r="D22" s="280"/>
      <c r="E22" s="192"/>
      <c r="F22" s="192"/>
      <c r="G22" s="192">
        <v>8.1999999999999993</v>
      </c>
      <c r="H22" s="192">
        <v>8.1999999999999993</v>
      </c>
      <c r="I22" s="192">
        <v>8.1999999999999993</v>
      </c>
      <c r="J22" s="192">
        <v>8.1999999999999993</v>
      </c>
      <c r="K22" s="192">
        <v>7</v>
      </c>
      <c r="L22" s="192"/>
      <c r="M22" s="192"/>
      <c r="N22" s="192">
        <v>8.1999999999999993</v>
      </c>
      <c r="O22" s="192">
        <v>8.1999999999999993</v>
      </c>
      <c r="P22" s="192">
        <v>8.1999999999999993</v>
      </c>
      <c r="Q22" s="192">
        <v>8.1999999999999993</v>
      </c>
      <c r="R22" s="192">
        <v>7.2</v>
      </c>
      <c r="S22" s="192"/>
      <c r="T22" s="192"/>
      <c r="U22" s="192">
        <v>8.1999999999999993</v>
      </c>
      <c r="V22" s="192">
        <v>8.1999999999999993</v>
      </c>
      <c r="W22" s="192">
        <v>8.1999999999999993</v>
      </c>
      <c r="X22" s="192">
        <v>8.1999999999999993</v>
      </c>
      <c r="Y22" s="192">
        <v>7.2</v>
      </c>
      <c r="Z22" s="192"/>
      <c r="AA22" s="192"/>
      <c r="AB22" s="192">
        <v>8.1999999999999993</v>
      </c>
      <c r="AC22" s="192">
        <v>8.1999999999999993</v>
      </c>
      <c r="AD22" s="192">
        <v>8.1999999999999993</v>
      </c>
      <c r="AE22" s="192">
        <v>8.1999999999999993</v>
      </c>
      <c r="AF22" s="192">
        <v>7.2</v>
      </c>
      <c r="AG22" s="192"/>
      <c r="AH22" s="192"/>
      <c r="AI22" s="192">
        <v>8.1999999999999993</v>
      </c>
      <c r="AJ22" s="214"/>
      <c r="AK22" s="203"/>
      <c r="AL22" s="203"/>
      <c r="AM22" s="203"/>
      <c r="AN22" s="212"/>
      <c r="AO22" s="203"/>
      <c r="AP22" s="203"/>
      <c r="AQ22" s="203"/>
      <c r="AR22" s="203"/>
      <c r="AS22" s="203"/>
      <c r="AT22" s="203"/>
      <c r="AU22" s="203"/>
      <c r="AV22" s="203"/>
      <c r="AW22" s="203"/>
      <c r="AX22" s="203"/>
      <c r="AY22" s="203"/>
      <c r="AZ22" s="201"/>
    </row>
    <row r="23" spans="1:52" ht="20.100000000000001" customHeight="1" x14ac:dyDescent="0.2">
      <c r="A23" s="289">
        <f t="shared" si="0"/>
        <v>4</v>
      </c>
      <c r="B23" s="228" t="s">
        <v>351</v>
      </c>
      <c r="C23" s="228">
        <v>2122</v>
      </c>
      <c r="D23" s="279" t="s">
        <v>65</v>
      </c>
      <c r="E23" s="191" t="s">
        <v>142</v>
      </c>
      <c r="F23" s="191" t="s">
        <v>142</v>
      </c>
      <c r="G23" s="191" t="s">
        <v>4</v>
      </c>
      <c r="H23" s="191" t="s">
        <v>4</v>
      </c>
      <c r="I23" s="191" t="s">
        <v>4</v>
      </c>
      <c r="J23" s="191" t="s">
        <v>48</v>
      </c>
      <c r="K23" s="191" t="s">
        <v>4</v>
      </c>
      <c r="L23" s="191" t="s">
        <v>142</v>
      </c>
      <c r="M23" s="191" t="s">
        <v>142</v>
      </c>
      <c r="N23" s="191" t="s">
        <v>4</v>
      </c>
      <c r="O23" s="191" t="s">
        <v>4</v>
      </c>
      <c r="P23" s="191" t="s">
        <v>4</v>
      </c>
      <c r="Q23" s="191" t="s">
        <v>4</v>
      </c>
      <c r="R23" s="191" t="s">
        <v>4</v>
      </c>
      <c r="S23" s="191" t="s">
        <v>142</v>
      </c>
      <c r="T23" s="191" t="s">
        <v>142</v>
      </c>
      <c r="U23" s="191" t="s">
        <v>52</v>
      </c>
      <c r="V23" s="191" t="s">
        <v>52</v>
      </c>
      <c r="W23" s="191" t="s">
        <v>52</v>
      </c>
      <c r="X23" s="191" t="s">
        <v>52</v>
      </c>
      <c r="Y23" s="191" t="s">
        <v>52</v>
      </c>
      <c r="Z23" s="191" t="s">
        <v>142</v>
      </c>
      <c r="AA23" s="191" t="s">
        <v>142</v>
      </c>
      <c r="AB23" s="191" t="s">
        <v>4</v>
      </c>
      <c r="AC23" s="191" t="s">
        <v>4</v>
      </c>
      <c r="AD23" s="191" t="s">
        <v>4</v>
      </c>
      <c r="AE23" s="191" t="s">
        <v>4</v>
      </c>
      <c r="AF23" s="191" t="s">
        <v>4</v>
      </c>
      <c r="AG23" s="191" t="s">
        <v>142</v>
      </c>
      <c r="AH23" s="191" t="s">
        <v>142</v>
      </c>
      <c r="AI23" s="191" t="s">
        <v>4</v>
      </c>
      <c r="AJ23" s="213">
        <f>IFERROR(COUNTIF(E23:AI23,"=Р")+COUNTIF(E23:AI23,"=Р1")+COUNTIF(E23:AI23,"=ВЧ")+COUNTIF(E23:AI23,"=РН")+COUNTIF(E23:AI23,"=Р2")+COUNTIF(E23:AI23,"=Р1/РВ")+COUNTIF(E23:AI23,"=Р2/РВ")+COUNTIF(E23:AI23,"=ВЧ/РВ")+COUNTIF(E23:AI23,"=РН/РВ"),0)</f>
        <v>15</v>
      </c>
      <c r="AK23" s="202">
        <f>IFERROR(SUMIF(E23:AI23,"=Р2",E24:AI24)+SUMIF(E23:AI23,"=ВЧ/РВ",E24:AI24)+SUMIF(E23:AI23,"=РН/РВ",E24:AI24)+SUMIF(E23:AI23,"=Р1/РВ",E24:AI24)+SUMIF(E23:AI23,"=ВЧ2/РВ",E24:AI24)+SUMIF(E23:AI23,"=Р2/РВ",E24:AI24)+SUMIF(E23:AI23,"=Р",E24:AI24)+SUMIF(E23:AI23,"=Р1",E24:AI24)+SUMIF(E23:AI23,"=ВЧ1",E24:AI24)+SUMIF(E23:AI23,"=РН",E24:AI24)+SUMIF(E23:AI23,"=ВЧ",E24:AI24),0)+AL23</f>
        <v>119.80000000000003</v>
      </c>
      <c r="AL23" s="202">
        <f>IFERROR(SUMIF(E23:AI23,"=НУ",E24:AI24),0)</f>
        <v>0</v>
      </c>
      <c r="AM23" s="202">
        <f>IFERROR(SUMIF(E23:AI23,"=РН",E24:AI24)+SUMIF(E23:AI23,"=РН/РВ",E24:AI24)+SUMIFS(E24:AI24,E23:AI23,"=Р2",E24:AI24,"=8"),0)</f>
        <v>0</v>
      </c>
      <c r="AN23" s="211">
        <f>IFERROR(SUMIF(E23:AI23,"=ВЧ",E24:AI24)+SUMIF(E23:AI23,"=ВЧ/РВ",E24:AI24)+CEILING(COUNTIFS(E23:AI23,"=Р2",E24:AI24,"=7")*4,1)+CEILING(COUNTIFS(E23:AI23,"=Р2/РВ",E24:AI24,"=7")*4,1)+SUMIFS(E24:AI24,E23:AI23,"=Р1/РВ",E24:AI24,"=12")/6+SUMIFS(E24:AI24,E23:AI23,"=ВЧ2/РВ",E24:AI24,"=4")/2+SUMIFS(E24:AI24,E23:AI23,"=Р1",E24:AI24,"=12")/6+SUMIFS(E24:AI24,E23:AI23,"=Р1",E24:AI24,"=8")/4+SUMIF(E23:AI23,"=ВЧ1",E24:AI24)/2,0)</f>
        <v>0</v>
      </c>
      <c r="AO23" s="202">
        <f>IFERROR(SUMIF(E23:AI23,"=РВ",E24:AI24)+SUMIF(E23:AI23,"=ВЧ/РВ",E24:AI24)+SUMIF(E23:AI23,"=РН/РВ",E24:AI24)+SUMIF(E23:AI23,"=Р1/РВ",E24:AI24)+SUMIF(E23:AI23,"=ВЧ2/РВ",E24:AI24)+SUMIF(E23:AI23,"=Р2/РВ",E24:AI24),0)</f>
        <v>0</v>
      </c>
      <c r="AP23" s="202">
        <f>IFERROR(COUNTIF(E23:AI23,"=ВВ")+COUNTIF(E23:AI23,"=Р1/ВВ")+COUNTIF(E23:AI23,"=РН/ВВ")+COUNTIF(E23:AI23,"=ВЧ/ВВ"),0)</f>
        <v>10</v>
      </c>
      <c r="AQ23" s="202">
        <f>SUM(AR23:AZ23)</f>
        <v>48.2</v>
      </c>
      <c r="AR23" s="202">
        <f>IFERROR(SUMIF(E23:AI23,"=В",E24:AI24)+SUMIF(E23:AI23,"=Ч",E24:AI24)+SUMIF(E23:AI23,"=ВБ",E24:AI24),0)</f>
        <v>0</v>
      </c>
      <c r="AS23" s="202">
        <f>IFERROR(SUMIF(E23:AI23,"=Н",E24:AI24),0)</f>
        <v>0</v>
      </c>
      <c r="AT23" s="202">
        <f>IFERROR(SUMIF(E23:AI23,"=НА",E24:AI24),0)</f>
        <v>0</v>
      </c>
      <c r="AU23" s="202">
        <f>IFERROR(SUMIF(E23:AI23,"=ВП",E24:AI24),0)</f>
        <v>0</v>
      </c>
      <c r="AV23" s="202">
        <f>IFERROR(SUMIF(E23:AI23,"=ДД",E24:AI24),0)</f>
        <v>0</v>
      </c>
      <c r="AW23" s="202">
        <f>IFERROR(SUMIF(E23:AI23,"=ДО",E24:AI24),0)</f>
        <v>0</v>
      </c>
      <c r="AX23" s="202">
        <f>IFERROR(SUMIF(E23:AI23,"=ТН",E24:AI24),0)</f>
        <v>40</v>
      </c>
      <c r="AY23" s="202">
        <f>IFERROR(SUMIF(E23:AI23,"=ВД",E24:AI24),0)</f>
        <v>8.1999999999999993</v>
      </c>
      <c r="AZ23" s="200">
        <f>IFERROR(SUMIF(E23:AI23,"=ІН",E24:AI24),0)+SUMIF(E23:AI23,"=НЗ",E24:AI24)</f>
        <v>0</v>
      </c>
    </row>
    <row r="24" spans="1:52" ht="20.100000000000001" customHeight="1" thickBot="1" x14ac:dyDescent="0.25">
      <c r="A24" s="290"/>
      <c r="B24" s="229"/>
      <c r="C24" s="229"/>
      <c r="D24" s="280"/>
      <c r="E24" s="192"/>
      <c r="F24" s="192"/>
      <c r="G24" s="192">
        <v>8.1999999999999993</v>
      </c>
      <c r="H24" s="192">
        <v>8.1999999999999993</v>
      </c>
      <c r="I24" s="192">
        <v>8.1999999999999993</v>
      </c>
      <c r="J24" s="192">
        <v>8.1999999999999993</v>
      </c>
      <c r="K24" s="192">
        <v>7</v>
      </c>
      <c r="L24" s="192"/>
      <c r="M24" s="192"/>
      <c r="N24" s="192">
        <v>8.1999999999999993</v>
      </c>
      <c r="O24" s="192">
        <v>8.1999999999999993</v>
      </c>
      <c r="P24" s="192">
        <v>8.1999999999999993</v>
      </c>
      <c r="Q24" s="192">
        <v>8.1999999999999993</v>
      </c>
      <c r="R24" s="192">
        <v>7.2</v>
      </c>
      <c r="S24" s="192"/>
      <c r="T24" s="192"/>
      <c r="U24" s="192">
        <v>8.1999999999999993</v>
      </c>
      <c r="V24" s="192">
        <v>8.1999999999999993</v>
      </c>
      <c r="W24" s="192">
        <v>8.1999999999999993</v>
      </c>
      <c r="X24" s="192">
        <v>8.1999999999999993</v>
      </c>
      <c r="Y24" s="192">
        <v>7.2</v>
      </c>
      <c r="Z24" s="192"/>
      <c r="AA24" s="192"/>
      <c r="AB24" s="192">
        <v>8.1999999999999993</v>
      </c>
      <c r="AC24" s="192">
        <v>8.1999999999999993</v>
      </c>
      <c r="AD24" s="192">
        <v>8.1999999999999993</v>
      </c>
      <c r="AE24" s="192">
        <v>8.1999999999999993</v>
      </c>
      <c r="AF24" s="192">
        <v>7.2</v>
      </c>
      <c r="AG24" s="192"/>
      <c r="AH24" s="192"/>
      <c r="AI24" s="192">
        <v>8.1999999999999993</v>
      </c>
      <c r="AJ24" s="214"/>
      <c r="AK24" s="203"/>
      <c r="AL24" s="203"/>
      <c r="AM24" s="203"/>
      <c r="AN24" s="212"/>
      <c r="AO24" s="203"/>
      <c r="AP24" s="203"/>
      <c r="AQ24" s="203"/>
      <c r="AR24" s="203"/>
      <c r="AS24" s="203"/>
      <c r="AT24" s="203"/>
      <c r="AU24" s="203"/>
      <c r="AV24" s="203"/>
      <c r="AW24" s="203"/>
      <c r="AX24" s="203"/>
      <c r="AY24" s="203"/>
      <c r="AZ24" s="201"/>
    </row>
    <row r="25" spans="1:52" ht="20.100000000000001" customHeight="1" x14ac:dyDescent="0.2">
      <c r="A25" s="289">
        <f t="shared" ref="A25" si="1">A23+1</f>
        <v>5</v>
      </c>
      <c r="B25" s="228" t="s">
        <v>231</v>
      </c>
      <c r="C25" s="228">
        <v>591</v>
      </c>
      <c r="D25" s="279" t="s">
        <v>65</v>
      </c>
      <c r="E25" s="191" t="s">
        <v>3</v>
      </c>
      <c r="F25" s="191" t="s">
        <v>3</v>
      </c>
      <c r="G25" s="191" t="s">
        <v>3</v>
      </c>
      <c r="H25" s="191" t="s">
        <v>3</v>
      </c>
      <c r="I25" s="191" t="s">
        <v>3</v>
      </c>
      <c r="J25" s="191" t="s">
        <v>3</v>
      </c>
      <c r="K25" s="191" t="s">
        <v>3</v>
      </c>
      <c r="L25" s="191" t="s">
        <v>3</v>
      </c>
      <c r="M25" s="191" t="s">
        <v>3</v>
      </c>
      <c r="N25" s="191" t="s">
        <v>3</v>
      </c>
      <c r="O25" s="191" t="s">
        <v>3</v>
      </c>
      <c r="P25" s="191" t="s">
        <v>3</v>
      </c>
      <c r="Q25" s="191" t="s">
        <v>4</v>
      </c>
      <c r="R25" s="191" t="s">
        <v>4</v>
      </c>
      <c r="S25" s="191" t="s">
        <v>142</v>
      </c>
      <c r="T25" s="191" t="s">
        <v>142</v>
      </c>
      <c r="U25" s="191" t="s">
        <v>4</v>
      </c>
      <c r="V25" s="191" t="s">
        <v>3</v>
      </c>
      <c r="W25" s="191" t="s">
        <v>4</v>
      </c>
      <c r="X25" s="191" t="s">
        <v>4</v>
      </c>
      <c r="Y25" s="191" t="s">
        <v>4</v>
      </c>
      <c r="Z25" s="191" t="s">
        <v>142</v>
      </c>
      <c r="AA25" s="191" t="s">
        <v>142</v>
      </c>
      <c r="AB25" s="191" t="s">
        <v>4</v>
      </c>
      <c r="AC25" s="191" t="s">
        <v>4</v>
      </c>
      <c r="AD25" s="191" t="s">
        <v>4</v>
      </c>
      <c r="AE25" s="191" t="s">
        <v>4</v>
      </c>
      <c r="AF25" s="191" t="s">
        <v>4</v>
      </c>
      <c r="AG25" s="191" t="s">
        <v>142</v>
      </c>
      <c r="AH25" s="191" t="s">
        <v>142</v>
      </c>
      <c r="AI25" s="191" t="s">
        <v>4</v>
      </c>
      <c r="AJ25" s="213">
        <f>IFERROR(COUNTIF(E25:AI25,"=Р")+COUNTIF(E25:AI25,"=Р1")+COUNTIF(E25:AI25,"=ВЧ")+COUNTIF(E25:AI25,"=РН")+COUNTIF(E25:AI25,"=Р2")+COUNTIF(E25:AI25,"=Р1/РВ")+COUNTIF(E25:AI25,"=Р2/РВ")+COUNTIF(E25:AI25,"=ВЧ/РВ")+COUNTIF(E25:AI25,"=РН/РВ"),0)</f>
        <v>12</v>
      </c>
      <c r="AK25" s="202">
        <f>IFERROR(SUMIF(E25:AI25,"=Р2",E26:AI26)+SUMIF(E25:AI25,"=ВЧ/РВ",E26:AI26)+SUMIF(E25:AI25,"=РН/РВ",E26:AI26)+SUMIF(E25:AI25,"=Р1/РВ",E26:AI26)+SUMIF(E25:AI25,"=ВЧ2/РВ",E26:AI26)+SUMIF(E25:AI25,"=Р2/РВ",E26:AI26)+SUMIF(E25:AI25,"=Р",E26:AI26)+SUMIF(E25:AI25,"=Р1",E26:AI26)+SUMIF(E25:AI25,"=ВЧ1",E26:AI26)+SUMIF(E25:AI25,"=РН",E26:AI26)+SUMIF(E25:AI25,"=ВЧ",E26:AI26),0)+AL25</f>
        <v>95.40000000000002</v>
      </c>
      <c r="AL25" s="202">
        <f>IFERROR(SUMIF(E25:AI25,"=НУ",E26:AI26),0)</f>
        <v>0</v>
      </c>
      <c r="AM25" s="202">
        <f>IFERROR(SUMIF(E25:AI25,"=РН",E26:AI26)+SUMIF(E25:AI25,"=РН/РВ",E26:AI26)+SUMIFS(E26:AI26,E25:AI25,"=Р2",E26:AI26,"=8"),0)</f>
        <v>0</v>
      </c>
      <c r="AN25" s="211">
        <f>IFERROR(SUMIF(E25:AI25,"=ВЧ",E26:AI26)+SUMIF(E25:AI25,"=ВЧ/РВ",E26:AI26)+CEILING(COUNTIFS(E25:AI25,"=Р2",E26:AI26,"=7")*4,1)+CEILING(COUNTIFS(E25:AI25,"=Р2/РВ",E26:AI26,"=7")*4,1)+SUMIFS(E26:AI26,E25:AI25,"=Р1/РВ",E26:AI26,"=12")/6+SUMIFS(E26:AI26,E25:AI25,"=ВЧ2/РВ",E26:AI26,"=4")/2+SUMIFS(E26:AI26,E25:AI25,"=Р1",E26:AI26,"=12")/6+SUMIFS(E26:AI26,E25:AI25,"=Р1",E26:AI26,"=8")/4+SUMIF(E25:AI25,"=ВЧ1",E26:AI26)/2,0)</f>
        <v>0</v>
      </c>
      <c r="AO25" s="202">
        <f>IFERROR(SUMIF(E25:AI25,"=РВ",E26:AI26)+SUMIF(E25:AI25,"=ВЧ/РВ",E26:AI26)+SUMIF(E25:AI25,"=РН/РВ",E26:AI26)+SUMIF(E25:AI25,"=Р1/РВ",E26:AI26)+SUMIF(E25:AI25,"=ВЧ2/РВ",E26:AI26)+SUMIF(E25:AI25,"=Р2/РВ",E26:AI26),0)</f>
        <v>0</v>
      </c>
      <c r="AP25" s="202">
        <f>IFERROR(COUNTIF(E25:AI25,"=ВВ")+COUNTIF(E25:AI25,"=Р1/ВВ")+COUNTIF(E25:AI25,"=РН/ВВ")+COUNTIF(E25:AI25,"=ВЧ/ВВ"),0)</f>
        <v>6</v>
      </c>
      <c r="AQ25" s="202">
        <f>SUM(AR25:AZ25)</f>
        <v>72.600000000000009</v>
      </c>
      <c r="AR25" s="202">
        <f>IFERROR(SUMIF(E25:AI25,"=В",E26:AI26)+SUMIF(E25:AI25,"=Ч",E26:AI26)+SUMIF(E25:AI25,"=ВБ",E26:AI26),0)</f>
        <v>72.600000000000009</v>
      </c>
      <c r="AS25" s="202">
        <f>IFERROR(SUMIF(E25:AI25,"=Н",E26:AI26),0)</f>
        <v>0</v>
      </c>
      <c r="AT25" s="202">
        <f>IFERROR(SUMIF(E25:AI25,"=НА",E26:AI26),0)</f>
        <v>0</v>
      </c>
      <c r="AU25" s="202">
        <f>IFERROR(SUMIF(E25:AI25,"=ВП",E26:AI26),0)</f>
        <v>0</v>
      </c>
      <c r="AV25" s="202">
        <f>IFERROR(SUMIF(E25:AI25,"=ДД",E26:AI26),0)</f>
        <v>0</v>
      </c>
      <c r="AW25" s="202">
        <f>IFERROR(SUMIF(E25:AI25,"=ДО",E26:AI26),0)</f>
        <v>0</v>
      </c>
      <c r="AX25" s="202">
        <f>IFERROR(SUMIF(E25:AI25,"=ТН",E26:AI26),0)</f>
        <v>0</v>
      </c>
      <c r="AY25" s="202">
        <f>IFERROR(SUMIF(E25:AI25,"=ВД",E26:AI26),0)</f>
        <v>0</v>
      </c>
      <c r="AZ25" s="200">
        <f>IFERROR(SUMIF(E25:AI25,"=ІН",E26:AI26),0)+SUMIF(E25:AI25,"=НЗ",E26:AI26)</f>
        <v>0</v>
      </c>
    </row>
    <row r="26" spans="1:52" ht="20.100000000000001" customHeight="1" thickBot="1" x14ac:dyDescent="0.25">
      <c r="A26" s="290"/>
      <c r="B26" s="229"/>
      <c r="C26" s="229"/>
      <c r="D26" s="280"/>
      <c r="E26" s="192"/>
      <c r="F26" s="192"/>
      <c r="G26" s="192">
        <v>8.1999999999999993</v>
      </c>
      <c r="H26" s="192">
        <v>8.1999999999999993</v>
      </c>
      <c r="I26" s="192">
        <v>8.1999999999999993</v>
      </c>
      <c r="J26" s="192">
        <v>8.1999999999999993</v>
      </c>
      <c r="K26" s="192">
        <v>7</v>
      </c>
      <c r="L26" s="192"/>
      <c r="M26" s="192"/>
      <c r="N26" s="192">
        <v>8.1999999999999993</v>
      </c>
      <c r="O26" s="192">
        <v>8.1999999999999993</v>
      </c>
      <c r="P26" s="192">
        <v>8.1999999999999993</v>
      </c>
      <c r="Q26" s="192">
        <v>8.1999999999999993</v>
      </c>
      <c r="R26" s="192">
        <v>7.2</v>
      </c>
      <c r="S26" s="192"/>
      <c r="T26" s="192"/>
      <c r="U26" s="192">
        <v>8.1999999999999993</v>
      </c>
      <c r="V26" s="192">
        <v>8.1999999999999993</v>
      </c>
      <c r="W26" s="192">
        <v>8.1999999999999993</v>
      </c>
      <c r="X26" s="192">
        <v>8.1999999999999993</v>
      </c>
      <c r="Y26" s="192">
        <v>7.2</v>
      </c>
      <c r="Z26" s="192"/>
      <c r="AA26" s="192"/>
      <c r="AB26" s="192">
        <v>8.1999999999999993</v>
      </c>
      <c r="AC26" s="192">
        <v>8.1999999999999993</v>
      </c>
      <c r="AD26" s="192">
        <v>8.1999999999999993</v>
      </c>
      <c r="AE26" s="192">
        <v>8.1999999999999993</v>
      </c>
      <c r="AF26" s="192">
        <v>7.2</v>
      </c>
      <c r="AG26" s="192"/>
      <c r="AH26" s="192"/>
      <c r="AI26" s="192">
        <v>8.1999999999999993</v>
      </c>
      <c r="AJ26" s="214"/>
      <c r="AK26" s="203"/>
      <c r="AL26" s="203"/>
      <c r="AM26" s="203"/>
      <c r="AN26" s="212"/>
      <c r="AO26" s="203"/>
      <c r="AP26" s="203"/>
      <c r="AQ26" s="203"/>
      <c r="AR26" s="203"/>
      <c r="AS26" s="203"/>
      <c r="AT26" s="203"/>
      <c r="AU26" s="203"/>
      <c r="AV26" s="203"/>
      <c r="AW26" s="203"/>
      <c r="AX26" s="203"/>
      <c r="AY26" s="203"/>
      <c r="AZ26" s="201"/>
    </row>
    <row r="27" spans="1:52" s="128" customFormat="1" ht="20.100000000000001" customHeight="1" x14ac:dyDescent="0.2">
      <c r="A27" s="289">
        <f t="shared" ref="A27" si="2">A25+1</f>
        <v>6</v>
      </c>
      <c r="B27" s="228" t="s">
        <v>314</v>
      </c>
      <c r="C27" s="228">
        <v>2196</v>
      </c>
      <c r="D27" s="279" t="s">
        <v>72</v>
      </c>
      <c r="E27" s="191" t="s">
        <v>142</v>
      </c>
      <c r="F27" s="191" t="s">
        <v>142</v>
      </c>
      <c r="G27" s="191" t="s">
        <v>4</v>
      </c>
      <c r="H27" s="191" t="s">
        <v>4</v>
      </c>
      <c r="I27" s="191" t="s">
        <v>4</v>
      </c>
      <c r="J27" s="191" t="s">
        <v>4</v>
      </c>
      <c r="K27" s="191" t="s">
        <v>4</v>
      </c>
      <c r="L27" s="191" t="s">
        <v>142</v>
      </c>
      <c r="M27" s="191" t="s">
        <v>142</v>
      </c>
      <c r="N27" s="191" t="s">
        <v>3</v>
      </c>
      <c r="O27" s="191" t="s">
        <v>4</v>
      </c>
      <c r="P27" s="191" t="s">
        <v>4</v>
      </c>
      <c r="Q27" s="191" t="s">
        <v>4</v>
      </c>
      <c r="R27" s="191" t="s">
        <v>4</v>
      </c>
      <c r="S27" s="191" t="s">
        <v>142</v>
      </c>
      <c r="T27" s="191" t="s">
        <v>142</v>
      </c>
      <c r="U27" s="191" t="s">
        <v>4</v>
      </c>
      <c r="V27" s="191" t="s">
        <v>4</v>
      </c>
      <c r="W27" s="191" t="s">
        <v>52</v>
      </c>
      <c r="X27" s="191" t="s">
        <v>52</v>
      </c>
      <c r="Y27" s="191" t="s">
        <v>52</v>
      </c>
      <c r="Z27" s="191" t="s">
        <v>52</v>
      </c>
      <c r="AA27" s="191" t="s">
        <v>52</v>
      </c>
      <c r="AB27" s="191" t="s">
        <v>52</v>
      </c>
      <c r="AC27" s="191" t="s">
        <v>52</v>
      </c>
      <c r="AD27" s="191" t="s">
        <v>52</v>
      </c>
      <c r="AE27" s="191" t="s">
        <v>52</v>
      </c>
      <c r="AF27" s="191" t="s">
        <v>52</v>
      </c>
      <c r="AG27" s="191" t="s">
        <v>142</v>
      </c>
      <c r="AH27" s="191" t="s">
        <v>142</v>
      </c>
      <c r="AI27" s="191" t="s">
        <v>4</v>
      </c>
      <c r="AJ27" s="213">
        <f>IFERROR(COUNTIF(E27:AI27,"=Р")+COUNTIF(E27:AI27,"=Р1")+COUNTIF(E27:AI27,"=ВЧ")+COUNTIF(E27:AI27,"=РН")+COUNTIF(E27:AI27,"=Р2")+COUNTIF(E27:AI27,"=Р1/РВ")+COUNTIF(E27:AI27,"=Р2/РВ")+COUNTIF(E27:AI27,"=ВЧ/РВ")+COUNTIF(E27:AI27,"=РН/РВ"),0)</f>
        <v>12</v>
      </c>
      <c r="AK27" s="202">
        <f>IFERROR(SUMIF(E27:AI27,"=Р2",E28:AI28)+SUMIF(E27:AI27,"=ВЧ/РВ",E28:AI28)+SUMIF(E27:AI27,"=РН/РВ",E28:AI28)+SUMIF(E27:AI27,"=Р1/РВ",E28:AI28)+SUMIF(E27:AI27,"=ВЧ2/РВ",E28:AI28)+SUMIF(E27:AI27,"=Р2/РВ",E28:AI28)+SUMIF(E27:AI27,"=Р",E28:AI28)+SUMIF(E27:AI27,"=Р1",E28:AI28)+SUMIF(E27:AI27,"=ВЧ1",E28:AI28)+SUMIF(E27:AI27,"=РН",E28:AI28)+SUMIF(E27:AI27,"=ВЧ",E28:AI28),0)+AL27</f>
        <v>96.200000000000017</v>
      </c>
      <c r="AL27" s="202">
        <f>IFERROR(SUMIF(E27:AI27,"=НУ",E28:AI28),0)</f>
        <v>0</v>
      </c>
      <c r="AM27" s="202">
        <f>IFERROR(SUMIF(E27:AI27,"=РН",E28:AI28)+SUMIF(E27:AI27,"=РН/РВ",E28:AI28)+SUMIFS(E28:AI28,E27:AI27,"=Р2",E28:AI28,"=8"),0)</f>
        <v>0</v>
      </c>
      <c r="AN27" s="211">
        <f>IFERROR(SUMIF(E27:AI27,"=ВЧ",E28:AI28)+SUMIF(E27:AI27,"=ВЧ/РВ",E28:AI28)+CEILING(COUNTIFS(E27:AI27,"=Р2",E28:AI28,"=7")*4,1)+CEILING(COUNTIFS(E27:AI27,"=Р2/РВ",E28:AI28,"=7")*4,1)+SUMIFS(E28:AI28,E27:AI27,"=Р1/РВ",E28:AI28,"=12")/6+SUMIFS(E28:AI28,E27:AI27,"=ВЧ2/РВ",E28:AI28,"=4")/2+SUMIFS(E28:AI28,E27:AI27,"=Р1",E28:AI28,"=12")/6+SUMIFS(E28:AI28,E27:AI27,"=Р1",E28:AI28,"=8")/4+SUMIF(E27:AI27,"=ВЧ1",E28:AI28)/2,0)</f>
        <v>0</v>
      </c>
      <c r="AO27" s="202">
        <f>IFERROR(SUMIF(E27:AI27,"=РВ",E28:AI28)+SUMIF(E27:AI27,"=ВЧ/РВ",E28:AI28)+SUMIF(E27:AI27,"=РН/РВ",E28:AI28)+SUMIF(E27:AI27,"=Р1/РВ",E28:AI28)+SUMIF(E27:AI27,"=ВЧ2/РВ",E28:AI28)+SUMIF(E27:AI27,"=Р2/РВ",E28:AI28),0)</f>
        <v>0</v>
      </c>
      <c r="AP27" s="202">
        <f>IFERROR(COUNTIF(E27:AI27,"=ВВ")+COUNTIF(E27:AI27,"=Р1/ВВ")+COUNTIF(E27:AI27,"=РН/ВВ")+COUNTIF(E27:AI27,"=ВЧ/ВВ"),0)</f>
        <v>8</v>
      </c>
      <c r="AQ27" s="202">
        <f>SUM(AR27:AZ27)</f>
        <v>71.800000000000011</v>
      </c>
      <c r="AR27" s="202">
        <f>IFERROR(SUMIF(E27:AI27,"=В",E28:AI28)+SUMIF(E27:AI27,"=Ч",E28:AI28)+SUMIF(E27:AI27,"=ВБ",E28:AI28),0)</f>
        <v>8.1999999999999993</v>
      </c>
      <c r="AS27" s="202">
        <f>IFERROR(SUMIF(E27:AI27,"=Н",E28:AI28),0)</f>
        <v>0</v>
      </c>
      <c r="AT27" s="202">
        <f>IFERROR(SUMIF(E27:AI27,"=НА",E28:AI28),0)</f>
        <v>0</v>
      </c>
      <c r="AU27" s="202">
        <f>IFERROR(SUMIF(E27:AI27,"=ВП",E28:AI28),0)</f>
        <v>0</v>
      </c>
      <c r="AV27" s="202">
        <f>IFERROR(SUMIF(E27:AI27,"=ДД",E28:AI28),0)</f>
        <v>0</v>
      </c>
      <c r="AW27" s="202">
        <f>IFERROR(SUMIF(E27:AI27,"=ДО",E28:AI28),0)</f>
        <v>0</v>
      </c>
      <c r="AX27" s="202">
        <f>IFERROR(SUMIF(E27:AI27,"=ТН",E28:AI28),0)</f>
        <v>63.600000000000009</v>
      </c>
      <c r="AY27" s="202">
        <f>IFERROR(SUMIF(E27:AI27,"=ВД",E28:AI28),0)</f>
        <v>0</v>
      </c>
      <c r="AZ27" s="200">
        <f>IFERROR(SUMIF(E27:AI27,"=ІН",E28:AI28),0)+SUMIF(E27:AI27,"=НЗ",E28:AI28)</f>
        <v>0</v>
      </c>
    </row>
    <row r="28" spans="1:52" s="128" customFormat="1" ht="20.100000000000001" customHeight="1" thickBot="1" x14ac:dyDescent="0.25">
      <c r="A28" s="290"/>
      <c r="B28" s="229"/>
      <c r="C28" s="229"/>
      <c r="D28" s="280"/>
      <c r="E28" s="192"/>
      <c r="F28" s="192"/>
      <c r="G28" s="192">
        <v>8.1999999999999993</v>
      </c>
      <c r="H28" s="192">
        <v>8.1999999999999993</v>
      </c>
      <c r="I28" s="192">
        <v>8.1999999999999993</v>
      </c>
      <c r="J28" s="192">
        <v>8.1999999999999993</v>
      </c>
      <c r="K28" s="192">
        <v>7</v>
      </c>
      <c r="L28" s="192"/>
      <c r="M28" s="192"/>
      <c r="N28" s="192">
        <v>8.1999999999999993</v>
      </c>
      <c r="O28" s="192">
        <v>8.1999999999999993</v>
      </c>
      <c r="P28" s="192">
        <v>8.1999999999999993</v>
      </c>
      <c r="Q28" s="192">
        <v>8.1999999999999993</v>
      </c>
      <c r="R28" s="192">
        <v>7.2</v>
      </c>
      <c r="S28" s="192"/>
      <c r="T28" s="192"/>
      <c r="U28" s="192">
        <v>8.1999999999999993</v>
      </c>
      <c r="V28" s="192">
        <v>8.1999999999999993</v>
      </c>
      <c r="W28" s="192">
        <v>8.1999999999999993</v>
      </c>
      <c r="X28" s="192">
        <v>8.1999999999999993</v>
      </c>
      <c r="Y28" s="192">
        <v>7.2</v>
      </c>
      <c r="Z28" s="192"/>
      <c r="AA28" s="192"/>
      <c r="AB28" s="192">
        <v>8.1999999999999993</v>
      </c>
      <c r="AC28" s="192">
        <v>8.1999999999999993</v>
      </c>
      <c r="AD28" s="192">
        <v>8.1999999999999993</v>
      </c>
      <c r="AE28" s="192">
        <v>8.1999999999999993</v>
      </c>
      <c r="AF28" s="192">
        <v>7.2</v>
      </c>
      <c r="AG28" s="192"/>
      <c r="AH28" s="192"/>
      <c r="AI28" s="192">
        <v>8.1999999999999993</v>
      </c>
      <c r="AJ28" s="214"/>
      <c r="AK28" s="203"/>
      <c r="AL28" s="203"/>
      <c r="AM28" s="203"/>
      <c r="AN28" s="212"/>
      <c r="AO28" s="203"/>
      <c r="AP28" s="203"/>
      <c r="AQ28" s="203"/>
      <c r="AR28" s="203"/>
      <c r="AS28" s="203"/>
      <c r="AT28" s="203"/>
      <c r="AU28" s="203"/>
      <c r="AV28" s="203"/>
      <c r="AW28" s="203"/>
      <c r="AX28" s="203"/>
      <c r="AY28" s="203"/>
      <c r="AZ28" s="201"/>
    </row>
    <row r="29" spans="1:52" s="110" customFormat="1" ht="20.100000000000001" customHeight="1" x14ac:dyDescent="0.2">
      <c r="A29" s="289">
        <f t="shared" ref="A29" si="3">A27+1</f>
        <v>7</v>
      </c>
      <c r="B29" s="228" t="s">
        <v>328</v>
      </c>
      <c r="C29" s="228">
        <v>2150</v>
      </c>
      <c r="D29" s="279" t="s">
        <v>65</v>
      </c>
      <c r="E29" s="191" t="s">
        <v>142</v>
      </c>
      <c r="F29" s="191" t="s">
        <v>142</v>
      </c>
      <c r="G29" s="191" t="s">
        <v>4</v>
      </c>
      <c r="H29" s="191" t="s">
        <v>4</v>
      </c>
      <c r="I29" s="191" t="s">
        <v>4</v>
      </c>
      <c r="J29" s="191" t="s">
        <v>4</v>
      </c>
      <c r="K29" s="191" t="s">
        <v>4</v>
      </c>
      <c r="L29" s="191" t="s">
        <v>142</v>
      </c>
      <c r="M29" s="191" t="s">
        <v>142</v>
      </c>
      <c r="N29" s="191" t="s">
        <v>4</v>
      </c>
      <c r="O29" s="191" t="s">
        <v>4</v>
      </c>
      <c r="P29" s="191" t="s">
        <v>4</v>
      </c>
      <c r="Q29" s="191" t="s">
        <v>4</v>
      </c>
      <c r="R29" s="191" t="s">
        <v>4</v>
      </c>
      <c r="S29" s="191" t="s">
        <v>142</v>
      </c>
      <c r="T29" s="191" t="s">
        <v>142</v>
      </c>
      <c r="U29" s="191" t="s">
        <v>4</v>
      </c>
      <c r="V29" s="191" t="s">
        <v>4</v>
      </c>
      <c r="W29" s="191" t="s">
        <v>4</v>
      </c>
      <c r="X29" s="191" t="s">
        <v>4</v>
      </c>
      <c r="Y29" s="191" t="s">
        <v>4</v>
      </c>
      <c r="Z29" s="191" t="s">
        <v>142</v>
      </c>
      <c r="AA29" s="191" t="s">
        <v>142</v>
      </c>
      <c r="AB29" s="191" t="s">
        <v>4</v>
      </c>
      <c r="AC29" s="191" t="s">
        <v>4</v>
      </c>
      <c r="AD29" s="191" t="s">
        <v>4</v>
      </c>
      <c r="AE29" s="191" t="s">
        <v>4</v>
      </c>
      <c r="AF29" s="191" t="s">
        <v>4</v>
      </c>
      <c r="AG29" s="191" t="s">
        <v>142</v>
      </c>
      <c r="AH29" s="191" t="s">
        <v>142</v>
      </c>
      <c r="AI29" s="191" t="s">
        <v>4</v>
      </c>
      <c r="AJ29" s="213">
        <f>IFERROR(COUNTIF(E29:AI29,"=Р")+COUNTIF(E29:AI29,"=Р1")+COUNTIF(E29:AI29,"=ВЧ")+COUNTIF(E29:AI29,"=РН")+COUNTIF(E29:AI29,"=Р2")+COUNTIF(E29:AI29,"=Р1/РВ")+COUNTIF(E29:AI29,"=Р2/РВ")+COUNTIF(E29:AI29,"=ВЧ/РВ")+COUNTIF(E29:AI29,"=РН/РВ"),0)</f>
        <v>21</v>
      </c>
      <c r="AK29" s="202">
        <f>IFERROR(SUMIF(E29:AI29,"=Р2",E30:AI30)+SUMIF(E29:AI29,"=ВЧ/РВ",E30:AI30)+SUMIF(E29:AI29,"=РН/РВ",E30:AI30)+SUMIF(E29:AI29,"=Р1/РВ",E30:AI30)+SUMIF(E29:AI29,"=ВЧ2/РВ",E30:AI30)+SUMIF(E29:AI29,"=Р2/РВ",E30:AI30)+SUMIF(E29:AI29,"=Р",E30:AI30)+SUMIF(E29:AI29,"=Р1",E30:AI30)+SUMIF(E29:AI29,"=ВЧ1",E30:AI30)+SUMIF(E29:AI29,"=РН",E30:AI30)+SUMIF(E29:AI29,"=ВЧ",E30:AI30),0)+AL29</f>
        <v>167.99999999999997</v>
      </c>
      <c r="AL29" s="202">
        <f>IFERROR(SUMIF(E29:AI29,"=НУ",E30:AI30),0)</f>
        <v>0</v>
      </c>
      <c r="AM29" s="202">
        <f>IFERROR(SUMIF(E29:AI29,"=РН",E30:AI30)+SUMIF(E29:AI29,"=РН/РВ",E30:AI30)+SUMIFS(E30:AI30,E29:AI29,"=Р2",E30:AI30,"=8"),0)</f>
        <v>0</v>
      </c>
      <c r="AN29" s="211">
        <f>IFERROR(SUMIF(E29:AI29,"=ВЧ",E30:AI30)+SUMIF(E29:AI29,"=ВЧ/РВ",E30:AI30)+CEILING(COUNTIFS(E29:AI29,"=Р2",E30:AI30,"=7")*4,1)+CEILING(COUNTIFS(E29:AI29,"=Р2/РВ",E30:AI30,"=7")*4,1)+SUMIFS(E30:AI30,E29:AI29,"=Р1/РВ",E30:AI30,"=12")/6+SUMIFS(E30:AI30,E29:AI29,"=ВЧ2/РВ",E30:AI30,"=4")/2+SUMIFS(E30:AI30,E29:AI29,"=Р1",E30:AI30,"=12")/6+SUMIFS(E30:AI30,E29:AI29,"=Р1",E30:AI30,"=8")/4+SUMIF(E29:AI29,"=ВЧ1",E30:AI30)/2,0)</f>
        <v>0</v>
      </c>
      <c r="AO29" s="202">
        <f>IFERROR(SUMIF(E29:AI29,"=РВ",E30:AI30)+SUMIF(E29:AI29,"=ВЧ/РВ",E30:AI30)+SUMIF(E29:AI29,"=РН/РВ",E30:AI30)+SUMIF(E29:AI29,"=Р1/РВ",E30:AI30)+SUMIF(E29:AI29,"=ВЧ2/РВ",E30:AI30)+SUMIF(E29:AI29,"=Р2/РВ",E30:AI30),0)</f>
        <v>0</v>
      </c>
      <c r="AP29" s="202">
        <f>IFERROR(COUNTIF(E29:AI29,"=ВВ")+COUNTIF(E29:AI29,"=Р1/ВВ")+COUNTIF(E29:AI29,"=РН/ВВ")+COUNTIF(E29:AI29,"=ВЧ/ВВ"),0)</f>
        <v>10</v>
      </c>
      <c r="AQ29" s="202">
        <f>SUM(AR29:AZ29)</f>
        <v>0</v>
      </c>
      <c r="AR29" s="202">
        <f>IFERROR(SUMIF(E29:AI29,"=В",E30:AI30)+SUMIF(E29:AI29,"=Ч",E30:AI30)+SUMIF(E29:AI29,"=ВБ",E30:AI30),0)</f>
        <v>0</v>
      </c>
      <c r="AS29" s="202">
        <f>IFERROR(SUMIF(E29:AI29,"=Н",E30:AI30),0)</f>
        <v>0</v>
      </c>
      <c r="AT29" s="202">
        <f>IFERROR(SUMIF(E29:AI29,"=НА",E30:AI30),0)</f>
        <v>0</v>
      </c>
      <c r="AU29" s="202">
        <f>IFERROR(SUMIF(E29:AI29,"=ВП",E30:AI30),0)</f>
        <v>0</v>
      </c>
      <c r="AV29" s="202">
        <f>IFERROR(SUMIF(E29:AI29,"=ДД",E30:AI30),0)</f>
        <v>0</v>
      </c>
      <c r="AW29" s="202">
        <f>IFERROR(SUMIF(E29:AI29,"=ДО",E30:AI30),0)</f>
        <v>0</v>
      </c>
      <c r="AX29" s="202">
        <f>IFERROR(SUMIF(E29:AI29,"=ТН",E30:AI30),0)</f>
        <v>0</v>
      </c>
      <c r="AY29" s="202">
        <f>IFERROR(SUMIF(E29:AI29,"=ВД",E30:AI30),0)</f>
        <v>0</v>
      </c>
      <c r="AZ29" s="200">
        <f>IFERROR(SUMIF(E29:AI29,"=ІН",E30:AI30),0)+SUMIF(E29:AI29,"=НЗ",E30:AI30)</f>
        <v>0</v>
      </c>
    </row>
    <row r="30" spans="1:52" s="110" customFormat="1" ht="20.100000000000001" customHeight="1" thickBot="1" x14ac:dyDescent="0.25">
      <c r="A30" s="290"/>
      <c r="B30" s="229"/>
      <c r="C30" s="229"/>
      <c r="D30" s="280"/>
      <c r="E30" s="192"/>
      <c r="F30" s="192"/>
      <c r="G30" s="192">
        <v>8.1999999999999993</v>
      </c>
      <c r="H30" s="192">
        <v>8.1999999999999993</v>
      </c>
      <c r="I30" s="192">
        <v>8.1999999999999993</v>
      </c>
      <c r="J30" s="192">
        <v>8.1999999999999993</v>
      </c>
      <c r="K30" s="192">
        <v>7</v>
      </c>
      <c r="L30" s="192"/>
      <c r="M30" s="192"/>
      <c r="N30" s="192">
        <v>8.1999999999999993</v>
      </c>
      <c r="O30" s="192">
        <v>8.1999999999999993</v>
      </c>
      <c r="P30" s="192">
        <v>8.1999999999999993</v>
      </c>
      <c r="Q30" s="192">
        <v>8.1999999999999993</v>
      </c>
      <c r="R30" s="192">
        <v>7.2</v>
      </c>
      <c r="S30" s="192"/>
      <c r="T30" s="192"/>
      <c r="U30" s="192">
        <v>8.1999999999999993</v>
      </c>
      <c r="V30" s="192">
        <v>8.1999999999999993</v>
      </c>
      <c r="W30" s="192">
        <v>8.1999999999999993</v>
      </c>
      <c r="X30" s="192">
        <v>8.1999999999999993</v>
      </c>
      <c r="Y30" s="192">
        <v>7.2</v>
      </c>
      <c r="Z30" s="192"/>
      <c r="AA30" s="192"/>
      <c r="AB30" s="192">
        <v>8.1999999999999993</v>
      </c>
      <c r="AC30" s="192">
        <v>8.1999999999999993</v>
      </c>
      <c r="AD30" s="192">
        <v>8.1999999999999993</v>
      </c>
      <c r="AE30" s="192">
        <v>8.1999999999999993</v>
      </c>
      <c r="AF30" s="192">
        <v>7.2</v>
      </c>
      <c r="AG30" s="192"/>
      <c r="AH30" s="192"/>
      <c r="AI30" s="192">
        <v>8.1999999999999993</v>
      </c>
      <c r="AJ30" s="214"/>
      <c r="AK30" s="203"/>
      <c r="AL30" s="203"/>
      <c r="AM30" s="203"/>
      <c r="AN30" s="212"/>
      <c r="AO30" s="203"/>
      <c r="AP30" s="203"/>
      <c r="AQ30" s="203"/>
      <c r="AR30" s="203"/>
      <c r="AS30" s="203"/>
      <c r="AT30" s="203"/>
      <c r="AU30" s="203"/>
      <c r="AV30" s="203"/>
      <c r="AW30" s="203"/>
      <c r="AX30" s="203"/>
      <c r="AY30" s="203"/>
      <c r="AZ30" s="201"/>
    </row>
    <row r="31" spans="1:52" ht="20.100000000000001" customHeight="1" x14ac:dyDescent="0.2">
      <c r="A31" s="289">
        <f t="shared" ref="A31" si="4">A29+1</f>
        <v>8</v>
      </c>
      <c r="B31" s="228" t="s">
        <v>232</v>
      </c>
      <c r="C31" s="228">
        <v>410</v>
      </c>
      <c r="D31" s="279" t="s">
        <v>65</v>
      </c>
      <c r="E31" s="191" t="s">
        <v>142</v>
      </c>
      <c r="F31" s="191" t="s">
        <v>142</v>
      </c>
      <c r="G31" s="191" t="s">
        <v>3</v>
      </c>
      <c r="H31" s="191" t="s">
        <v>3</v>
      </c>
      <c r="I31" s="191" t="s">
        <v>3</v>
      </c>
      <c r="J31" s="191" t="s">
        <v>3</v>
      </c>
      <c r="K31" s="191" t="s">
        <v>3</v>
      </c>
      <c r="L31" s="191" t="s">
        <v>142</v>
      </c>
      <c r="M31" s="191" t="s">
        <v>142</v>
      </c>
      <c r="N31" s="191" t="s">
        <v>4</v>
      </c>
      <c r="O31" s="191" t="s">
        <v>4</v>
      </c>
      <c r="P31" s="191" t="s">
        <v>4</v>
      </c>
      <c r="Q31" s="191" t="s">
        <v>4</v>
      </c>
      <c r="R31" s="191" t="s">
        <v>4</v>
      </c>
      <c r="S31" s="191" t="s">
        <v>142</v>
      </c>
      <c r="T31" s="191" t="s">
        <v>142</v>
      </c>
      <c r="U31" s="191" t="s">
        <v>4</v>
      </c>
      <c r="V31" s="191" t="s">
        <v>4</v>
      </c>
      <c r="W31" s="191" t="s">
        <v>4</v>
      </c>
      <c r="X31" s="191" t="s">
        <v>4</v>
      </c>
      <c r="Y31" s="191" t="s">
        <v>4</v>
      </c>
      <c r="Z31" s="191" t="s">
        <v>142</v>
      </c>
      <c r="AA31" s="191" t="s">
        <v>142</v>
      </c>
      <c r="AB31" s="191" t="s">
        <v>4</v>
      </c>
      <c r="AC31" s="191" t="s">
        <v>4</v>
      </c>
      <c r="AD31" s="191" t="s">
        <v>4</v>
      </c>
      <c r="AE31" s="191" t="s">
        <v>4</v>
      </c>
      <c r="AF31" s="191" t="s">
        <v>4</v>
      </c>
      <c r="AG31" s="191" t="s">
        <v>142</v>
      </c>
      <c r="AH31" s="191" t="s">
        <v>142</v>
      </c>
      <c r="AI31" s="191" t="s">
        <v>4</v>
      </c>
      <c r="AJ31" s="213">
        <f>IFERROR(COUNTIF(E31:AI31,"=Р")+COUNTIF(E31:AI31,"=Р1")+COUNTIF(E31:AI31,"=ВЧ")+COUNTIF(E31:AI31,"=РН")+COUNTIF(E31:AI31,"=Р2")+COUNTIF(E31:AI31,"=Р1/РВ")+COUNTIF(E31:AI31,"=Р2/РВ")+COUNTIF(E31:AI31,"=ВЧ/РВ")+COUNTIF(E31:AI31,"=РН/РВ"),0)</f>
        <v>16</v>
      </c>
      <c r="AK31" s="202">
        <f>IFERROR(SUMIF(E31:AI31,"=Р2",E32:AI32)+SUMIF(E31:AI31,"=ВЧ/РВ",E32:AI32)+SUMIF(E31:AI31,"=РН/РВ",E32:AI32)+SUMIF(E31:AI31,"=Р1/РВ",E32:AI32)+SUMIF(E31:AI31,"=ВЧ2/РВ",E32:AI32)+SUMIF(E31:AI31,"=Р2/РВ",E32:AI32)+SUMIF(E31:AI31,"=Р",E32:AI32)+SUMIF(E31:AI31,"=Р1",E32:AI32)+SUMIF(E31:AI31,"=ВЧ1",E32:AI32)+SUMIF(E31:AI31,"=РН",E32:AI32)+SUMIF(E31:AI31,"=ВЧ",E32:AI32),0)+AL31</f>
        <v>128.20000000000002</v>
      </c>
      <c r="AL31" s="202">
        <f>IFERROR(SUMIF(E31:AI31,"=НУ",E32:AI32),0)</f>
        <v>0</v>
      </c>
      <c r="AM31" s="202">
        <f>IFERROR(SUMIF(E31:AI31,"=РН",E32:AI32)+SUMIF(E31:AI31,"=РН/РВ",E32:AI32)+SUMIFS(E32:AI32,E31:AI31,"=Р2",E32:AI32,"=8"),0)</f>
        <v>0</v>
      </c>
      <c r="AN31" s="211">
        <f>IFERROR(SUMIF(E31:AI31,"=ВЧ",E32:AI32)+SUMIF(E31:AI31,"=ВЧ/РВ",E32:AI32)+CEILING(COUNTIFS(E31:AI31,"=Р2",E32:AI32,"=7")*4,1)+CEILING(COUNTIFS(E31:AI31,"=Р2/РВ",E32:AI32,"=7")*4,1)+SUMIFS(E32:AI32,E31:AI31,"=Р1/РВ",E32:AI32,"=12")/6+SUMIFS(E32:AI32,E31:AI31,"=ВЧ2/РВ",E32:AI32,"=4")/2+SUMIFS(E32:AI32,E31:AI31,"=Р1",E32:AI32,"=12")/6+SUMIFS(E32:AI32,E31:AI31,"=Р1",E32:AI32,"=8")/4+SUMIF(E31:AI31,"=ВЧ1",E32:AI32)/2,0)</f>
        <v>0</v>
      </c>
      <c r="AO31" s="202">
        <f>IFERROR(SUMIF(E31:AI31,"=РВ",E32:AI32)+SUMIF(E31:AI31,"=ВЧ/РВ",E32:AI32)+SUMIF(E31:AI31,"=РН/РВ",E32:AI32)+SUMIF(E31:AI31,"=Р1/РВ",E32:AI32)+SUMIF(E31:AI31,"=ВЧ2/РВ",E32:AI32)+SUMIF(E31:AI31,"=Р2/РВ",E32:AI32),0)</f>
        <v>0</v>
      </c>
      <c r="AP31" s="202">
        <f>IFERROR(COUNTIF(E31:AI31,"=ВВ")+COUNTIF(E31:AI31,"=Р1/ВВ")+COUNTIF(E31:AI31,"=РН/ВВ")+COUNTIF(E31:AI31,"=ВЧ/ВВ"),0)</f>
        <v>10</v>
      </c>
      <c r="AQ31" s="202">
        <f>SUM(AR31:AZ31)</f>
        <v>39.799999999999997</v>
      </c>
      <c r="AR31" s="202">
        <f>IFERROR(SUMIF(E31:AI31,"=В",E32:AI32)+SUMIF(E31:AI31,"=Ч",E32:AI32)+SUMIF(E31:AI31,"=ВБ",E32:AI32),0)</f>
        <v>39.799999999999997</v>
      </c>
      <c r="AS31" s="202">
        <f>IFERROR(SUMIF(E31:AI31,"=Н",E32:AI32),0)</f>
        <v>0</v>
      </c>
      <c r="AT31" s="202">
        <f>IFERROR(SUMIF(E31:AI31,"=НА",E32:AI32),0)</f>
        <v>0</v>
      </c>
      <c r="AU31" s="202">
        <f>IFERROR(SUMIF(E31:AI31,"=ВП",E32:AI32),0)</f>
        <v>0</v>
      </c>
      <c r="AV31" s="202">
        <f>IFERROR(SUMIF(E31:AI31,"=ДД",E32:AI32),0)</f>
        <v>0</v>
      </c>
      <c r="AW31" s="202">
        <f>IFERROR(SUMIF(E31:AI31,"=ДО",E32:AI32),0)</f>
        <v>0</v>
      </c>
      <c r="AX31" s="202">
        <f>IFERROR(SUMIF(E31:AI31,"=ТН",E32:AI32),0)</f>
        <v>0</v>
      </c>
      <c r="AY31" s="202">
        <f>IFERROR(SUMIF(E31:AI31,"=ВД",E32:AI32),0)</f>
        <v>0</v>
      </c>
      <c r="AZ31" s="200">
        <f>IFERROR(SUMIF(E31:AI31,"=ІН",E32:AI32),0)+SUMIF(E31:AI31,"=НЗ",E32:AI32)</f>
        <v>0</v>
      </c>
    </row>
    <row r="32" spans="1:52" ht="20.100000000000001" customHeight="1" thickBot="1" x14ac:dyDescent="0.25">
      <c r="A32" s="290"/>
      <c r="B32" s="229"/>
      <c r="C32" s="229"/>
      <c r="D32" s="280"/>
      <c r="E32" s="192"/>
      <c r="F32" s="192"/>
      <c r="G32" s="192">
        <v>8.1999999999999993</v>
      </c>
      <c r="H32" s="192">
        <v>8.1999999999999993</v>
      </c>
      <c r="I32" s="192">
        <v>8.1999999999999993</v>
      </c>
      <c r="J32" s="192">
        <v>8.1999999999999993</v>
      </c>
      <c r="K32" s="192">
        <v>7</v>
      </c>
      <c r="L32" s="192"/>
      <c r="M32" s="192"/>
      <c r="N32" s="192">
        <v>8.1999999999999993</v>
      </c>
      <c r="O32" s="192">
        <v>8.1999999999999993</v>
      </c>
      <c r="P32" s="192">
        <v>8.1999999999999993</v>
      </c>
      <c r="Q32" s="192">
        <v>8.1999999999999993</v>
      </c>
      <c r="R32" s="192">
        <v>7.2</v>
      </c>
      <c r="S32" s="192"/>
      <c r="T32" s="192"/>
      <c r="U32" s="192">
        <v>8.1999999999999993</v>
      </c>
      <c r="V32" s="192">
        <v>8.1999999999999993</v>
      </c>
      <c r="W32" s="192">
        <v>8.1999999999999993</v>
      </c>
      <c r="X32" s="192">
        <v>8.1999999999999993</v>
      </c>
      <c r="Y32" s="192">
        <v>7.2</v>
      </c>
      <c r="Z32" s="192"/>
      <c r="AA32" s="192"/>
      <c r="AB32" s="192">
        <v>8.1999999999999993</v>
      </c>
      <c r="AC32" s="192">
        <v>8.1999999999999993</v>
      </c>
      <c r="AD32" s="192">
        <v>8.1999999999999993</v>
      </c>
      <c r="AE32" s="192">
        <v>8.1999999999999993</v>
      </c>
      <c r="AF32" s="192">
        <v>7.2</v>
      </c>
      <c r="AG32" s="192"/>
      <c r="AH32" s="192"/>
      <c r="AI32" s="192">
        <v>8.1999999999999993</v>
      </c>
      <c r="AJ32" s="214"/>
      <c r="AK32" s="203"/>
      <c r="AL32" s="203"/>
      <c r="AM32" s="203"/>
      <c r="AN32" s="212"/>
      <c r="AO32" s="203"/>
      <c r="AP32" s="203"/>
      <c r="AQ32" s="203"/>
      <c r="AR32" s="203"/>
      <c r="AS32" s="203"/>
      <c r="AT32" s="203"/>
      <c r="AU32" s="203"/>
      <c r="AV32" s="203"/>
      <c r="AW32" s="203"/>
      <c r="AX32" s="203"/>
      <c r="AY32" s="203"/>
      <c r="AZ32" s="201"/>
    </row>
    <row r="33" spans="1:52" ht="20.100000000000001" customHeight="1" x14ac:dyDescent="0.2">
      <c r="A33" s="289">
        <f t="shared" ref="A33" si="5">A31+1</f>
        <v>9</v>
      </c>
      <c r="B33" s="228" t="s">
        <v>233</v>
      </c>
      <c r="C33" s="228">
        <v>326</v>
      </c>
      <c r="D33" s="279" t="s">
        <v>65</v>
      </c>
      <c r="E33" s="191" t="s">
        <v>142</v>
      </c>
      <c r="F33" s="191" t="s">
        <v>142</v>
      </c>
      <c r="G33" s="191" t="s">
        <v>4</v>
      </c>
      <c r="H33" s="191" t="s">
        <v>4</v>
      </c>
      <c r="I33" s="191" t="s">
        <v>4</v>
      </c>
      <c r="J33" s="191" t="s">
        <v>4</v>
      </c>
      <c r="K33" s="191" t="s">
        <v>4</v>
      </c>
      <c r="L33" s="191" t="s">
        <v>142</v>
      </c>
      <c r="M33" s="191" t="s">
        <v>142</v>
      </c>
      <c r="N33" s="191" t="s">
        <v>4</v>
      </c>
      <c r="O33" s="191" t="s">
        <v>4</v>
      </c>
      <c r="P33" s="191" t="s">
        <v>4</v>
      </c>
      <c r="Q33" s="191" t="s">
        <v>4</v>
      </c>
      <c r="R33" s="191" t="s">
        <v>4</v>
      </c>
      <c r="S33" s="191" t="s">
        <v>142</v>
      </c>
      <c r="T33" s="191" t="s">
        <v>142</v>
      </c>
      <c r="U33" s="191" t="s">
        <v>4</v>
      </c>
      <c r="V33" s="191" t="s">
        <v>4</v>
      </c>
      <c r="W33" s="191" t="s">
        <v>4</v>
      </c>
      <c r="X33" s="191" t="s">
        <v>4</v>
      </c>
      <c r="Y33" s="191" t="s">
        <v>4</v>
      </c>
      <c r="Z33" s="191" t="s">
        <v>142</v>
      </c>
      <c r="AA33" s="191" t="s">
        <v>142</v>
      </c>
      <c r="AB33" s="191" t="s">
        <v>4</v>
      </c>
      <c r="AC33" s="191" t="s">
        <v>4</v>
      </c>
      <c r="AD33" s="191" t="s">
        <v>4</v>
      </c>
      <c r="AE33" s="191" t="s">
        <v>4</v>
      </c>
      <c r="AF33" s="191" t="s">
        <v>4</v>
      </c>
      <c r="AG33" s="191" t="s">
        <v>142</v>
      </c>
      <c r="AH33" s="191" t="s">
        <v>142</v>
      </c>
      <c r="AI33" s="191" t="s">
        <v>4</v>
      </c>
      <c r="AJ33" s="213">
        <f>IFERROR(COUNTIF(E33:AI33,"=Р")+COUNTIF(E33:AI33,"=Р1")+COUNTIF(E33:AI33,"=ВЧ")+COUNTIF(E33:AI33,"=РН")+COUNTIF(E33:AI33,"=Р2")+COUNTIF(E33:AI33,"=Р1/РВ")+COUNTIF(E33:AI33,"=Р2/РВ")+COUNTIF(E33:AI33,"=ВЧ/РВ")+COUNTIF(E33:AI33,"=РН/РВ"),0)</f>
        <v>21</v>
      </c>
      <c r="AK33" s="202">
        <f>IFERROR(SUMIF(E33:AI33,"=Р2",E34:AI34)+SUMIF(E33:AI33,"=ВЧ/РВ",E34:AI34)+SUMIF(E33:AI33,"=РН/РВ",E34:AI34)+SUMIF(E33:AI33,"=Р1/РВ",E34:AI34)+SUMIF(E33:AI33,"=ВЧ2/РВ",E34:AI34)+SUMIF(E33:AI33,"=Р2/РВ",E34:AI34)+SUMIF(E33:AI33,"=Р",E34:AI34)+SUMIF(E33:AI33,"=Р1",E34:AI34)+SUMIF(E33:AI33,"=ВЧ1",E34:AI34)+SUMIF(E33:AI33,"=РН",E34:AI34)+SUMIF(E33:AI33,"=ВЧ",E34:AI34),0)+AL33</f>
        <v>167.99999999999997</v>
      </c>
      <c r="AL33" s="202">
        <f>IFERROR(SUMIF(E33:AI33,"=НУ",E34:AI34),0)</f>
        <v>0</v>
      </c>
      <c r="AM33" s="202">
        <f>IFERROR(SUMIF(E33:AI33,"=РН",E34:AI34)+SUMIF(E33:AI33,"=РН/РВ",E34:AI34)+SUMIFS(E34:AI34,E33:AI33,"=Р2",E34:AI34,"=8"),0)</f>
        <v>0</v>
      </c>
      <c r="AN33" s="211">
        <f>IFERROR(SUMIF(E33:AI33,"=ВЧ",E34:AI34)+SUMIF(E33:AI33,"=ВЧ/РВ",E34:AI34)+CEILING(COUNTIFS(E33:AI33,"=Р2",E34:AI34,"=7")*4,1)+CEILING(COUNTIFS(E33:AI33,"=Р2/РВ",E34:AI34,"=7")*4,1)+SUMIFS(E34:AI34,E33:AI33,"=Р1/РВ",E34:AI34,"=12")/6+SUMIFS(E34:AI34,E33:AI33,"=ВЧ2/РВ",E34:AI34,"=4")/2+SUMIFS(E34:AI34,E33:AI33,"=Р1",E34:AI34,"=12")/6+SUMIFS(E34:AI34,E33:AI33,"=Р1",E34:AI34,"=8")/4+SUMIF(E33:AI33,"=ВЧ1",E34:AI34)/2,0)</f>
        <v>0</v>
      </c>
      <c r="AO33" s="202">
        <f>IFERROR(SUMIF(E33:AI33,"=РВ",E34:AI34)+SUMIF(E33:AI33,"=ВЧ/РВ",E34:AI34)+SUMIF(E33:AI33,"=РН/РВ",E34:AI34)+SUMIF(E33:AI33,"=Р1/РВ",E34:AI34)+SUMIF(E33:AI33,"=ВЧ2/РВ",E34:AI34)+SUMIF(E33:AI33,"=Р2/РВ",E34:AI34),0)</f>
        <v>0</v>
      </c>
      <c r="AP33" s="202">
        <f>IFERROR(COUNTIF(E33:AI33,"=ВВ")+COUNTIF(E33:AI33,"=Р1/ВВ")+COUNTIF(E33:AI33,"=РН/ВВ")+COUNTIF(E33:AI33,"=ВЧ/ВВ"),0)</f>
        <v>10</v>
      </c>
      <c r="AQ33" s="202">
        <f>SUM(AR33:AZ33)</f>
        <v>0</v>
      </c>
      <c r="AR33" s="202">
        <f>IFERROR(SUMIF(E33:AI33,"=В",E34:AI34)+SUMIF(E33:AI33,"=Ч",E34:AI34)+SUMIF(E33:AI33,"=ВБ",E34:AI34),0)</f>
        <v>0</v>
      </c>
      <c r="AS33" s="202">
        <f>IFERROR(SUMIF(E33:AI33,"=Н",E34:AI34),0)</f>
        <v>0</v>
      </c>
      <c r="AT33" s="202">
        <f>IFERROR(SUMIF(E33:AI33,"=НА",E34:AI34),0)</f>
        <v>0</v>
      </c>
      <c r="AU33" s="202">
        <f>IFERROR(SUMIF(E33:AI33,"=ВП",E34:AI34),0)</f>
        <v>0</v>
      </c>
      <c r="AV33" s="202">
        <f>IFERROR(SUMIF(E33:AI33,"=ДД",E34:AI34),0)</f>
        <v>0</v>
      </c>
      <c r="AW33" s="202">
        <f>IFERROR(SUMIF(E33:AI33,"=ДО",E34:AI34),0)</f>
        <v>0</v>
      </c>
      <c r="AX33" s="202">
        <f>IFERROR(SUMIF(E33:AI33,"=ТН",E34:AI34),0)</f>
        <v>0</v>
      </c>
      <c r="AY33" s="202">
        <f>IFERROR(SUMIF(E33:AI33,"=ВД",E34:AI34),0)</f>
        <v>0</v>
      </c>
      <c r="AZ33" s="200">
        <f>IFERROR(SUMIF(E33:AI33,"=ІН",E34:AI34),0)+SUMIF(E33:AI33,"=НЗ",E34:AI34)</f>
        <v>0</v>
      </c>
    </row>
    <row r="34" spans="1:52" ht="20.100000000000001" customHeight="1" thickBot="1" x14ac:dyDescent="0.25">
      <c r="A34" s="290"/>
      <c r="B34" s="229"/>
      <c r="C34" s="229"/>
      <c r="D34" s="280"/>
      <c r="E34" s="192"/>
      <c r="F34" s="192"/>
      <c r="G34" s="192">
        <v>8.1999999999999993</v>
      </c>
      <c r="H34" s="192">
        <v>8.1999999999999993</v>
      </c>
      <c r="I34" s="192">
        <v>8.1999999999999993</v>
      </c>
      <c r="J34" s="192">
        <v>8.1999999999999993</v>
      </c>
      <c r="K34" s="192">
        <v>7</v>
      </c>
      <c r="L34" s="192"/>
      <c r="M34" s="192"/>
      <c r="N34" s="192">
        <v>8.1999999999999993</v>
      </c>
      <c r="O34" s="192">
        <v>8.1999999999999993</v>
      </c>
      <c r="P34" s="192">
        <v>8.1999999999999993</v>
      </c>
      <c r="Q34" s="192">
        <v>8.1999999999999993</v>
      </c>
      <c r="R34" s="192">
        <v>7.2</v>
      </c>
      <c r="S34" s="192"/>
      <c r="T34" s="192"/>
      <c r="U34" s="192">
        <v>8.1999999999999993</v>
      </c>
      <c r="V34" s="192">
        <v>8.1999999999999993</v>
      </c>
      <c r="W34" s="192">
        <v>8.1999999999999993</v>
      </c>
      <c r="X34" s="192">
        <v>8.1999999999999993</v>
      </c>
      <c r="Y34" s="192">
        <v>7.2</v>
      </c>
      <c r="Z34" s="192"/>
      <c r="AA34" s="192"/>
      <c r="AB34" s="192">
        <v>8.1999999999999993</v>
      </c>
      <c r="AC34" s="192">
        <v>8.1999999999999993</v>
      </c>
      <c r="AD34" s="192">
        <v>8.1999999999999993</v>
      </c>
      <c r="AE34" s="192">
        <v>8.1999999999999993</v>
      </c>
      <c r="AF34" s="192">
        <v>7.2</v>
      </c>
      <c r="AG34" s="192"/>
      <c r="AH34" s="192"/>
      <c r="AI34" s="192">
        <v>8.1999999999999993</v>
      </c>
      <c r="AJ34" s="214"/>
      <c r="AK34" s="203"/>
      <c r="AL34" s="203"/>
      <c r="AM34" s="203"/>
      <c r="AN34" s="212"/>
      <c r="AO34" s="203"/>
      <c r="AP34" s="203"/>
      <c r="AQ34" s="203"/>
      <c r="AR34" s="203"/>
      <c r="AS34" s="203"/>
      <c r="AT34" s="203"/>
      <c r="AU34" s="203"/>
      <c r="AV34" s="203"/>
      <c r="AW34" s="203"/>
      <c r="AX34" s="203"/>
      <c r="AY34" s="203"/>
      <c r="AZ34" s="201"/>
    </row>
    <row r="35" spans="1:52" ht="20.100000000000001" customHeight="1" x14ac:dyDescent="0.2">
      <c r="A35" s="289">
        <f t="shared" ref="A35" si="6">A33+1</f>
        <v>10</v>
      </c>
      <c r="B35" s="228" t="s">
        <v>234</v>
      </c>
      <c r="C35" s="228">
        <v>1913</v>
      </c>
      <c r="D35" s="279" t="s">
        <v>65</v>
      </c>
      <c r="E35" s="191" t="s">
        <v>142</v>
      </c>
      <c r="F35" s="191" t="s">
        <v>142</v>
      </c>
      <c r="G35" s="191" t="s">
        <v>4</v>
      </c>
      <c r="H35" s="191" t="s">
        <v>4</v>
      </c>
      <c r="I35" s="191" t="s">
        <v>4</v>
      </c>
      <c r="J35" s="191" t="s">
        <v>4</v>
      </c>
      <c r="K35" s="191" t="s">
        <v>4</v>
      </c>
      <c r="L35" s="191" t="s">
        <v>142</v>
      </c>
      <c r="M35" s="191" t="s">
        <v>142</v>
      </c>
      <c r="N35" s="191" t="s">
        <v>4</v>
      </c>
      <c r="O35" s="191" t="s">
        <v>4</v>
      </c>
      <c r="P35" s="191" t="s">
        <v>4</v>
      </c>
      <c r="Q35" s="191" t="s">
        <v>4</v>
      </c>
      <c r="R35" s="191" t="s">
        <v>4</v>
      </c>
      <c r="S35" s="191" t="s">
        <v>142</v>
      </c>
      <c r="T35" s="191" t="s">
        <v>142</v>
      </c>
      <c r="U35" s="191" t="s">
        <v>4</v>
      </c>
      <c r="V35" s="191" t="s">
        <v>4</v>
      </c>
      <c r="W35" s="191" t="s">
        <v>4</v>
      </c>
      <c r="X35" s="191" t="s">
        <v>4</v>
      </c>
      <c r="Y35" s="191" t="s">
        <v>4</v>
      </c>
      <c r="Z35" s="191" t="s">
        <v>142</v>
      </c>
      <c r="AA35" s="191" t="s">
        <v>142</v>
      </c>
      <c r="AB35" s="191" t="s">
        <v>4</v>
      </c>
      <c r="AC35" s="191" t="s">
        <v>4</v>
      </c>
      <c r="AD35" s="191" t="s">
        <v>4</v>
      </c>
      <c r="AE35" s="191" t="s">
        <v>4</v>
      </c>
      <c r="AF35" s="191" t="s">
        <v>4</v>
      </c>
      <c r="AG35" s="191" t="s">
        <v>142</v>
      </c>
      <c r="AH35" s="191" t="s">
        <v>142</v>
      </c>
      <c r="AI35" s="191" t="s">
        <v>4</v>
      </c>
      <c r="AJ35" s="213">
        <f>IFERROR(COUNTIF(E35:AI35,"=Р")+COUNTIF(E35:AI35,"=Р1")+COUNTIF(E35:AI35,"=ВЧ")+COUNTIF(E35:AI35,"=РН")+COUNTIF(E35:AI35,"=Р2")+COUNTIF(E35:AI35,"=Р1/РВ")+COUNTIF(E35:AI35,"=Р2/РВ")+COUNTIF(E35:AI35,"=ВЧ/РВ")+COUNTIF(E35:AI35,"=РН/РВ"),0)</f>
        <v>21</v>
      </c>
      <c r="AK35" s="202">
        <f>IFERROR(SUMIF(E35:AI35,"=Р2",E36:AI36)+SUMIF(E35:AI35,"=ВЧ/РВ",E36:AI36)+SUMIF(E35:AI35,"=РН/РВ",E36:AI36)+SUMIF(E35:AI35,"=Р1/РВ",E36:AI36)+SUMIF(E35:AI35,"=ВЧ2/РВ",E36:AI36)+SUMIF(E35:AI35,"=Р2/РВ",E36:AI36)+SUMIF(E35:AI35,"=Р",E36:AI36)+SUMIF(E35:AI35,"=Р1",E36:AI36)+SUMIF(E35:AI35,"=ВЧ1",E36:AI36)+SUMIF(E35:AI35,"=РН",E36:AI36)+SUMIF(E35:AI35,"=ВЧ",E36:AI36),0)+AL35</f>
        <v>167.99999999999997</v>
      </c>
      <c r="AL35" s="202">
        <f>IFERROR(SUMIF(E35:AI35,"=НУ",E36:AI36),0)</f>
        <v>0</v>
      </c>
      <c r="AM35" s="202">
        <f>IFERROR(SUMIF(E35:AI35,"=РН",E36:AI36)+SUMIF(E35:AI35,"=РН/РВ",E36:AI36)+SUMIFS(E36:AI36,E35:AI35,"=Р2",E36:AI36,"=8"),0)</f>
        <v>0</v>
      </c>
      <c r="AN35" s="211">
        <f>IFERROR(SUMIF(E35:AI35,"=ВЧ",E36:AI36)+SUMIF(E35:AI35,"=ВЧ/РВ",E36:AI36)+CEILING(COUNTIFS(E35:AI35,"=Р2",E36:AI36,"=7")*4,1)+CEILING(COUNTIFS(E35:AI35,"=Р2/РВ",E36:AI36,"=7")*4,1)+SUMIFS(E36:AI36,E35:AI35,"=Р1/РВ",E36:AI36,"=12")/6+SUMIFS(E36:AI36,E35:AI35,"=ВЧ2/РВ",E36:AI36,"=4")/2+SUMIFS(E36:AI36,E35:AI35,"=Р1",E36:AI36,"=12")/6+SUMIFS(E36:AI36,E35:AI35,"=Р1",E36:AI36,"=8")/4+SUMIF(E35:AI35,"=ВЧ1",E36:AI36)/2,0)</f>
        <v>0</v>
      </c>
      <c r="AO35" s="202">
        <f>IFERROR(SUMIF(E35:AI35,"=РВ",E36:AI36)+SUMIF(E35:AI35,"=ВЧ/РВ",E36:AI36)+SUMIF(E35:AI35,"=РН/РВ",E36:AI36)+SUMIF(E35:AI35,"=Р1/РВ",E36:AI36)+SUMIF(E35:AI35,"=ВЧ2/РВ",E36:AI36)+SUMIF(E35:AI35,"=Р2/РВ",E36:AI36),0)</f>
        <v>0</v>
      </c>
      <c r="AP35" s="202">
        <f>IFERROR(COUNTIF(E35:AI35,"=ВВ")+COUNTIF(E35:AI35,"=Р1/ВВ")+COUNTIF(E35:AI35,"=РН/ВВ")+COUNTIF(E35:AI35,"=ВЧ/ВВ"),0)</f>
        <v>10</v>
      </c>
      <c r="AQ35" s="202">
        <f>SUM(AR35:AZ35)</f>
        <v>0</v>
      </c>
      <c r="AR35" s="202">
        <f>IFERROR(SUMIF(E35:AI35,"=В",E36:AI36)+SUMIF(E35:AI35,"=Ч",E36:AI36)+SUMIF(E35:AI35,"=ВБ",E36:AI36),0)</f>
        <v>0</v>
      </c>
      <c r="AS35" s="202">
        <f>IFERROR(SUMIF(E35:AI35,"=Н",E36:AI36),0)</f>
        <v>0</v>
      </c>
      <c r="AT35" s="202">
        <f>IFERROR(SUMIF(E35:AI35,"=НА",E36:AI36),0)</f>
        <v>0</v>
      </c>
      <c r="AU35" s="202">
        <f>IFERROR(SUMIF(E35:AI35,"=ВП",E36:AI36),0)</f>
        <v>0</v>
      </c>
      <c r="AV35" s="202">
        <f>IFERROR(SUMIF(E35:AI35,"=ДД",E36:AI36),0)</f>
        <v>0</v>
      </c>
      <c r="AW35" s="202">
        <f>IFERROR(SUMIF(E35:AI35,"=ДО",E36:AI36),0)</f>
        <v>0</v>
      </c>
      <c r="AX35" s="202">
        <f>IFERROR(SUMIF(E35:AI35,"=ТН",E36:AI36),0)</f>
        <v>0</v>
      </c>
      <c r="AY35" s="202">
        <f>IFERROR(SUMIF(E35:AI35,"=ВД",E36:AI36),0)</f>
        <v>0</v>
      </c>
      <c r="AZ35" s="200">
        <f>IFERROR(SUMIF(E35:AI35,"=ІН",E36:AI36),0)+SUMIF(E35:AI35,"=НЗ",E36:AI36)</f>
        <v>0</v>
      </c>
    </row>
    <row r="36" spans="1:52" ht="20.100000000000001" customHeight="1" thickBot="1" x14ac:dyDescent="0.25">
      <c r="A36" s="290"/>
      <c r="B36" s="229"/>
      <c r="C36" s="229"/>
      <c r="D36" s="280"/>
      <c r="E36" s="192"/>
      <c r="F36" s="192"/>
      <c r="G36" s="192">
        <v>8.1999999999999993</v>
      </c>
      <c r="H36" s="192">
        <v>8.1999999999999993</v>
      </c>
      <c r="I36" s="192">
        <v>8.1999999999999993</v>
      </c>
      <c r="J36" s="192">
        <v>8.1999999999999993</v>
      </c>
      <c r="K36" s="192">
        <v>7</v>
      </c>
      <c r="L36" s="192"/>
      <c r="M36" s="192"/>
      <c r="N36" s="192">
        <v>8.1999999999999993</v>
      </c>
      <c r="O36" s="192">
        <v>8.1999999999999993</v>
      </c>
      <c r="P36" s="192">
        <v>8.1999999999999993</v>
      </c>
      <c r="Q36" s="192">
        <v>8.1999999999999993</v>
      </c>
      <c r="R36" s="192">
        <v>7.2</v>
      </c>
      <c r="S36" s="192"/>
      <c r="T36" s="192"/>
      <c r="U36" s="192">
        <v>8.1999999999999993</v>
      </c>
      <c r="V36" s="192">
        <v>8.1999999999999993</v>
      </c>
      <c r="W36" s="192">
        <v>8.1999999999999993</v>
      </c>
      <c r="X36" s="192">
        <v>8.1999999999999993</v>
      </c>
      <c r="Y36" s="192">
        <v>7.2</v>
      </c>
      <c r="Z36" s="192"/>
      <c r="AA36" s="192"/>
      <c r="AB36" s="192">
        <v>8.1999999999999993</v>
      </c>
      <c r="AC36" s="192">
        <v>8.1999999999999993</v>
      </c>
      <c r="AD36" s="192">
        <v>8.1999999999999993</v>
      </c>
      <c r="AE36" s="192">
        <v>8.1999999999999993</v>
      </c>
      <c r="AF36" s="192">
        <v>7.2</v>
      </c>
      <c r="AG36" s="192"/>
      <c r="AH36" s="192"/>
      <c r="AI36" s="192">
        <v>8.1999999999999993</v>
      </c>
      <c r="AJ36" s="214"/>
      <c r="AK36" s="203"/>
      <c r="AL36" s="203"/>
      <c r="AM36" s="203"/>
      <c r="AN36" s="212"/>
      <c r="AO36" s="203"/>
      <c r="AP36" s="203"/>
      <c r="AQ36" s="203"/>
      <c r="AR36" s="203"/>
      <c r="AS36" s="203"/>
      <c r="AT36" s="203"/>
      <c r="AU36" s="203"/>
      <c r="AV36" s="203"/>
      <c r="AW36" s="203"/>
      <c r="AX36" s="203"/>
      <c r="AY36" s="203"/>
      <c r="AZ36" s="201"/>
    </row>
    <row r="37" spans="1:52" s="114" customFormat="1" ht="20.100000000000001" customHeight="1" x14ac:dyDescent="0.2">
      <c r="A37" s="289">
        <f t="shared" ref="A37" si="7">A35+1</f>
        <v>11</v>
      </c>
      <c r="B37" s="228" t="s">
        <v>327</v>
      </c>
      <c r="C37" s="228">
        <v>2165</v>
      </c>
      <c r="D37" s="279" t="s">
        <v>65</v>
      </c>
      <c r="E37" s="191" t="s">
        <v>142</v>
      </c>
      <c r="F37" s="191" t="s">
        <v>142</v>
      </c>
      <c r="G37" s="191" t="s">
        <v>4</v>
      </c>
      <c r="H37" s="191" t="s">
        <v>4</v>
      </c>
      <c r="I37" s="191" t="s">
        <v>4</v>
      </c>
      <c r="J37" s="191" t="s">
        <v>4</v>
      </c>
      <c r="K37" s="191" t="s">
        <v>4</v>
      </c>
      <c r="L37" s="191" t="s">
        <v>142</v>
      </c>
      <c r="M37" s="191" t="s">
        <v>142</v>
      </c>
      <c r="N37" s="191" t="s">
        <v>4</v>
      </c>
      <c r="O37" s="191" t="s">
        <v>4</v>
      </c>
      <c r="P37" s="191" t="s">
        <v>4</v>
      </c>
      <c r="Q37" s="191" t="s">
        <v>4</v>
      </c>
      <c r="R37" s="191" t="s">
        <v>4</v>
      </c>
      <c r="S37" s="191" t="s">
        <v>142</v>
      </c>
      <c r="T37" s="191" t="s">
        <v>142</v>
      </c>
      <c r="U37" s="191" t="s">
        <v>4</v>
      </c>
      <c r="V37" s="191" t="s">
        <v>4</v>
      </c>
      <c r="W37" s="191" t="s">
        <v>4</v>
      </c>
      <c r="X37" s="191" t="s">
        <v>4</v>
      </c>
      <c r="Y37" s="191" t="s">
        <v>4</v>
      </c>
      <c r="Z37" s="191" t="s">
        <v>142</v>
      </c>
      <c r="AA37" s="191" t="s">
        <v>142</v>
      </c>
      <c r="AB37" s="191" t="s">
        <v>4</v>
      </c>
      <c r="AC37" s="191" t="s">
        <v>4</v>
      </c>
      <c r="AD37" s="191" t="s">
        <v>4</v>
      </c>
      <c r="AE37" s="191" t="s">
        <v>4</v>
      </c>
      <c r="AF37" s="191" t="s">
        <v>4</v>
      </c>
      <c r="AG37" s="191" t="s">
        <v>142</v>
      </c>
      <c r="AH37" s="191" t="s">
        <v>142</v>
      </c>
      <c r="AI37" s="191" t="s">
        <v>4</v>
      </c>
      <c r="AJ37" s="213">
        <f>IFERROR(COUNTIF(E37:AI37,"=Р")+COUNTIF(E37:AI37,"=Р1")+COUNTIF(E37:AI37,"=ВЧ")+COUNTIF(E37:AI37,"=РН")+COUNTIF(E37:AI37,"=Р2")+COUNTIF(E37:AI37,"=Р1/РВ")+COUNTIF(E37:AI37,"=Р2/РВ")+COUNTIF(E37:AI37,"=ВЧ/РВ")+COUNTIF(E37:AI37,"=РН/РВ"),0)</f>
        <v>21</v>
      </c>
      <c r="AK37" s="202">
        <f>IFERROR(SUMIF(E37:AI37,"=Р2",E38:AI38)+SUMIF(E37:AI37,"=ВЧ/РВ",E38:AI38)+SUMIF(E37:AI37,"=РН/РВ",E38:AI38)+SUMIF(E37:AI37,"=Р1/РВ",E38:AI38)+SUMIF(E37:AI37,"=ВЧ2/РВ",E38:AI38)+SUMIF(E37:AI37,"=Р2/РВ",E38:AI38)+SUMIF(E37:AI37,"=Р",E38:AI38)+SUMIF(E37:AI37,"=Р1",E38:AI38)+SUMIF(E37:AI37,"=ВЧ1",E38:AI38)+SUMIF(E37:AI37,"=РН",E38:AI38)+SUMIF(E37:AI37,"=ВЧ",E38:AI38),0)+AL37</f>
        <v>167.99999999999997</v>
      </c>
      <c r="AL37" s="202">
        <f>IFERROR(SUMIF(E37:AI37,"=НУ",E38:AI38),0)</f>
        <v>0</v>
      </c>
      <c r="AM37" s="202">
        <f>IFERROR(SUMIF(E37:AI37,"=РН",E38:AI38)+SUMIF(E37:AI37,"=РН/РВ",E38:AI38)+SUMIFS(E38:AI38,E37:AI37,"=Р2",E38:AI38,"=8"),0)</f>
        <v>0</v>
      </c>
      <c r="AN37" s="211">
        <f>IFERROR(SUMIF(E37:AI37,"=ВЧ",E38:AI38)+SUMIF(E37:AI37,"=ВЧ/РВ",E38:AI38)+CEILING(COUNTIFS(E37:AI37,"=Р2",E38:AI38,"=7")*4,1)+CEILING(COUNTIFS(E37:AI37,"=Р2/РВ",E38:AI38,"=7")*4,1)+SUMIFS(E38:AI38,E37:AI37,"=Р1/РВ",E38:AI38,"=12")/6+SUMIFS(E38:AI38,E37:AI37,"=ВЧ2/РВ",E38:AI38,"=4")/2+SUMIFS(E38:AI38,E37:AI37,"=Р1",E38:AI38,"=12")/6+SUMIFS(E38:AI38,E37:AI37,"=Р1",E38:AI38,"=8")/4+SUMIF(E37:AI37,"=ВЧ1",E38:AI38)/2,0)</f>
        <v>0</v>
      </c>
      <c r="AO37" s="202">
        <f>IFERROR(SUMIF(E37:AI37,"=РВ",E38:AI38)+SUMIF(E37:AI37,"=ВЧ/РВ",E38:AI38)+SUMIF(E37:AI37,"=РН/РВ",E38:AI38)+SUMIF(E37:AI37,"=Р1/РВ",E38:AI38)+SUMIF(E37:AI37,"=ВЧ2/РВ",E38:AI38)+SUMIF(E37:AI37,"=Р2/РВ",E38:AI38),0)</f>
        <v>0</v>
      </c>
      <c r="AP37" s="202">
        <f>IFERROR(COUNTIF(E37:AI37,"=ВВ")+COUNTIF(E37:AI37,"=Р1/ВВ")+COUNTIF(E37:AI37,"=РН/ВВ")+COUNTIF(E37:AI37,"=ВЧ/ВВ"),0)</f>
        <v>10</v>
      </c>
      <c r="AQ37" s="202">
        <f>SUM(AR37:AZ37)</f>
        <v>0</v>
      </c>
      <c r="AR37" s="202">
        <f>IFERROR(SUMIF(E37:AI37,"=В",E38:AI38)+SUMIF(E37:AI37,"=Ч",E38:AI38)+SUMIF(E37:AI37,"=ВБ",E38:AI38),0)</f>
        <v>0</v>
      </c>
      <c r="AS37" s="202">
        <f>IFERROR(SUMIF(E37:AI37,"=Н",E38:AI38),0)</f>
        <v>0</v>
      </c>
      <c r="AT37" s="202">
        <f>IFERROR(SUMIF(E37:AI37,"=НА",E38:AI38),0)</f>
        <v>0</v>
      </c>
      <c r="AU37" s="202">
        <f>IFERROR(SUMIF(E37:AI37,"=ВП",E38:AI38),0)</f>
        <v>0</v>
      </c>
      <c r="AV37" s="202">
        <f>IFERROR(SUMIF(E37:AI37,"=ДД",E38:AI38),0)</f>
        <v>0</v>
      </c>
      <c r="AW37" s="202">
        <f>IFERROR(SUMIF(E37:AI37,"=ДО",E38:AI38),0)</f>
        <v>0</v>
      </c>
      <c r="AX37" s="202">
        <f>IFERROR(SUMIF(E37:AI37,"=ТН",E38:AI38),0)</f>
        <v>0</v>
      </c>
      <c r="AY37" s="202">
        <f>IFERROR(SUMIF(E37:AI37,"=ВД",E38:AI38),0)</f>
        <v>0</v>
      </c>
      <c r="AZ37" s="200">
        <f>IFERROR(SUMIF(E37:AI37,"=ІН",E38:AI38),0)+SUMIF(E37:AI37,"=НЗ",E38:AI38)</f>
        <v>0</v>
      </c>
    </row>
    <row r="38" spans="1:52" s="114" customFormat="1" ht="20.100000000000001" customHeight="1" thickBot="1" x14ac:dyDescent="0.25">
      <c r="A38" s="290"/>
      <c r="B38" s="229"/>
      <c r="C38" s="229"/>
      <c r="D38" s="280"/>
      <c r="E38" s="192"/>
      <c r="F38" s="192"/>
      <c r="G38" s="192">
        <v>8.1999999999999993</v>
      </c>
      <c r="H38" s="192">
        <v>8.1999999999999993</v>
      </c>
      <c r="I38" s="192">
        <v>8.1999999999999993</v>
      </c>
      <c r="J38" s="192">
        <v>8.1999999999999993</v>
      </c>
      <c r="K38" s="192">
        <v>7</v>
      </c>
      <c r="L38" s="192"/>
      <c r="M38" s="192"/>
      <c r="N38" s="192">
        <v>8.1999999999999993</v>
      </c>
      <c r="O38" s="192">
        <v>8.1999999999999993</v>
      </c>
      <c r="P38" s="192">
        <v>8.1999999999999993</v>
      </c>
      <c r="Q38" s="192">
        <v>8.1999999999999993</v>
      </c>
      <c r="R38" s="192">
        <v>7.2</v>
      </c>
      <c r="S38" s="192"/>
      <c r="T38" s="192"/>
      <c r="U38" s="192">
        <v>8.1999999999999993</v>
      </c>
      <c r="V38" s="192">
        <v>8.1999999999999993</v>
      </c>
      <c r="W38" s="192">
        <v>8.1999999999999993</v>
      </c>
      <c r="X38" s="192">
        <v>8.1999999999999993</v>
      </c>
      <c r="Y38" s="192">
        <v>7.2</v>
      </c>
      <c r="Z38" s="192"/>
      <c r="AA38" s="192"/>
      <c r="AB38" s="192">
        <v>8.1999999999999993</v>
      </c>
      <c r="AC38" s="192">
        <v>8.1999999999999993</v>
      </c>
      <c r="AD38" s="192">
        <v>8.1999999999999993</v>
      </c>
      <c r="AE38" s="192">
        <v>8.1999999999999993</v>
      </c>
      <c r="AF38" s="192">
        <v>7.2</v>
      </c>
      <c r="AG38" s="192"/>
      <c r="AH38" s="192"/>
      <c r="AI38" s="192">
        <v>8.1999999999999993</v>
      </c>
      <c r="AJ38" s="214"/>
      <c r="AK38" s="203"/>
      <c r="AL38" s="203"/>
      <c r="AM38" s="203"/>
      <c r="AN38" s="212"/>
      <c r="AO38" s="203"/>
      <c r="AP38" s="203"/>
      <c r="AQ38" s="203"/>
      <c r="AR38" s="203"/>
      <c r="AS38" s="203"/>
      <c r="AT38" s="203"/>
      <c r="AU38" s="203"/>
      <c r="AV38" s="203"/>
      <c r="AW38" s="203"/>
      <c r="AX38" s="203"/>
      <c r="AY38" s="203"/>
      <c r="AZ38" s="201"/>
    </row>
    <row r="39" spans="1:52" ht="20.100000000000001" customHeight="1" x14ac:dyDescent="0.2">
      <c r="A39" s="289">
        <f t="shared" ref="A39:A61" si="8">A37+1</f>
        <v>12</v>
      </c>
      <c r="B39" s="228" t="s">
        <v>235</v>
      </c>
      <c r="C39" s="228">
        <v>63</v>
      </c>
      <c r="D39" s="279" t="s">
        <v>65</v>
      </c>
      <c r="E39" s="191" t="s">
        <v>142</v>
      </c>
      <c r="F39" s="191" t="s">
        <v>142</v>
      </c>
      <c r="G39" s="191" t="s">
        <v>4</v>
      </c>
      <c r="H39" s="191" t="s">
        <v>4</v>
      </c>
      <c r="I39" s="191" t="s">
        <v>4</v>
      </c>
      <c r="J39" s="191" t="s">
        <v>4</v>
      </c>
      <c r="K39" s="191" t="s">
        <v>4</v>
      </c>
      <c r="L39" s="191" t="s">
        <v>142</v>
      </c>
      <c r="M39" s="191" t="s">
        <v>142</v>
      </c>
      <c r="N39" s="191" t="s">
        <v>4</v>
      </c>
      <c r="O39" s="191" t="s">
        <v>4</v>
      </c>
      <c r="P39" s="191" t="s">
        <v>4</v>
      </c>
      <c r="Q39" s="191" t="s">
        <v>4</v>
      </c>
      <c r="R39" s="191" t="s">
        <v>4</v>
      </c>
      <c r="S39" s="191" t="s">
        <v>142</v>
      </c>
      <c r="T39" s="191" t="s">
        <v>142</v>
      </c>
      <c r="U39" s="191" t="s">
        <v>4</v>
      </c>
      <c r="V39" s="191" t="s">
        <v>4</v>
      </c>
      <c r="W39" s="191" t="s">
        <v>4</v>
      </c>
      <c r="X39" s="191" t="s">
        <v>4</v>
      </c>
      <c r="Y39" s="191" t="s">
        <v>4</v>
      </c>
      <c r="Z39" s="191" t="s">
        <v>142</v>
      </c>
      <c r="AA39" s="191" t="s">
        <v>142</v>
      </c>
      <c r="AB39" s="191" t="s">
        <v>4</v>
      </c>
      <c r="AC39" s="191" t="s">
        <v>4</v>
      </c>
      <c r="AD39" s="191" t="s">
        <v>4</v>
      </c>
      <c r="AE39" s="191" t="s">
        <v>4</v>
      </c>
      <c r="AF39" s="191" t="s">
        <v>4</v>
      </c>
      <c r="AG39" s="191" t="s">
        <v>142</v>
      </c>
      <c r="AH39" s="191" t="s">
        <v>142</v>
      </c>
      <c r="AI39" s="191" t="s">
        <v>4</v>
      </c>
      <c r="AJ39" s="213">
        <f>IFERROR(COUNTIF(E39:AI39,"=Р")+COUNTIF(E39:AI39,"=Р1")+COUNTIF(E39:AI39,"=ВЧ")+COUNTIF(E39:AI39,"=РН")+COUNTIF(E39:AI39,"=Р2")+COUNTIF(E39:AI39,"=Р1/РВ")+COUNTIF(E39:AI39,"=Р2/РВ")+COUNTIF(E39:AI39,"=ВЧ/РВ")+COUNTIF(E39:AI39,"=РН/РВ"),0)</f>
        <v>21</v>
      </c>
      <c r="AK39" s="202">
        <f>IFERROR(SUMIF(E39:AI39,"=Р2",E40:AI40)+SUMIF(E39:AI39,"=ВЧ/РВ",E40:AI40)+SUMIF(E39:AI39,"=РН/РВ",E40:AI40)+SUMIF(E39:AI39,"=Р1/РВ",E40:AI40)+SUMIF(E39:AI39,"=ВЧ2/РВ",E40:AI40)+SUMIF(E39:AI39,"=Р2/РВ",E40:AI40)+SUMIF(E39:AI39,"=Р",E40:AI40)+SUMIF(E39:AI39,"=Р1",E40:AI40)+SUMIF(E39:AI39,"=ВЧ1",E40:AI40)+SUMIF(E39:AI39,"=РН",E40:AI40)+SUMIF(E39:AI39,"=ВЧ",E40:AI40),0)+AL39</f>
        <v>167.99999999999997</v>
      </c>
      <c r="AL39" s="202">
        <f>IFERROR(SUMIF(E39:AI39,"=НУ",E40:AI40),0)</f>
        <v>0</v>
      </c>
      <c r="AM39" s="202">
        <f>IFERROR(SUMIF(E39:AI39,"=РН",E40:AI40)+SUMIF(E39:AI39,"=РН/РВ",E40:AI40)+SUMIFS(E40:AI40,E39:AI39,"=Р2",E40:AI40,"=8"),0)</f>
        <v>0</v>
      </c>
      <c r="AN39" s="211">
        <f>IFERROR(SUMIF(E39:AI39,"=ВЧ",E40:AI40)+SUMIF(E39:AI39,"=ВЧ/РВ",E40:AI40)+CEILING(COUNTIFS(E39:AI39,"=Р2",E40:AI40,"=7")*4,1)+CEILING(COUNTIFS(E39:AI39,"=Р2/РВ",E40:AI40,"=7")*4,1)+SUMIFS(E40:AI40,E39:AI39,"=Р1/РВ",E40:AI40,"=12")/6+SUMIFS(E40:AI40,E39:AI39,"=ВЧ2/РВ",E40:AI40,"=4")/2+SUMIFS(E40:AI40,E39:AI39,"=Р1",E40:AI40,"=12")/6+SUMIFS(E40:AI40,E39:AI39,"=Р1",E40:AI40,"=8")/4+SUMIF(E39:AI39,"=ВЧ1",E40:AI40)/2,0)</f>
        <v>0</v>
      </c>
      <c r="AO39" s="202">
        <f>IFERROR(SUMIF(E39:AI39,"=РВ",E40:AI40)+SUMIF(E39:AI39,"=ВЧ/РВ",E40:AI40)+SUMIF(E39:AI39,"=РН/РВ",E40:AI40)+SUMIF(E39:AI39,"=Р1/РВ",E40:AI40)+SUMIF(E39:AI39,"=ВЧ2/РВ",E40:AI40)+SUMIF(E39:AI39,"=Р2/РВ",E40:AI40),0)</f>
        <v>0</v>
      </c>
      <c r="AP39" s="202">
        <f>IFERROR(COUNTIF(E39:AI39,"=ВВ")+COUNTIF(E39:AI39,"=Р1/ВВ")+COUNTIF(E39:AI39,"=РН/ВВ")+COUNTIF(E39:AI39,"=ВЧ/ВВ"),0)</f>
        <v>10</v>
      </c>
      <c r="AQ39" s="202">
        <f>SUM(AR39:AZ39)</f>
        <v>0</v>
      </c>
      <c r="AR39" s="202">
        <f>IFERROR(SUMIF(E39:AI39,"=В",E40:AI40)+SUMIF(E39:AI39,"=Ч",E40:AI40)+SUMIF(E39:AI39,"=ВБ",E40:AI40),0)</f>
        <v>0</v>
      </c>
      <c r="AS39" s="202">
        <f>IFERROR(SUMIF(E39:AI39,"=Н",E40:AI40),0)</f>
        <v>0</v>
      </c>
      <c r="AT39" s="202">
        <f>IFERROR(SUMIF(E39:AI39,"=НА",E40:AI40),0)</f>
        <v>0</v>
      </c>
      <c r="AU39" s="202">
        <f>IFERROR(SUMIF(E39:AI39,"=ВП",E40:AI40),0)</f>
        <v>0</v>
      </c>
      <c r="AV39" s="202">
        <f>IFERROR(SUMIF(E39:AI39,"=ДД",E40:AI40),0)</f>
        <v>0</v>
      </c>
      <c r="AW39" s="202">
        <f>IFERROR(SUMIF(E39:AI39,"=ДО",E40:AI40),0)</f>
        <v>0</v>
      </c>
      <c r="AX39" s="202">
        <f>IFERROR(SUMIF(E39:AI39,"=ТН",E40:AI40),0)</f>
        <v>0</v>
      </c>
      <c r="AY39" s="202">
        <f>IFERROR(SUMIF(E39:AI39,"=ВД",E40:AI40),0)</f>
        <v>0</v>
      </c>
      <c r="AZ39" s="200">
        <f>IFERROR(SUMIF(E39:AI39,"=ІН",E40:AI40),0)+SUMIF(E39:AI39,"=НЗ",E40:AI40)</f>
        <v>0</v>
      </c>
    </row>
    <row r="40" spans="1:52" ht="20.100000000000001" customHeight="1" thickBot="1" x14ac:dyDescent="0.25">
      <c r="A40" s="290"/>
      <c r="B40" s="229"/>
      <c r="C40" s="229"/>
      <c r="D40" s="280"/>
      <c r="E40" s="192"/>
      <c r="F40" s="192"/>
      <c r="G40" s="192">
        <v>8.1999999999999993</v>
      </c>
      <c r="H40" s="192">
        <v>8.1999999999999993</v>
      </c>
      <c r="I40" s="192">
        <v>8.1999999999999993</v>
      </c>
      <c r="J40" s="192">
        <v>8.1999999999999993</v>
      </c>
      <c r="K40" s="192">
        <v>7</v>
      </c>
      <c r="L40" s="192"/>
      <c r="M40" s="192"/>
      <c r="N40" s="192">
        <v>8.1999999999999993</v>
      </c>
      <c r="O40" s="192">
        <v>8.1999999999999993</v>
      </c>
      <c r="P40" s="192">
        <v>8.1999999999999993</v>
      </c>
      <c r="Q40" s="192">
        <v>8.1999999999999993</v>
      </c>
      <c r="R40" s="192">
        <v>7.2</v>
      </c>
      <c r="S40" s="192"/>
      <c r="T40" s="192"/>
      <c r="U40" s="192">
        <v>8.1999999999999993</v>
      </c>
      <c r="V40" s="192">
        <v>8.1999999999999993</v>
      </c>
      <c r="W40" s="192">
        <v>8.1999999999999993</v>
      </c>
      <c r="X40" s="192">
        <v>8.1999999999999993</v>
      </c>
      <c r="Y40" s="192">
        <v>7.2</v>
      </c>
      <c r="Z40" s="192"/>
      <c r="AA40" s="192"/>
      <c r="AB40" s="192">
        <v>8.1999999999999993</v>
      </c>
      <c r="AC40" s="192">
        <v>8.1999999999999993</v>
      </c>
      <c r="AD40" s="192">
        <v>8.1999999999999993</v>
      </c>
      <c r="AE40" s="192">
        <v>8.1999999999999993</v>
      </c>
      <c r="AF40" s="192">
        <v>7.2</v>
      </c>
      <c r="AG40" s="192"/>
      <c r="AH40" s="192"/>
      <c r="AI40" s="192">
        <v>8.1999999999999993</v>
      </c>
      <c r="AJ40" s="214"/>
      <c r="AK40" s="203"/>
      <c r="AL40" s="203"/>
      <c r="AM40" s="203"/>
      <c r="AN40" s="212"/>
      <c r="AO40" s="203"/>
      <c r="AP40" s="203"/>
      <c r="AQ40" s="203"/>
      <c r="AR40" s="203"/>
      <c r="AS40" s="203"/>
      <c r="AT40" s="203"/>
      <c r="AU40" s="203"/>
      <c r="AV40" s="203"/>
      <c r="AW40" s="203"/>
      <c r="AX40" s="203"/>
      <c r="AY40" s="203"/>
      <c r="AZ40" s="201"/>
    </row>
    <row r="41" spans="1:52" s="178" customFormat="1" ht="20.100000000000001" customHeight="1" x14ac:dyDescent="0.2">
      <c r="A41" s="289">
        <f t="shared" si="8"/>
        <v>13</v>
      </c>
      <c r="B41" s="228" t="s">
        <v>457</v>
      </c>
      <c r="C41" s="228">
        <v>2202</v>
      </c>
      <c r="D41" s="279" t="s">
        <v>65</v>
      </c>
      <c r="E41" s="191" t="s">
        <v>4</v>
      </c>
      <c r="F41" s="191" t="s">
        <v>41</v>
      </c>
      <c r="G41" s="191" t="s">
        <v>43</v>
      </c>
      <c r="H41" s="191" t="s">
        <v>142</v>
      </c>
      <c r="I41" s="191" t="s">
        <v>4</v>
      </c>
      <c r="J41" s="191" t="s">
        <v>41</v>
      </c>
      <c r="K41" s="191" t="s">
        <v>43</v>
      </c>
      <c r="L41" s="191" t="s">
        <v>142</v>
      </c>
      <c r="M41" s="191" t="s">
        <v>4</v>
      </c>
      <c r="N41" s="191" t="s">
        <v>41</v>
      </c>
      <c r="O41" s="191" t="s">
        <v>43</v>
      </c>
      <c r="P41" s="191" t="s">
        <v>142</v>
      </c>
      <c r="Q41" s="191" t="s">
        <v>4</v>
      </c>
      <c r="R41" s="191" t="s">
        <v>41</v>
      </c>
      <c r="S41" s="191" t="s">
        <v>43</v>
      </c>
      <c r="T41" s="191" t="s">
        <v>142</v>
      </c>
      <c r="U41" s="191" t="s">
        <v>4</v>
      </c>
      <c r="V41" s="191" t="s">
        <v>41</v>
      </c>
      <c r="W41" s="191" t="s">
        <v>43</v>
      </c>
      <c r="X41" s="191" t="s">
        <v>142</v>
      </c>
      <c r="Y41" s="191" t="s">
        <v>4</v>
      </c>
      <c r="Z41" s="191" t="s">
        <v>41</v>
      </c>
      <c r="AA41" s="191" t="s">
        <v>43</v>
      </c>
      <c r="AB41" s="191" t="s">
        <v>142</v>
      </c>
      <c r="AC41" s="191" t="s">
        <v>4</v>
      </c>
      <c r="AD41" s="191" t="s">
        <v>41</v>
      </c>
      <c r="AE41" s="191" t="s">
        <v>43</v>
      </c>
      <c r="AF41" s="191" t="s">
        <v>142</v>
      </c>
      <c r="AG41" s="191" t="s">
        <v>4</v>
      </c>
      <c r="AH41" s="191" t="s">
        <v>41</v>
      </c>
      <c r="AI41" s="191" t="s">
        <v>43</v>
      </c>
      <c r="AJ41" s="213">
        <f>IFERROR(COUNTIF(E41:AI41,"=Р")+COUNTIF(E41:AI41,"=Р1")+COUNTIF(E41:AI41,"=ВЧ")+COUNTIF(E41:AI41,"=РН")+COUNTIF(E41:AI41,"=Р2")+COUNTIF(E41:AI41,"=Р1/РВ")+COUNTIF(E41:AI41,"=Р2/РВ")+COUNTIF(E41:AI41,"=ВЧ/РВ")+COUNTIF(E41:AI41,"=РН/РВ"),0)</f>
        <v>24</v>
      </c>
      <c r="AK41" s="202">
        <f>IFERROR(SUMIF(E41:AI41,"=Р2",E42:AI42)+SUMIF(E41:AI41,"=ВЧ/РВ",E42:AI42)+SUMIF(E41:AI41,"=РН/РВ",E42:AI42)+SUMIF(E41:AI41,"=Р1/РВ",E42:AI42)+SUMIF(E41:AI41,"=ВЧ2/РВ",E42:AI42)+SUMIF(E41:AI41,"=Р2/РВ",E42:AI42)+SUMIF(E41:AI41,"=Р",E42:AI42)+SUMIF(E41:AI41,"=Р1",E42:AI42)+SUMIF(E41:AI41,"=ВЧ1",E42:AI42)+SUMIF(E41:AI41,"=РН",E42:AI42)+SUMIF(E41:AI41,"=ВЧ",E42:AI42),0)+AL41</f>
        <v>168</v>
      </c>
      <c r="AL41" s="202">
        <f>IFERROR(SUMIF(E41:AI41,"=НУ",E42:AI42),0)</f>
        <v>0</v>
      </c>
      <c r="AM41" s="202">
        <f>IFERROR(SUMIF(E41:AI41,"=РН",E42:AI42)+SUMIF(E41:AI41,"=РН/РВ",E42:AI42)+SUMIFS(E42:AI42,E41:AI41,"=Р2",E42:AI42,"=8"),0)</f>
        <v>64</v>
      </c>
      <c r="AN41" s="211">
        <f>IFERROR(SUMIF(E41:AI41,"=ВЧ",E42:AI42)+SUMIF(E41:AI41,"=ВЧ/РВ",E42:AI42)+CEILING(COUNTIFS(E41:AI41,"=Р2",E42:AI42,"=7")*4,1)+CEILING(COUNTIFS(E41:AI41,"=Р2/РВ",E42:AI42,"=7")*4,1)+SUMIFS(E42:AI42,E41:AI41,"=Р1/РВ",E42:AI42,"=12")/6+SUMIFS(E42:AI42,E41:AI41,"=ВЧ2/РВ",E42:AI42,"=4")/2+SUMIFS(E42:AI42,E41:AI41,"=Р1",E42:AI42,"=12")/6+SUMIFS(E42:AI42,E41:AI41,"=Р1",E42:AI42,"=8")/4+SUMIF(E41:AI41,"=ВЧ1",E42:AI42)/2,0)</f>
        <v>32</v>
      </c>
      <c r="AO41" s="202">
        <f>IFERROR(SUMIF(E41:AI41,"=РВ",E42:AI42)+SUMIF(E41:AI41,"=ВЧ/РВ",E42:AI42)+SUMIF(E41:AI41,"=РН/РВ",E42:AI42)+SUMIF(E41:AI41,"=Р1/РВ",E42:AI42)+SUMIF(E41:AI41,"=ВЧ2/РВ",E42:AI42)+SUMIF(E41:AI41,"=Р2/РВ",E42:AI42),0)</f>
        <v>0</v>
      </c>
      <c r="AP41" s="202">
        <f>IFERROR(COUNTIF(E41:AI41,"=ВВ")+COUNTIF(E41:AI41,"=Р1/ВВ")+COUNTIF(E41:AI41,"=РН/ВВ")+COUNTIF(E41:AI41,"=ВЧ/ВВ"),0)</f>
        <v>7</v>
      </c>
      <c r="AQ41" s="202">
        <f>SUM(AR41:AZ41)</f>
        <v>0</v>
      </c>
      <c r="AR41" s="202">
        <f>IFERROR(SUMIF(E41:AI41,"=В",E42:AI42)+SUMIF(E41:AI41,"=Ч",E42:AI42)+SUMIF(E41:AI41,"=ВБ",E42:AI42),0)</f>
        <v>0</v>
      </c>
      <c r="AS41" s="202">
        <f>IFERROR(SUMIF(E41:AI41,"=Н",E42:AI42),0)</f>
        <v>0</v>
      </c>
      <c r="AT41" s="202">
        <f>IFERROR(SUMIF(E41:AI41,"=НА",E42:AI42),0)</f>
        <v>0</v>
      </c>
      <c r="AU41" s="202">
        <f>IFERROR(SUMIF(E41:AI41,"=ВП",E42:AI42),0)</f>
        <v>0</v>
      </c>
      <c r="AV41" s="202">
        <f>IFERROR(SUMIF(E41:AI41,"=ДД",E42:AI42),0)</f>
        <v>0</v>
      </c>
      <c r="AW41" s="202">
        <f>IFERROR(SUMIF(E41:AI41,"=ДО",E42:AI42),0)</f>
        <v>0</v>
      </c>
      <c r="AX41" s="202">
        <f>IFERROR(SUMIF(E41:AI41,"=ТН",E42:AI42),0)</f>
        <v>0</v>
      </c>
      <c r="AY41" s="202">
        <f>IFERROR(SUMIF(E41:AI41,"=ВД",E42:AI42),0)</f>
        <v>0</v>
      </c>
      <c r="AZ41" s="200">
        <f>IFERROR(SUMIF(E41:AI41,"=ІН",E42:AI42),0)+SUMIF(E41:AI41,"=НЗ",E42:AI42)</f>
        <v>0</v>
      </c>
    </row>
    <row r="42" spans="1:52" s="178" customFormat="1" ht="18" customHeight="1" thickBot="1" x14ac:dyDescent="0.25">
      <c r="A42" s="290"/>
      <c r="B42" s="229"/>
      <c r="C42" s="229"/>
      <c r="D42" s="280"/>
      <c r="E42" s="192">
        <v>10</v>
      </c>
      <c r="F42" s="192">
        <v>4</v>
      </c>
      <c r="G42" s="192">
        <v>8</v>
      </c>
      <c r="H42" s="192"/>
      <c r="I42" s="192">
        <v>10</v>
      </c>
      <c r="J42" s="192">
        <v>4</v>
      </c>
      <c r="K42" s="192">
        <v>8</v>
      </c>
      <c r="L42" s="192"/>
      <c r="M42" s="192">
        <v>10</v>
      </c>
      <c r="N42" s="192">
        <v>4</v>
      </c>
      <c r="O42" s="192">
        <v>8</v>
      </c>
      <c r="P42" s="192"/>
      <c r="Q42" s="192">
        <v>10</v>
      </c>
      <c r="R42" s="192">
        <v>4</v>
      </c>
      <c r="S42" s="192">
        <v>8</v>
      </c>
      <c r="T42" s="192"/>
      <c r="U42" s="192">
        <v>8</v>
      </c>
      <c r="V42" s="192">
        <v>4</v>
      </c>
      <c r="W42" s="192">
        <v>8</v>
      </c>
      <c r="X42" s="192"/>
      <c r="Y42" s="192">
        <v>8</v>
      </c>
      <c r="Z42" s="192">
        <v>4</v>
      </c>
      <c r="AA42" s="192">
        <v>8</v>
      </c>
      <c r="AB42" s="192"/>
      <c r="AC42" s="192">
        <v>8</v>
      </c>
      <c r="AD42" s="192">
        <v>4</v>
      </c>
      <c r="AE42" s="192">
        <v>8</v>
      </c>
      <c r="AF42" s="192"/>
      <c r="AG42" s="192">
        <v>8</v>
      </c>
      <c r="AH42" s="192">
        <v>4</v>
      </c>
      <c r="AI42" s="192">
        <v>8</v>
      </c>
      <c r="AJ42" s="214"/>
      <c r="AK42" s="203"/>
      <c r="AL42" s="203"/>
      <c r="AM42" s="203"/>
      <c r="AN42" s="212"/>
      <c r="AO42" s="203"/>
      <c r="AP42" s="203"/>
      <c r="AQ42" s="203"/>
      <c r="AR42" s="203"/>
      <c r="AS42" s="203"/>
      <c r="AT42" s="203"/>
      <c r="AU42" s="203"/>
      <c r="AV42" s="203"/>
      <c r="AW42" s="203"/>
      <c r="AX42" s="203"/>
      <c r="AY42" s="203"/>
      <c r="AZ42" s="201"/>
    </row>
    <row r="43" spans="1:52" ht="20.100000000000001" customHeight="1" x14ac:dyDescent="0.2">
      <c r="A43" s="289">
        <f t="shared" si="8"/>
        <v>14</v>
      </c>
      <c r="B43" s="228" t="s">
        <v>350</v>
      </c>
      <c r="C43" s="228">
        <v>1807</v>
      </c>
      <c r="D43" s="279" t="s">
        <v>65</v>
      </c>
      <c r="E43" s="191" t="s">
        <v>142</v>
      </c>
      <c r="F43" s="191" t="s">
        <v>142</v>
      </c>
      <c r="G43" s="191" t="s">
        <v>4</v>
      </c>
      <c r="H43" s="191" t="s">
        <v>4</v>
      </c>
      <c r="I43" s="191" t="s">
        <v>4</v>
      </c>
      <c r="J43" s="191" t="s">
        <v>4</v>
      </c>
      <c r="K43" s="191" t="s">
        <v>4</v>
      </c>
      <c r="L43" s="191" t="s">
        <v>142</v>
      </c>
      <c r="M43" s="191" t="s">
        <v>142</v>
      </c>
      <c r="N43" s="191" t="s">
        <v>4</v>
      </c>
      <c r="O43" s="191" t="s">
        <v>4</v>
      </c>
      <c r="P43" s="191" t="s">
        <v>4</v>
      </c>
      <c r="Q43" s="191" t="s">
        <v>4</v>
      </c>
      <c r="R43" s="191" t="s">
        <v>4</v>
      </c>
      <c r="S43" s="191" t="s">
        <v>142</v>
      </c>
      <c r="T43" s="191" t="s">
        <v>142</v>
      </c>
      <c r="U43" s="191" t="s">
        <v>4</v>
      </c>
      <c r="V43" s="191" t="s">
        <v>4</v>
      </c>
      <c r="W43" s="191" t="s">
        <v>4</v>
      </c>
      <c r="X43" s="191" t="s">
        <v>4</v>
      </c>
      <c r="Y43" s="191" t="s">
        <v>4</v>
      </c>
      <c r="Z43" s="191" t="s">
        <v>142</v>
      </c>
      <c r="AA43" s="191" t="s">
        <v>142</v>
      </c>
      <c r="AB43" s="191" t="s">
        <v>4</v>
      </c>
      <c r="AC43" s="191" t="s">
        <v>4</v>
      </c>
      <c r="AD43" s="191" t="s">
        <v>4</v>
      </c>
      <c r="AE43" s="191" t="s">
        <v>4</v>
      </c>
      <c r="AF43" s="191" t="s">
        <v>4</v>
      </c>
      <c r="AG43" s="191" t="s">
        <v>142</v>
      </c>
      <c r="AH43" s="191" t="s">
        <v>142</v>
      </c>
      <c r="AI43" s="191" t="s">
        <v>4</v>
      </c>
      <c r="AJ43" s="213">
        <f>IFERROR(COUNTIF(E43:AI43,"=Р")+COUNTIF(E43:AI43,"=Р1")+COUNTIF(E43:AI43,"=ВЧ")+COUNTIF(E43:AI43,"=РН")+COUNTIF(E43:AI43,"=Р2")+COUNTIF(E43:AI43,"=Р1/РВ")+COUNTIF(E43:AI43,"=Р2/РВ")+COUNTIF(E43:AI43,"=ВЧ/РВ")+COUNTIF(E43:AI43,"=РН/РВ"),0)</f>
        <v>21</v>
      </c>
      <c r="AK43" s="202">
        <f>IFERROR(SUMIF(E43:AI43,"=Р2",E44:AI44)+SUMIF(E43:AI43,"=ВЧ/РВ",E44:AI44)+SUMIF(E43:AI43,"=РН/РВ",E44:AI44)+SUMIF(E43:AI43,"=Р1/РВ",E44:AI44)+SUMIF(E43:AI43,"=ВЧ2/РВ",E44:AI44)+SUMIF(E43:AI43,"=Р2/РВ",E44:AI44)+SUMIF(E43:AI43,"=Р",E44:AI44)+SUMIF(E43:AI43,"=Р1",E44:AI44)+SUMIF(E43:AI43,"=ВЧ1",E44:AI44)+SUMIF(E43:AI43,"=РН",E44:AI44)+SUMIF(E43:AI43,"=ВЧ",E44:AI44),0)+AL43</f>
        <v>167.99999999999997</v>
      </c>
      <c r="AL43" s="202">
        <f>IFERROR(SUMIF(E43:AI43,"=НУ",E44:AI44),0)</f>
        <v>0</v>
      </c>
      <c r="AM43" s="202">
        <f>IFERROR(SUMIF(E43:AI43,"=РН",E44:AI44)+SUMIF(E43:AI43,"=РН/РВ",E44:AI44)+SUMIFS(E44:AI44,E43:AI43,"=Р2",E44:AI44,"=8"),0)</f>
        <v>0</v>
      </c>
      <c r="AN43" s="211">
        <f>IFERROR(SUMIF(E43:AI43,"=ВЧ",E44:AI44)+SUMIF(E43:AI43,"=ВЧ/РВ",E44:AI44)+CEILING(COUNTIFS(E43:AI43,"=Р2",E44:AI44,"=7")*4,1)+CEILING(COUNTIFS(E43:AI43,"=Р2/РВ",E44:AI44,"=7")*4,1)+SUMIFS(E44:AI44,E43:AI43,"=Р1/РВ",E44:AI44,"=12")/6+SUMIFS(E44:AI44,E43:AI43,"=ВЧ2/РВ",E44:AI44,"=4")/2+SUMIFS(E44:AI44,E43:AI43,"=Р1",E44:AI44,"=12")/6+SUMIFS(E44:AI44,E43:AI43,"=Р1",E44:AI44,"=8")/4+SUMIF(E43:AI43,"=ВЧ1",E44:AI44)/2,0)</f>
        <v>0</v>
      </c>
      <c r="AO43" s="202">
        <f>IFERROR(SUMIF(E43:AI43,"=РВ",E44:AI44)+SUMIF(E43:AI43,"=ВЧ/РВ",E44:AI44)+SUMIF(E43:AI43,"=РН/РВ",E44:AI44)+SUMIF(E43:AI43,"=Р1/РВ",E44:AI44)+SUMIF(E43:AI43,"=ВЧ2/РВ",E44:AI44)+SUMIF(E43:AI43,"=Р2/РВ",E44:AI44),0)</f>
        <v>0</v>
      </c>
      <c r="AP43" s="202">
        <f>IFERROR(COUNTIF(E43:AI43,"=ВВ")+COUNTIF(E43:AI43,"=Р1/ВВ")+COUNTIF(E43:AI43,"=РН/ВВ")+COUNTIF(E43:AI43,"=ВЧ/ВВ"),0)</f>
        <v>10</v>
      </c>
      <c r="AQ43" s="202">
        <f>SUM(AR43:AZ43)</f>
        <v>0</v>
      </c>
      <c r="AR43" s="202">
        <f>IFERROR(SUMIF(E43:AI43,"=В",E44:AI44)+SUMIF(E43:AI43,"=Ч",E44:AI44)+SUMIF(E43:AI43,"=ВБ",E44:AI44),0)</f>
        <v>0</v>
      </c>
      <c r="AS43" s="202">
        <f>IFERROR(SUMIF(E43:AI43,"=Н",E44:AI44),0)</f>
        <v>0</v>
      </c>
      <c r="AT43" s="202">
        <f>IFERROR(SUMIF(E43:AI43,"=НА",E44:AI44),0)</f>
        <v>0</v>
      </c>
      <c r="AU43" s="202">
        <f>IFERROR(SUMIF(E43:AI43,"=ВП",E44:AI44),0)</f>
        <v>0</v>
      </c>
      <c r="AV43" s="202">
        <f>IFERROR(SUMIF(E43:AI43,"=ДД",E44:AI44),0)</f>
        <v>0</v>
      </c>
      <c r="AW43" s="202">
        <f>IFERROR(SUMIF(E43:AI43,"=ДО",E44:AI44),0)</f>
        <v>0</v>
      </c>
      <c r="AX43" s="202">
        <f>IFERROR(SUMIF(E43:AI43,"=ТН",E44:AI44),0)</f>
        <v>0</v>
      </c>
      <c r="AY43" s="202">
        <f>IFERROR(SUMIF(E43:AI43,"=ВД",E44:AI44),0)</f>
        <v>0</v>
      </c>
      <c r="AZ43" s="200">
        <f>IFERROR(SUMIF(E43:AI43,"=ІН",E44:AI44),0)+SUMIF(E43:AI43,"=НЗ",E44:AI44)</f>
        <v>0</v>
      </c>
    </row>
    <row r="44" spans="1:52" ht="18.75" customHeight="1" thickBot="1" x14ac:dyDescent="0.25">
      <c r="A44" s="290"/>
      <c r="B44" s="229"/>
      <c r="C44" s="229"/>
      <c r="D44" s="280"/>
      <c r="E44" s="192"/>
      <c r="F44" s="192"/>
      <c r="G44" s="192">
        <v>8.1999999999999993</v>
      </c>
      <c r="H44" s="192">
        <v>8.1999999999999993</v>
      </c>
      <c r="I44" s="192">
        <v>8.1999999999999993</v>
      </c>
      <c r="J44" s="192">
        <v>8.1999999999999993</v>
      </c>
      <c r="K44" s="192">
        <v>7</v>
      </c>
      <c r="L44" s="192"/>
      <c r="M44" s="192"/>
      <c r="N44" s="192">
        <v>8.1999999999999993</v>
      </c>
      <c r="O44" s="192">
        <v>8.1999999999999993</v>
      </c>
      <c r="P44" s="192">
        <v>8.1999999999999993</v>
      </c>
      <c r="Q44" s="192">
        <v>8.1999999999999993</v>
      </c>
      <c r="R44" s="192">
        <v>7.2</v>
      </c>
      <c r="S44" s="192"/>
      <c r="T44" s="192"/>
      <c r="U44" s="192">
        <v>8.1999999999999993</v>
      </c>
      <c r="V44" s="192">
        <v>8.1999999999999993</v>
      </c>
      <c r="W44" s="192">
        <v>8.1999999999999993</v>
      </c>
      <c r="X44" s="192">
        <v>8.1999999999999993</v>
      </c>
      <c r="Y44" s="192">
        <v>7.2</v>
      </c>
      <c r="Z44" s="192"/>
      <c r="AA44" s="192"/>
      <c r="AB44" s="192">
        <v>8.1999999999999993</v>
      </c>
      <c r="AC44" s="192">
        <v>8.1999999999999993</v>
      </c>
      <c r="AD44" s="192">
        <v>8.1999999999999993</v>
      </c>
      <c r="AE44" s="192">
        <v>8.1999999999999993</v>
      </c>
      <c r="AF44" s="192">
        <v>7.2</v>
      </c>
      <c r="AG44" s="192"/>
      <c r="AH44" s="192"/>
      <c r="AI44" s="192">
        <v>8.1999999999999993</v>
      </c>
      <c r="AJ44" s="214"/>
      <c r="AK44" s="203"/>
      <c r="AL44" s="203"/>
      <c r="AM44" s="203"/>
      <c r="AN44" s="212"/>
      <c r="AO44" s="203"/>
      <c r="AP44" s="203"/>
      <c r="AQ44" s="203"/>
      <c r="AR44" s="203"/>
      <c r="AS44" s="203"/>
      <c r="AT44" s="203"/>
      <c r="AU44" s="203"/>
      <c r="AV44" s="203"/>
      <c r="AW44" s="203"/>
      <c r="AX44" s="203"/>
      <c r="AY44" s="203"/>
      <c r="AZ44" s="201"/>
    </row>
    <row r="45" spans="1:52" ht="20.100000000000001" customHeight="1" x14ac:dyDescent="0.2">
      <c r="A45" s="289">
        <f t="shared" si="8"/>
        <v>15</v>
      </c>
      <c r="B45" s="228" t="s">
        <v>236</v>
      </c>
      <c r="C45" s="228">
        <v>1931</v>
      </c>
      <c r="D45" s="279" t="s">
        <v>65</v>
      </c>
      <c r="E45" s="191" t="s">
        <v>142</v>
      </c>
      <c r="F45" s="191" t="s">
        <v>142</v>
      </c>
      <c r="G45" s="191" t="s">
        <v>4</v>
      </c>
      <c r="H45" s="191" t="s">
        <v>4</v>
      </c>
      <c r="I45" s="191" t="s">
        <v>4</v>
      </c>
      <c r="J45" s="191" t="s">
        <v>4</v>
      </c>
      <c r="K45" s="191" t="s">
        <v>4</v>
      </c>
      <c r="L45" s="191" t="s">
        <v>142</v>
      </c>
      <c r="M45" s="191" t="s">
        <v>142</v>
      </c>
      <c r="N45" s="191" t="s">
        <v>4</v>
      </c>
      <c r="O45" s="191" t="s">
        <v>4</v>
      </c>
      <c r="P45" s="191" t="s">
        <v>4</v>
      </c>
      <c r="Q45" s="191" t="s">
        <v>4</v>
      </c>
      <c r="R45" s="191" t="s">
        <v>4</v>
      </c>
      <c r="S45" s="191" t="s">
        <v>142</v>
      </c>
      <c r="T45" s="191" t="s">
        <v>142</v>
      </c>
      <c r="U45" s="191" t="s">
        <v>4</v>
      </c>
      <c r="V45" s="191" t="s">
        <v>4</v>
      </c>
      <c r="W45" s="191" t="s">
        <v>4</v>
      </c>
      <c r="X45" s="191" t="s">
        <v>4</v>
      </c>
      <c r="Y45" s="191" t="s">
        <v>4</v>
      </c>
      <c r="Z45" s="191" t="s">
        <v>142</v>
      </c>
      <c r="AA45" s="191" t="s">
        <v>142</v>
      </c>
      <c r="AB45" s="191" t="s">
        <v>4</v>
      </c>
      <c r="AC45" s="191" t="s">
        <v>4</v>
      </c>
      <c r="AD45" s="191" t="s">
        <v>4</v>
      </c>
      <c r="AE45" s="191" t="s">
        <v>4</v>
      </c>
      <c r="AF45" s="191" t="s">
        <v>4</v>
      </c>
      <c r="AG45" s="191" t="s">
        <v>142</v>
      </c>
      <c r="AH45" s="191" t="s">
        <v>142</v>
      </c>
      <c r="AI45" s="191" t="s">
        <v>4</v>
      </c>
      <c r="AJ45" s="213">
        <f>IFERROR(COUNTIF(E45:AI45,"=Р")+COUNTIF(E45:AI45,"=Р1")+COUNTIF(E45:AI45,"=ВЧ")+COUNTIF(E45:AI45,"=РН")+COUNTIF(E45:AI45,"=Р2")+COUNTIF(E45:AI45,"=Р1/РВ")+COUNTIF(E45:AI45,"=Р2/РВ")+COUNTIF(E45:AI45,"=ВЧ/РВ")+COUNTIF(E45:AI45,"=РН/РВ"),0)</f>
        <v>21</v>
      </c>
      <c r="AK45" s="202">
        <f>IFERROR(SUMIF(E45:AI45,"=Р2",E46:AI46)+SUMIF(E45:AI45,"=ВЧ/РВ",E46:AI46)+SUMIF(E45:AI45,"=РН/РВ",E46:AI46)+SUMIF(E45:AI45,"=Р1/РВ",E46:AI46)+SUMIF(E45:AI45,"=ВЧ2/РВ",E46:AI46)+SUMIF(E45:AI45,"=Р2/РВ",E46:AI46)+SUMIF(E45:AI45,"=Р",E46:AI46)+SUMIF(E45:AI45,"=Р1",E46:AI46)+SUMIF(E45:AI45,"=ВЧ1",E46:AI46)+SUMIF(E45:AI45,"=РН",E46:AI46)+SUMIF(E45:AI45,"=ВЧ",E46:AI46),0)+AL45</f>
        <v>167.99999999999997</v>
      </c>
      <c r="AL45" s="202">
        <f>IFERROR(SUMIF(E45:AI45,"=НУ",E46:AI46),0)</f>
        <v>0</v>
      </c>
      <c r="AM45" s="202">
        <f>IFERROR(SUMIF(E45:AI45,"=РН",E46:AI46)+SUMIF(E45:AI45,"=РН/РВ",E46:AI46)+SUMIFS(E46:AI46,E45:AI45,"=Р2",E46:AI46,"=8"),0)</f>
        <v>0</v>
      </c>
      <c r="AN45" s="211">
        <f>IFERROR(SUMIF(E45:AI45,"=ВЧ",E46:AI46)+SUMIF(E45:AI45,"=ВЧ/РВ",E46:AI46)+CEILING(COUNTIFS(E45:AI45,"=Р2",E46:AI46,"=7")*4,1)+CEILING(COUNTIFS(E45:AI45,"=Р2/РВ",E46:AI46,"=7")*4,1)+SUMIFS(E46:AI46,E45:AI45,"=Р1/РВ",E46:AI46,"=12")/6+SUMIFS(E46:AI46,E45:AI45,"=ВЧ2/РВ",E46:AI46,"=4")/2+SUMIFS(E46:AI46,E45:AI45,"=Р1",E46:AI46,"=12")/6+SUMIFS(E46:AI46,E45:AI45,"=Р1",E46:AI46,"=8")/4+SUMIF(E45:AI45,"=ВЧ1",E46:AI46)/2,0)</f>
        <v>0</v>
      </c>
      <c r="AO45" s="202">
        <f>IFERROR(SUMIF(E45:AI45,"=РВ",E46:AI46)+SUMIF(E45:AI45,"=ВЧ/РВ",E46:AI46)+SUMIF(E45:AI45,"=РН/РВ",E46:AI46)+SUMIF(E45:AI45,"=Р1/РВ",E46:AI46)+SUMIF(E45:AI45,"=ВЧ2/РВ",E46:AI46)+SUMIF(E45:AI45,"=Р2/РВ",E46:AI46),0)</f>
        <v>0</v>
      </c>
      <c r="AP45" s="202">
        <f>IFERROR(COUNTIF(E45:AI45,"=ВВ")+COUNTIF(E45:AI45,"=Р1/ВВ")+COUNTIF(E45:AI45,"=РН/ВВ")+COUNTIF(E45:AI45,"=ВЧ/ВВ"),0)</f>
        <v>10</v>
      </c>
      <c r="AQ45" s="202">
        <f>SUM(AR45:AZ45)</f>
        <v>0</v>
      </c>
      <c r="AR45" s="202">
        <f>IFERROR(SUMIF(E45:AI45,"=В",E46:AI46)+SUMIF(E45:AI45,"=Ч",E46:AI46)+SUMIF(E45:AI45,"=ВБ",E46:AI46),0)</f>
        <v>0</v>
      </c>
      <c r="AS45" s="202">
        <f>IFERROR(SUMIF(E45:AI45,"=Н",E46:AI46),0)</f>
        <v>0</v>
      </c>
      <c r="AT45" s="202">
        <f>IFERROR(SUMIF(E45:AI45,"=НА",E46:AI46),0)</f>
        <v>0</v>
      </c>
      <c r="AU45" s="202">
        <f>IFERROR(SUMIF(E45:AI45,"=ВП",E46:AI46),0)</f>
        <v>0</v>
      </c>
      <c r="AV45" s="202">
        <f>IFERROR(SUMIF(E45:AI45,"=ДД",E46:AI46),0)</f>
        <v>0</v>
      </c>
      <c r="AW45" s="202">
        <f>IFERROR(SUMIF(E45:AI45,"=ДО",E46:AI46),0)</f>
        <v>0</v>
      </c>
      <c r="AX45" s="202">
        <f>IFERROR(SUMIF(E45:AI45,"=ТН",E46:AI46),0)</f>
        <v>0</v>
      </c>
      <c r="AY45" s="202">
        <f>IFERROR(SUMIF(E45:AI45,"=ВД",E46:AI46),0)</f>
        <v>0</v>
      </c>
      <c r="AZ45" s="200">
        <f>IFERROR(SUMIF(E45:AI45,"=ІН",E46:AI46),0)+SUMIF(E45:AI45,"=НЗ",E46:AI46)</f>
        <v>0</v>
      </c>
    </row>
    <row r="46" spans="1:52" ht="18.75" customHeight="1" thickBot="1" x14ac:dyDescent="0.25">
      <c r="A46" s="290"/>
      <c r="B46" s="229"/>
      <c r="C46" s="229"/>
      <c r="D46" s="280"/>
      <c r="E46" s="192"/>
      <c r="F46" s="192"/>
      <c r="G46" s="192">
        <v>8.1999999999999993</v>
      </c>
      <c r="H46" s="192">
        <v>8.1999999999999993</v>
      </c>
      <c r="I46" s="192">
        <v>8.1999999999999993</v>
      </c>
      <c r="J46" s="192">
        <v>8.1999999999999993</v>
      </c>
      <c r="K46" s="192">
        <v>7</v>
      </c>
      <c r="L46" s="192"/>
      <c r="M46" s="192"/>
      <c r="N46" s="192">
        <v>8.1999999999999993</v>
      </c>
      <c r="O46" s="192">
        <v>8.1999999999999993</v>
      </c>
      <c r="P46" s="192">
        <v>8.1999999999999993</v>
      </c>
      <c r="Q46" s="192">
        <v>8.1999999999999993</v>
      </c>
      <c r="R46" s="192">
        <v>7.2</v>
      </c>
      <c r="S46" s="192"/>
      <c r="T46" s="192"/>
      <c r="U46" s="192">
        <v>8.1999999999999993</v>
      </c>
      <c r="V46" s="192">
        <v>8.1999999999999993</v>
      </c>
      <c r="W46" s="192">
        <v>8.1999999999999993</v>
      </c>
      <c r="X46" s="192">
        <v>8.1999999999999993</v>
      </c>
      <c r="Y46" s="192">
        <v>7.2</v>
      </c>
      <c r="Z46" s="192"/>
      <c r="AA46" s="192"/>
      <c r="AB46" s="192">
        <v>8.1999999999999993</v>
      </c>
      <c r="AC46" s="192">
        <v>8.1999999999999993</v>
      </c>
      <c r="AD46" s="192">
        <v>8.1999999999999993</v>
      </c>
      <c r="AE46" s="192">
        <v>8.1999999999999993</v>
      </c>
      <c r="AF46" s="192">
        <v>7.2</v>
      </c>
      <c r="AG46" s="192"/>
      <c r="AH46" s="192"/>
      <c r="AI46" s="192">
        <v>8.1999999999999993</v>
      </c>
      <c r="AJ46" s="214"/>
      <c r="AK46" s="203"/>
      <c r="AL46" s="203"/>
      <c r="AM46" s="203"/>
      <c r="AN46" s="212"/>
      <c r="AO46" s="203"/>
      <c r="AP46" s="203"/>
      <c r="AQ46" s="203"/>
      <c r="AR46" s="203"/>
      <c r="AS46" s="203"/>
      <c r="AT46" s="203"/>
      <c r="AU46" s="203"/>
      <c r="AV46" s="203"/>
      <c r="AW46" s="203"/>
      <c r="AX46" s="203"/>
      <c r="AY46" s="203"/>
      <c r="AZ46" s="201"/>
    </row>
    <row r="47" spans="1:52" ht="20.100000000000001" customHeight="1" x14ac:dyDescent="0.2">
      <c r="A47" s="289">
        <f t="shared" si="8"/>
        <v>16</v>
      </c>
      <c r="B47" s="302" t="s">
        <v>326</v>
      </c>
      <c r="C47" s="302">
        <v>2072</v>
      </c>
      <c r="D47" s="279" t="s">
        <v>65</v>
      </c>
      <c r="E47" s="191" t="s">
        <v>142</v>
      </c>
      <c r="F47" s="191" t="s">
        <v>4</v>
      </c>
      <c r="G47" s="191" t="s">
        <v>41</v>
      </c>
      <c r="H47" s="191" t="s">
        <v>43</v>
      </c>
      <c r="I47" s="191" t="s">
        <v>142</v>
      </c>
      <c r="J47" s="191" t="s">
        <v>4</v>
      </c>
      <c r="K47" s="191" t="s">
        <v>41</v>
      </c>
      <c r="L47" s="191" t="s">
        <v>43</v>
      </c>
      <c r="M47" s="191" t="s">
        <v>142</v>
      </c>
      <c r="N47" s="191" t="s">
        <v>4</v>
      </c>
      <c r="O47" s="191" t="s">
        <v>41</v>
      </c>
      <c r="P47" s="191" t="s">
        <v>43</v>
      </c>
      <c r="Q47" s="191" t="s">
        <v>142</v>
      </c>
      <c r="R47" s="191" t="s">
        <v>4</v>
      </c>
      <c r="S47" s="191" t="s">
        <v>41</v>
      </c>
      <c r="T47" s="191" t="s">
        <v>43</v>
      </c>
      <c r="U47" s="191" t="s">
        <v>142</v>
      </c>
      <c r="V47" s="191" t="s">
        <v>4</v>
      </c>
      <c r="W47" s="191" t="s">
        <v>41</v>
      </c>
      <c r="X47" s="191" t="s">
        <v>43</v>
      </c>
      <c r="Y47" s="191" t="s">
        <v>142</v>
      </c>
      <c r="Z47" s="191" t="s">
        <v>4</v>
      </c>
      <c r="AA47" s="191" t="s">
        <v>41</v>
      </c>
      <c r="AB47" s="191" t="s">
        <v>43</v>
      </c>
      <c r="AC47" s="191" t="s">
        <v>142</v>
      </c>
      <c r="AD47" s="191" t="s">
        <v>4</v>
      </c>
      <c r="AE47" s="191" t="s">
        <v>41</v>
      </c>
      <c r="AF47" s="191" t="s">
        <v>43</v>
      </c>
      <c r="AG47" s="191" t="s">
        <v>142</v>
      </c>
      <c r="AH47" s="191" t="s">
        <v>4</v>
      </c>
      <c r="AI47" s="191" t="s">
        <v>41</v>
      </c>
      <c r="AJ47" s="213">
        <f>IFERROR(COUNTIF(E47:AI47,"=Р")+COUNTIF(E47:AI47,"=Р1")+COUNTIF(E47:AI47,"=ВЧ")+COUNTIF(E47:AI47,"=РН")+COUNTIF(E47:AI47,"=Р2")+COUNTIF(E47:AI47,"=Р1/РВ")+COUNTIF(E47:AI47,"=Р2/РВ")+COUNTIF(E47:AI47,"=ВЧ/РВ")+COUNTIF(E47:AI47,"=РН/РВ"),0)</f>
        <v>23</v>
      </c>
      <c r="AK47" s="202">
        <f>IFERROR(SUMIF(E47:AI47,"=Р2",E48:AI48)+SUMIF(E47:AI47,"=ВЧ/РВ",E48:AI48)+SUMIF(E47:AI47,"=РН/РВ",E48:AI48)+SUMIF(E47:AI47,"=Р1/РВ",E48:AI48)+SUMIF(E47:AI47,"=ВЧ2/РВ",E48:AI48)+SUMIF(E47:AI47,"=Р2/РВ",E48:AI48)+SUMIF(E47:AI47,"=Р",E48:AI48)+SUMIF(E47:AI47,"=Р1",E48:AI48)+SUMIF(E47:AI47,"=ВЧ1",E48:AI48)+SUMIF(E47:AI47,"=РН",E48:AI48)+SUMIF(E47:AI47,"=ВЧ",E48:AI48),0)+AL47</f>
        <v>168</v>
      </c>
      <c r="AL47" s="202">
        <f>IFERROR(SUMIF(E47:AI47,"=НУ",E48:AI48),0)</f>
        <v>0</v>
      </c>
      <c r="AM47" s="202">
        <f>IFERROR(SUMIF(E47:AI47,"=РН",E48:AI48)+SUMIF(E47:AI47,"=РН/РВ",E48:AI48)+SUMIFS(E48:AI48,E47:AI47,"=Р2",E48:AI48,"=8"),0)</f>
        <v>56</v>
      </c>
      <c r="AN47" s="211">
        <f>IFERROR(SUMIF(E47:AI47,"=ВЧ",E48:AI48)+SUMIF(E47:AI47,"=ВЧ/РВ",E48:AI48)+CEILING(COUNTIFS(E47:AI47,"=Р2",E48:AI48,"=7")*4,1)+CEILING(COUNTIFS(E47:AI47,"=Р2/РВ",E48:AI48,"=7")*4,1)+SUMIFS(E48:AI48,E47:AI47,"=Р1/РВ",E48:AI48,"=12")/6+SUMIFS(E48:AI48,E47:AI47,"=ВЧ2/РВ",E48:AI48,"=4")/2+SUMIFS(E48:AI48,E47:AI47,"=Р1",E48:AI48,"=12")/6+SUMIFS(E48:AI48,E47:AI47,"=Р1",E48:AI48,"=8")/4+SUMIF(E47:AI47,"=ВЧ1",E48:AI48)/2,0)</f>
        <v>32</v>
      </c>
      <c r="AO47" s="202">
        <f>IFERROR(SUMIF(E47:AI47,"=РВ",E48:AI48)+SUMIF(E47:AI47,"=ВЧ/РВ",E48:AI48)+SUMIF(E47:AI47,"=РН/РВ",E48:AI48)+SUMIF(E47:AI47,"=Р1/РВ",E48:AI48)+SUMIF(E47:AI47,"=ВЧ2/РВ",E48:AI48)+SUMIF(E47:AI47,"=Р2/РВ",E48:AI48),0)</f>
        <v>0</v>
      </c>
      <c r="AP47" s="202">
        <f>IFERROR(COUNTIF(E47:AI47,"=ВВ")+COUNTIF(E47:AI47,"=Р1/ВВ")+COUNTIF(E47:AI47,"=РН/ВВ")+COUNTIF(E47:AI47,"=ВЧ/ВВ"),0)</f>
        <v>8</v>
      </c>
      <c r="AQ47" s="202">
        <f>SUM(AR47:AZ47)</f>
        <v>0</v>
      </c>
      <c r="AR47" s="202">
        <f>IFERROR(SUMIF(E47:AI47,"=В",E48:AI48)+SUMIF(E47:AI47,"=Ч",E48:AI48)+SUMIF(E47:AI47,"=ВБ",E48:AI48),0)</f>
        <v>0</v>
      </c>
      <c r="AS47" s="202">
        <f>IFERROR(SUMIF(E47:AI47,"=Н",E48:AI48),0)</f>
        <v>0</v>
      </c>
      <c r="AT47" s="202">
        <f>IFERROR(SUMIF(E47:AI47,"=НА",E48:AI48),0)</f>
        <v>0</v>
      </c>
      <c r="AU47" s="202">
        <f>IFERROR(SUMIF(E47:AI47,"=ВП",E48:AI48),0)</f>
        <v>0</v>
      </c>
      <c r="AV47" s="202">
        <f>IFERROR(SUMIF(E47:AI47,"=ДД",E48:AI48),0)</f>
        <v>0</v>
      </c>
      <c r="AW47" s="202">
        <f>IFERROR(SUMIF(E47:AI47,"=ДО",E48:AI48),0)</f>
        <v>0</v>
      </c>
      <c r="AX47" s="202">
        <f>IFERROR(SUMIF(E47:AI47,"=ТН",E48:AI48),0)</f>
        <v>0</v>
      </c>
      <c r="AY47" s="202">
        <f>IFERROR(SUMIF(E47:AI47,"=ВД",E48:AI48),0)</f>
        <v>0</v>
      </c>
      <c r="AZ47" s="200">
        <f>IFERROR(SUMIF(E47:AI47,"=ІН",E48:AI48),0)+SUMIF(E47:AI47,"=НЗ",E48:AI48)</f>
        <v>0</v>
      </c>
    </row>
    <row r="48" spans="1:52" ht="14.25" customHeight="1" thickBot="1" x14ac:dyDescent="0.25">
      <c r="A48" s="290"/>
      <c r="B48" s="303"/>
      <c r="C48" s="304"/>
      <c r="D48" s="280"/>
      <c r="E48" s="192"/>
      <c r="F48" s="192">
        <v>10</v>
      </c>
      <c r="G48" s="192">
        <v>4</v>
      </c>
      <c r="H48" s="192">
        <v>8</v>
      </c>
      <c r="I48" s="192"/>
      <c r="J48" s="192">
        <v>10</v>
      </c>
      <c r="K48" s="192">
        <v>4</v>
      </c>
      <c r="L48" s="192">
        <v>8</v>
      </c>
      <c r="M48" s="192"/>
      <c r="N48" s="192">
        <v>10</v>
      </c>
      <c r="O48" s="192">
        <v>4</v>
      </c>
      <c r="P48" s="192">
        <v>8</v>
      </c>
      <c r="Q48" s="192"/>
      <c r="R48" s="192">
        <v>10</v>
      </c>
      <c r="S48" s="192">
        <v>4</v>
      </c>
      <c r="T48" s="192">
        <v>8</v>
      </c>
      <c r="U48" s="192"/>
      <c r="V48" s="192">
        <v>10</v>
      </c>
      <c r="W48" s="192">
        <v>4</v>
      </c>
      <c r="X48" s="192">
        <v>8</v>
      </c>
      <c r="Y48" s="192"/>
      <c r="Z48" s="192">
        <v>10</v>
      </c>
      <c r="AA48" s="192">
        <v>4</v>
      </c>
      <c r="AB48" s="192">
        <v>8</v>
      </c>
      <c r="AC48" s="192"/>
      <c r="AD48" s="192">
        <v>10</v>
      </c>
      <c r="AE48" s="192">
        <v>4</v>
      </c>
      <c r="AF48" s="192">
        <v>8</v>
      </c>
      <c r="AG48" s="192"/>
      <c r="AH48" s="192">
        <v>10</v>
      </c>
      <c r="AI48" s="192">
        <v>4</v>
      </c>
      <c r="AJ48" s="214"/>
      <c r="AK48" s="203"/>
      <c r="AL48" s="203"/>
      <c r="AM48" s="203"/>
      <c r="AN48" s="212"/>
      <c r="AO48" s="203"/>
      <c r="AP48" s="203"/>
      <c r="AQ48" s="203"/>
      <c r="AR48" s="203"/>
      <c r="AS48" s="203"/>
      <c r="AT48" s="203"/>
      <c r="AU48" s="203"/>
      <c r="AV48" s="203"/>
      <c r="AW48" s="203"/>
      <c r="AX48" s="203"/>
      <c r="AY48" s="203"/>
      <c r="AZ48" s="201"/>
    </row>
    <row r="49" spans="1:52" ht="20.100000000000001" customHeight="1" x14ac:dyDescent="0.2">
      <c r="A49" s="289">
        <f t="shared" si="8"/>
        <v>17</v>
      </c>
      <c r="B49" s="228" t="s">
        <v>237</v>
      </c>
      <c r="C49" s="228">
        <v>1702</v>
      </c>
      <c r="D49" s="279" t="s">
        <v>65</v>
      </c>
      <c r="E49" s="191" t="s">
        <v>43</v>
      </c>
      <c r="F49" s="191" t="s">
        <v>142</v>
      </c>
      <c r="G49" s="191" t="s">
        <v>4</v>
      </c>
      <c r="H49" s="191" t="s">
        <v>41</v>
      </c>
      <c r="I49" s="191" t="s">
        <v>43</v>
      </c>
      <c r="J49" s="191" t="s">
        <v>142</v>
      </c>
      <c r="K49" s="191" t="s">
        <v>4</v>
      </c>
      <c r="L49" s="191" t="s">
        <v>41</v>
      </c>
      <c r="M49" s="191" t="s">
        <v>43</v>
      </c>
      <c r="N49" s="191" t="s">
        <v>142</v>
      </c>
      <c r="O49" s="191" t="s">
        <v>4</v>
      </c>
      <c r="P49" s="191" t="s">
        <v>41</v>
      </c>
      <c r="Q49" s="191" t="s">
        <v>43</v>
      </c>
      <c r="R49" s="191" t="s">
        <v>142</v>
      </c>
      <c r="S49" s="191" t="s">
        <v>4</v>
      </c>
      <c r="T49" s="191" t="s">
        <v>41</v>
      </c>
      <c r="U49" s="191" t="s">
        <v>43</v>
      </c>
      <c r="V49" s="191" t="s">
        <v>142</v>
      </c>
      <c r="W49" s="191" t="s">
        <v>4</v>
      </c>
      <c r="X49" s="191" t="s">
        <v>41</v>
      </c>
      <c r="Y49" s="191" t="s">
        <v>43</v>
      </c>
      <c r="Z49" s="191" t="s">
        <v>142</v>
      </c>
      <c r="AA49" s="191" t="s">
        <v>4</v>
      </c>
      <c r="AB49" s="191" t="s">
        <v>41</v>
      </c>
      <c r="AC49" s="191" t="s">
        <v>43</v>
      </c>
      <c r="AD49" s="191" t="s">
        <v>142</v>
      </c>
      <c r="AE49" s="191" t="s">
        <v>4</v>
      </c>
      <c r="AF49" s="191" t="s">
        <v>41</v>
      </c>
      <c r="AG49" s="191" t="s">
        <v>43</v>
      </c>
      <c r="AH49" s="191" t="s">
        <v>142</v>
      </c>
      <c r="AI49" s="191" t="s">
        <v>4</v>
      </c>
      <c r="AJ49" s="213">
        <f>IFERROR(COUNTIF(E49:AI49,"=Р")+COUNTIF(E49:AI49,"=Р1")+COUNTIF(E49:AI49,"=ВЧ")+COUNTIF(E49:AI49,"=РН")+COUNTIF(E49:AI49,"=Р2")+COUNTIF(E49:AI49,"=Р1/РВ")+COUNTIF(E49:AI49,"=Р2/РВ")+COUNTIF(E49:AI49,"=ВЧ/РВ")+COUNTIF(E49:AI49,"=РН/РВ"),0)</f>
        <v>23</v>
      </c>
      <c r="AK49" s="202">
        <f>IFERROR(SUMIF(E49:AI49,"=Р2",E50:AI50)+SUMIF(E49:AI49,"=ВЧ/РВ",E50:AI50)+SUMIF(E49:AI49,"=РН/РВ",E50:AI50)+SUMIF(E49:AI49,"=Р1/РВ",E50:AI50)+SUMIF(E49:AI49,"=ВЧ2/РВ",E50:AI50)+SUMIF(E49:AI49,"=Р2/РВ",E50:AI50)+SUMIF(E49:AI49,"=Р",E50:AI50)+SUMIF(E49:AI49,"=Р1",E50:AI50)+SUMIF(E49:AI49,"=ВЧ1",E50:AI50)+SUMIF(E49:AI49,"=РН",E50:AI50)+SUMIF(E49:AI49,"=ВЧ",E50:AI50),0)+AL49</f>
        <v>168</v>
      </c>
      <c r="AL49" s="202">
        <f>IFERROR(SUMIF(E49:AI49,"=НУ",E50:AI50),0)</f>
        <v>0</v>
      </c>
      <c r="AM49" s="202">
        <f>IFERROR(SUMIF(E49:AI49,"=РН",E50:AI50)+SUMIF(E49:AI49,"=РН/РВ",E50:AI50)+SUMIFS(E50:AI50,E49:AI49,"=Р2",E50:AI50,"=8"),0)</f>
        <v>64</v>
      </c>
      <c r="AN49" s="211">
        <f>IFERROR(SUMIF(E49:AI49,"=ВЧ",E50:AI50)+SUMIF(E49:AI49,"=ВЧ/РВ",E50:AI50)+CEILING(COUNTIFS(E49:AI49,"=Р2",E50:AI50,"=7")*4,1)+CEILING(COUNTIFS(E49:AI49,"=Р2/РВ",E50:AI50,"=7")*4,1)+SUMIFS(E50:AI50,E49:AI49,"=Р1/РВ",E50:AI50,"=12")/6+SUMIFS(E50:AI50,E49:AI49,"=ВЧ2/РВ",E50:AI50,"=4")/2+SUMIFS(E50:AI50,E49:AI49,"=Р1",E50:AI50,"=12")/6+SUMIFS(E50:AI50,E49:AI49,"=Р1",E50:AI50,"=8")/4+SUMIF(E49:AI49,"=ВЧ1",E50:AI50)/2,0)</f>
        <v>28</v>
      </c>
      <c r="AO49" s="202">
        <f>IFERROR(SUMIF(E49:AI49,"=РВ",E50:AI50)+SUMIF(E49:AI49,"=ВЧ/РВ",E50:AI50)+SUMIF(E49:AI49,"=РН/РВ",E50:AI50)+SUMIF(E49:AI49,"=Р1/РВ",E50:AI50)+SUMIF(E49:AI49,"=ВЧ2/РВ",E50:AI50)+SUMIF(E49:AI49,"=Р2/РВ",E50:AI50),0)</f>
        <v>0</v>
      </c>
      <c r="AP49" s="202">
        <f>IFERROR(COUNTIF(E49:AI49,"=ВВ")+COUNTIF(E49:AI49,"=Р1/ВВ")+COUNTIF(E49:AI49,"=РН/ВВ")+COUNTIF(E49:AI49,"=ВЧ/ВВ"),0)</f>
        <v>8</v>
      </c>
      <c r="AQ49" s="202">
        <f>SUM(AR49:AZ49)</f>
        <v>0</v>
      </c>
      <c r="AR49" s="202">
        <f>IFERROR(SUMIF(E49:AI49,"=В",E50:AI50)+SUMIF(E49:AI49,"=Ч",E50:AI50)+SUMIF(E49:AI49,"=ВБ",E50:AI50),0)</f>
        <v>0</v>
      </c>
      <c r="AS49" s="202">
        <f>IFERROR(SUMIF(E49:AI49,"=Н",E50:AI50),0)</f>
        <v>0</v>
      </c>
      <c r="AT49" s="202">
        <f>IFERROR(SUMIF(E49:AI49,"=НА",E50:AI50),0)</f>
        <v>0</v>
      </c>
      <c r="AU49" s="202">
        <f>IFERROR(SUMIF(E49:AI49,"=ВП",E50:AI50),0)</f>
        <v>0</v>
      </c>
      <c r="AV49" s="202">
        <f>IFERROR(SUMIF(E49:AI49,"=ДД",E50:AI50),0)</f>
        <v>0</v>
      </c>
      <c r="AW49" s="202">
        <f>IFERROR(SUMIF(E49:AI49,"=ДО",E50:AI50),0)</f>
        <v>0</v>
      </c>
      <c r="AX49" s="202">
        <f>IFERROR(SUMIF(E49:AI49,"=ТН",E50:AI50),0)</f>
        <v>0</v>
      </c>
      <c r="AY49" s="202">
        <f>IFERROR(SUMIF(E49:AI49,"=ВД",E50:AI50),0)</f>
        <v>0</v>
      </c>
      <c r="AZ49" s="200">
        <f>IFERROR(SUMIF(E49:AI49,"=ІН",E50:AI50),0)+SUMIF(E49:AI49,"=НЗ",E50:AI50)</f>
        <v>0</v>
      </c>
    </row>
    <row r="50" spans="1:52" ht="20.100000000000001" customHeight="1" thickBot="1" x14ac:dyDescent="0.25">
      <c r="A50" s="290"/>
      <c r="B50" s="229"/>
      <c r="C50" s="229"/>
      <c r="D50" s="280"/>
      <c r="E50" s="192">
        <v>8</v>
      </c>
      <c r="F50" s="192"/>
      <c r="G50" s="192">
        <v>10</v>
      </c>
      <c r="H50" s="192">
        <v>4</v>
      </c>
      <c r="I50" s="192">
        <v>8</v>
      </c>
      <c r="J50" s="192"/>
      <c r="K50" s="192">
        <v>10</v>
      </c>
      <c r="L50" s="192">
        <v>4</v>
      </c>
      <c r="M50" s="192">
        <v>8</v>
      </c>
      <c r="N50" s="192"/>
      <c r="O50" s="192">
        <v>10</v>
      </c>
      <c r="P50" s="192">
        <v>4</v>
      </c>
      <c r="Q50" s="192">
        <v>8</v>
      </c>
      <c r="R50" s="192"/>
      <c r="S50" s="192">
        <v>10</v>
      </c>
      <c r="T50" s="192">
        <v>4</v>
      </c>
      <c r="U50" s="192">
        <v>8</v>
      </c>
      <c r="V50" s="192"/>
      <c r="W50" s="192">
        <v>10</v>
      </c>
      <c r="X50" s="192">
        <v>4</v>
      </c>
      <c r="Y50" s="192">
        <v>8</v>
      </c>
      <c r="Z50" s="192"/>
      <c r="AA50" s="192">
        <v>8</v>
      </c>
      <c r="AB50" s="192">
        <v>4</v>
      </c>
      <c r="AC50" s="192">
        <v>8</v>
      </c>
      <c r="AD50" s="192"/>
      <c r="AE50" s="192">
        <v>8</v>
      </c>
      <c r="AF50" s="192">
        <v>4</v>
      </c>
      <c r="AG50" s="192">
        <v>8</v>
      </c>
      <c r="AH50" s="192"/>
      <c r="AI50" s="192">
        <v>10</v>
      </c>
      <c r="AJ50" s="214"/>
      <c r="AK50" s="203"/>
      <c r="AL50" s="203"/>
      <c r="AM50" s="203"/>
      <c r="AN50" s="212"/>
      <c r="AO50" s="203"/>
      <c r="AP50" s="203"/>
      <c r="AQ50" s="203"/>
      <c r="AR50" s="203"/>
      <c r="AS50" s="203"/>
      <c r="AT50" s="203"/>
      <c r="AU50" s="203"/>
      <c r="AV50" s="203"/>
      <c r="AW50" s="203"/>
      <c r="AX50" s="203"/>
      <c r="AY50" s="203"/>
      <c r="AZ50" s="201"/>
    </row>
    <row r="51" spans="1:52" ht="20.100000000000001" customHeight="1" x14ac:dyDescent="0.2">
      <c r="A51" s="289">
        <f t="shared" si="8"/>
        <v>18</v>
      </c>
      <c r="B51" s="228" t="s">
        <v>268</v>
      </c>
      <c r="C51" s="228">
        <v>2024</v>
      </c>
      <c r="D51" s="279" t="s">
        <v>65</v>
      </c>
      <c r="E51" s="191" t="s">
        <v>142</v>
      </c>
      <c r="F51" s="191" t="s">
        <v>142</v>
      </c>
      <c r="G51" s="191" t="s">
        <v>4</v>
      </c>
      <c r="H51" s="191" t="s">
        <v>4</v>
      </c>
      <c r="I51" s="191" t="s">
        <v>4</v>
      </c>
      <c r="J51" s="191" t="s">
        <v>4</v>
      </c>
      <c r="K51" s="191" t="s">
        <v>4</v>
      </c>
      <c r="L51" s="191" t="s">
        <v>142</v>
      </c>
      <c r="M51" s="191" t="s">
        <v>142</v>
      </c>
      <c r="N51" s="191" t="s">
        <v>4</v>
      </c>
      <c r="O51" s="191" t="s">
        <v>4</v>
      </c>
      <c r="P51" s="191" t="s">
        <v>4</v>
      </c>
      <c r="Q51" s="191" t="s">
        <v>4</v>
      </c>
      <c r="R51" s="191" t="s">
        <v>4</v>
      </c>
      <c r="S51" s="191" t="s">
        <v>142</v>
      </c>
      <c r="T51" s="191" t="s">
        <v>142</v>
      </c>
      <c r="U51" s="191" t="s">
        <v>48</v>
      </c>
      <c r="V51" s="191" t="s">
        <v>48</v>
      </c>
      <c r="W51" s="191" t="s">
        <v>4</v>
      </c>
      <c r="X51" s="191" t="s">
        <v>4</v>
      </c>
      <c r="Y51" s="191" t="s">
        <v>4</v>
      </c>
      <c r="Z51" s="191" t="s">
        <v>142</v>
      </c>
      <c r="AA51" s="191" t="s">
        <v>142</v>
      </c>
      <c r="AB51" s="191" t="s">
        <v>4</v>
      </c>
      <c r="AC51" s="191" t="s">
        <v>4</v>
      </c>
      <c r="AD51" s="191" t="s">
        <v>4</v>
      </c>
      <c r="AE51" s="191" t="s">
        <v>4</v>
      </c>
      <c r="AF51" s="191" t="s">
        <v>4</v>
      </c>
      <c r="AG51" s="191" t="s">
        <v>142</v>
      </c>
      <c r="AH51" s="191" t="s">
        <v>142</v>
      </c>
      <c r="AI51" s="191" t="s">
        <v>4</v>
      </c>
      <c r="AJ51" s="213">
        <f>IFERROR(COUNTIF(E51:AI51,"=Р")+COUNTIF(E51:AI51,"=Р1")+COUNTIF(E51:AI51,"=ВЧ")+COUNTIF(E51:AI51,"=РН")+COUNTIF(E51:AI51,"=Р2")+COUNTIF(E51:AI51,"=Р1/РВ")+COUNTIF(E51:AI51,"=Р2/РВ")+COUNTIF(E51:AI51,"=ВЧ/РВ")+COUNTIF(E51:AI51,"=РН/РВ"),0)</f>
        <v>19</v>
      </c>
      <c r="AK51" s="202">
        <f>IFERROR(SUMIF(E51:AI51,"=Р2",E52:AI52)+SUMIF(E51:AI51,"=ВЧ/РВ",E52:AI52)+SUMIF(E51:AI51,"=РН/РВ",E52:AI52)+SUMIF(E51:AI51,"=Р1/РВ",E52:AI52)+SUMIF(E51:AI51,"=ВЧ2/РВ",E52:AI52)+SUMIF(E51:AI51,"=Р2/РВ",E52:AI52)+SUMIF(E51:AI51,"=Р",E52:AI52)+SUMIF(E51:AI51,"=Р1",E52:AI52)+SUMIF(E51:AI51,"=ВЧ1",E52:AI52)+SUMIF(E51:AI51,"=РН",E52:AI52)+SUMIF(E51:AI51,"=ВЧ",E52:AI52),0)+AL51</f>
        <v>151.6</v>
      </c>
      <c r="AL51" s="202">
        <f>IFERROR(SUMIF(E51:AI51,"=НУ",E52:AI52),0)</f>
        <v>0</v>
      </c>
      <c r="AM51" s="202">
        <f>IFERROR(SUMIF(E51:AI51,"=РН",E52:AI52)+SUMIF(E51:AI51,"=РН/РВ",E52:AI52)+SUMIFS(E52:AI52,E51:AI51,"=Р2",E52:AI52,"=8"),0)</f>
        <v>0</v>
      </c>
      <c r="AN51" s="211">
        <f>IFERROR(SUMIF(E51:AI51,"=ВЧ",E52:AI52)+SUMIF(E51:AI51,"=ВЧ/РВ",E52:AI52)+CEILING(COUNTIFS(E51:AI51,"=Р2",E52:AI52,"=7")*4,1)+CEILING(COUNTIFS(E51:AI51,"=Р2/РВ",E52:AI52,"=7")*4,1)+SUMIFS(E52:AI52,E51:AI51,"=Р1/РВ",E52:AI52,"=12")/6+SUMIFS(E52:AI52,E51:AI51,"=ВЧ2/РВ",E52:AI52,"=4")/2+SUMIFS(E52:AI52,E51:AI51,"=Р1",E52:AI52,"=12")/6+SUMIFS(E52:AI52,E51:AI51,"=Р1",E52:AI52,"=8")/4+SUMIF(E51:AI51,"=ВЧ1",E52:AI52)/2,0)</f>
        <v>0</v>
      </c>
      <c r="AO51" s="202">
        <f>IFERROR(SUMIF(E51:AI51,"=РВ",E52:AI52)+SUMIF(E51:AI51,"=ВЧ/РВ",E52:AI52)+SUMIF(E51:AI51,"=РН/РВ",E52:AI52)+SUMIF(E51:AI51,"=Р1/РВ",E52:AI52)+SUMIF(E51:AI51,"=ВЧ2/РВ",E52:AI52)+SUMIF(E51:AI51,"=Р2/РВ",E52:AI52),0)</f>
        <v>0</v>
      </c>
      <c r="AP51" s="202">
        <f>IFERROR(COUNTIF(E51:AI51,"=ВВ")+COUNTIF(E51:AI51,"=Р1/ВВ")+COUNTIF(E51:AI51,"=РН/ВВ")+COUNTIF(E51:AI51,"=ВЧ/ВВ"),0)</f>
        <v>10</v>
      </c>
      <c r="AQ51" s="202">
        <f>SUM(AR51:AZ51)</f>
        <v>16.399999999999999</v>
      </c>
      <c r="AR51" s="202">
        <f>IFERROR(SUMIF(E51:AI51,"=В",E52:AI52)+SUMIF(E51:AI51,"=Ч",E52:AI52)+SUMIF(E51:AI51,"=ВБ",E52:AI52),0)</f>
        <v>0</v>
      </c>
      <c r="AS51" s="202">
        <f>IFERROR(SUMIF(E51:AI51,"=Н",E52:AI52),0)</f>
        <v>0</v>
      </c>
      <c r="AT51" s="202">
        <f>IFERROR(SUMIF(E51:AI51,"=НА",E52:AI52),0)</f>
        <v>0</v>
      </c>
      <c r="AU51" s="202">
        <f>IFERROR(SUMIF(E51:AI51,"=ВП",E52:AI52),0)</f>
        <v>0</v>
      </c>
      <c r="AV51" s="202">
        <f>IFERROR(SUMIF(E51:AI51,"=ДД",E52:AI52),0)</f>
        <v>0</v>
      </c>
      <c r="AW51" s="202">
        <f>IFERROR(SUMIF(E51:AI51,"=ДО",E52:AI52),0)</f>
        <v>0</v>
      </c>
      <c r="AX51" s="202">
        <f>IFERROR(SUMIF(E51:AI51,"=ТН",E52:AI52),0)</f>
        <v>0</v>
      </c>
      <c r="AY51" s="202">
        <f>IFERROR(SUMIF(E51:AI51,"=ВД",E52:AI52),0)</f>
        <v>16.399999999999999</v>
      </c>
      <c r="AZ51" s="200">
        <f>IFERROR(SUMIF(E51:AI51,"=ІН",E52:AI52),0)+SUMIF(E51:AI51,"=НЗ",E52:AI52)</f>
        <v>0</v>
      </c>
    </row>
    <row r="52" spans="1:52" ht="20.100000000000001" customHeight="1" thickBot="1" x14ac:dyDescent="0.25">
      <c r="A52" s="290"/>
      <c r="B52" s="229"/>
      <c r="C52" s="229"/>
      <c r="D52" s="280"/>
      <c r="E52" s="192"/>
      <c r="F52" s="192"/>
      <c r="G52" s="192">
        <v>8.1999999999999993</v>
      </c>
      <c r="H52" s="192">
        <v>8.1999999999999993</v>
      </c>
      <c r="I52" s="192">
        <v>8.1999999999999993</v>
      </c>
      <c r="J52" s="192">
        <v>8.1999999999999993</v>
      </c>
      <c r="K52" s="192">
        <v>7</v>
      </c>
      <c r="L52" s="192"/>
      <c r="M52" s="192"/>
      <c r="N52" s="192">
        <v>8.1999999999999993</v>
      </c>
      <c r="O52" s="192">
        <v>8.1999999999999993</v>
      </c>
      <c r="P52" s="192">
        <v>8.1999999999999993</v>
      </c>
      <c r="Q52" s="192">
        <v>8.1999999999999993</v>
      </c>
      <c r="R52" s="192">
        <v>7.2</v>
      </c>
      <c r="S52" s="192"/>
      <c r="T52" s="192"/>
      <c r="U52" s="192">
        <v>8.1999999999999993</v>
      </c>
      <c r="V52" s="192">
        <v>8.1999999999999993</v>
      </c>
      <c r="W52" s="192">
        <v>8.1999999999999993</v>
      </c>
      <c r="X52" s="192">
        <v>8.1999999999999993</v>
      </c>
      <c r="Y52" s="192">
        <v>7.2</v>
      </c>
      <c r="Z52" s="192"/>
      <c r="AA52" s="192"/>
      <c r="AB52" s="192">
        <v>8.1999999999999993</v>
      </c>
      <c r="AC52" s="192">
        <v>8.1999999999999993</v>
      </c>
      <c r="AD52" s="192">
        <v>8.1999999999999993</v>
      </c>
      <c r="AE52" s="192">
        <v>8.1999999999999993</v>
      </c>
      <c r="AF52" s="192">
        <v>7.2</v>
      </c>
      <c r="AG52" s="192"/>
      <c r="AH52" s="192"/>
      <c r="AI52" s="192">
        <v>8.1999999999999993</v>
      </c>
      <c r="AJ52" s="214"/>
      <c r="AK52" s="203"/>
      <c r="AL52" s="203"/>
      <c r="AM52" s="203"/>
      <c r="AN52" s="212"/>
      <c r="AO52" s="203"/>
      <c r="AP52" s="203"/>
      <c r="AQ52" s="203"/>
      <c r="AR52" s="203"/>
      <c r="AS52" s="203"/>
      <c r="AT52" s="203"/>
      <c r="AU52" s="203"/>
      <c r="AV52" s="203"/>
      <c r="AW52" s="203"/>
      <c r="AX52" s="203"/>
      <c r="AY52" s="203"/>
      <c r="AZ52" s="201"/>
    </row>
    <row r="53" spans="1:52" ht="20.100000000000001" customHeight="1" x14ac:dyDescent="0.2">
      <c r="A53" s="289">
        <f t="shared" si="8"/>
        <v>19</v>
      </c>
      <c r="B53" s="228" t="s">
        <v>238</v>
      </c>
      <c r="C53" s="228">
        <v>615</v>
      </c>
      <c r="D53" s="279" t="s">
        <v>65</v>
      </c>
      <c r="E53" s="191" t="s">
        <v>142</v>
      </c>
      <c r="F53" s="191" t="s">
        <v>142</v>
      </c>
      <c r="G53" s="191" t="s">
        <v>4</v>
      </c>
      <c r="H53" s="191" t="s">
        <v>4</v>
      </c>
      <c r="I53" s="191" t="s">
        <v>4</v>
      </c>
      <c r="J53" s="191" t="s">
        <v>4</v>
      </c>
      <c r="K53" s="191" t="s">
        <v>4</v>
      </c>
      <c r="L53" s="191" t="s">
        <v>142</v>
      </c>
      <c r="M53" s="191" t="s">
        <v>142</v>
      </c>
      <c r="N53" s="191" t="s">
        <v>4</v>
      </c>
      <c r="O53" s="191" t="s">
        <v>4</v>
      </c>
      <c r="P53" s="191" t="s">
        <v>4</v>
      </c>
      <c r="Q53" s="191" t="s">
        <v>4</v>
      </c>
      <c r="R53" s="191" t="s">
        <v>52</v>
      </c>
      <c r="S53" s="191" t="s">
        <v>52</v>
      </c>
      <c r="T53" s="191" t="s">
        <v>52</v>
      </c>
      <c r="U53" s="191" t="s">
        <v>52</v>
      </c>
      <c r="V53" s="191" t="s">
        <v>52</v>
      </c>
      <c r="W53" s="191" t="s">
        <v>52</v>
      </c>
      <c r="X53" s="191" t="s">
        <v>52</v>
      </c>
      <c r="Y53" s="191" t="s">
        <v>52</v>
      </c>
      <c r="Z53" s="191" t="s">
        <v>142</v>
      </c>
      <c r="AA53" s="191" t="s">
        <v>142</v>
      </c>
      <c r="AB53" s="191" t="s">
        <v>4</v>
      </c>
      <c r="AC53" s="191" t="s">
        <v>4</v>
      </c>
      <c r="AD53" s="191" t="s">
        <v>4</v>
      </c>
      <c r="AE53" s="191" t="s">
        <v>4</v>
      </c>
      <c r="AF53" s="191" t="s">
        <v>4</v>
      </c>
      <c r="AG53" s="191" t="s">
        <v>142</v>
      </c>
      <c r="AH53" s="191" t="s">
        <v>142</v>
      </c>
      <c r="AI53" s="191" t="s">
        <v>4</v>
      </c>
      <c r="AJ53" s="213">
        <f>IFERROR(COUNTIF(E53:AI53,"=Р")+COUNTIF(E53:AI53,"=Р1")+COUNTIF(E53:AI53,"=ВЧ")+COUNTIF(E53:AI53,"=РН")+COUNTIF(E53:AI53,"=Р2")+COUNTIF(E53:AI53,"=Р1/РВ")+COUNTIF(E53:AI53,"=Р2/РВ")+COUNTIF(E53:AI53,"=ВЧ/РВ")+COUNTIF(E53:AI53,"=РН/РВ"),0)</f>
        <v>15</v>
      </c>
      <c r="AK53" s="202">
        <f>IFERROR(SUMIF(E53:AI53,"=Р2",E54:AI54)+SUMIF(E53:AI53,"=ВЧ/РВ",E54:AI54)+SUMIF(E53:AI53,"=РН/РВ",E54:AI54)+SUMIF(E53:AI53,"=Р1/РВ",E54:AI54)+SUMIF(E53:AI53,"=ВЧ2/РВ",E54:AI54)+SUMIF(E53:AI53,"=Р2/РВ",E54:AI54)+SUMIF(E53:AI53,"=Р",E54:AI54)+SUMIF(E53:AI53,"=Р1",E54:AI54)+SUMIF(E53:AI53,"=ВЧ1",E54:AI54)+SUMIF(E53:AI53,"=РН",E54:AI54)+SUMIF(E53:AI53,"=ВЧ",E54:AI54),0)+AL53</f>
        <v>120.80000000000003</v>
      </c>
      <c r="AL53" s="202">
        <f>IFERROR(SUMIF(E53:AI53,"=НУ",E54:AI54),0)</f>
        <v>0</v>
      </c>
      <c r="AM53" s="202">
        <f>IFERROR(SUMIF(E53:AI53,"=РН",E54:AI54)+SUMIF(E53:AI53,"=РН/РВ",E54:AI54)+SUMIFS(E54:AI54,E53:AI53,"=Р2",E54:AI54,"=8"),0)</f>
        <v>0</v>
      </c>
      <c r="AN53" s="211">
        <f>IFERROR(SUMIF(E53:AI53,"=ВЧ",E54:AI54)+SUMIF(E53:AI53,"=ВЧ/РВ",E54:AI54)+CEILING(COUNTIFS(E53:AI53,"=Р2",E54:AI54,"=7")*4,1)+CEILING(COUNTIFS(E53:AI53,"=Р2/РВ",E54:AI54,"=7")*4,1)+SUMIFS(E54:AI54,E53:AI53,"=Р1/РВ",E54:AI54,"=12")/6+SUMIFS(E54:AI54,E53:AI53,"=ВЧ2/РВ",E54:AI54,"=4")/2+SUMIFS(E54:AI54,E53:AI53,"=Р1",E54:AI54,"=12")/6+SUMIFS(E54:AI54,E53:AI53,"=Р1",E54:AI54,"=8")/4+SUMIF(E53:AI53,"=ВЧ1",E54:AI54)/2,0)</f>
        <v>0</v>
      </c>
      <c r="AO53" s="202">
        <f>IFERROR(SUMIF(E53:AI53,"=РВ",E54:AI54)+SUMIF(E53:AI53,"=ВЧ/РВ",E54:AI54)+SUMIF(E53:AI53,"=РН/РВ",E54:AI54)+SUMIF(E53:AI53,"=Р1/РВ",E54:AI54)+SUMIF(E53:AI53,"=ВЧ2/РВ",E54:AI54)+SUMIF(E53:AI53,"=Р2/РВ",E54:AI54),0)</f>
        <v>0</v>
      </c>
      <c r="AP53" s="202">
        <f>IFERROR(COUNTIF(E53:AI53,"=ВВ")+COUNTIF(E53:AI53,"=Р1/ВВ")+COUNTIF(E53:AI53,"=РН/ВВ")+COUNTIF(E53:AI53,"=ВЧ/ВВ"),0)</f>
        <v>8</v>
      </c>
      <c r="AQ53" s="202">
        <f>SUM(AR53:AZ53)</f>
        <v>47.2</v>
      </c>
      <c r="AR53" s="202">
        <f>IFERROR(SUMIF(E53:AI53,"=В",E54:AI54)+SUMIF(E53:AI53,"=Ч",E54:AI54)+SUMIF(E53:AI53,"=ВБ",E54:AI54),0)</f>
        <v>0</v>
      </c>
      <c r="AS53" s="202">
        <f>IFERROR(SUMIF(E53:AI53,"=Н",E54:AI54),0)</f>
        <v>0</v>
      </c>
      <c r="AT53" s="202">
        <f>IFERROR(SUMIF(E53:AI53,"=НА",E54:AI54),0)</f>
        <v>0</v>
      </c>
      <c r="AU53" s="202">
        <f>IFERROR(SUMIF(E53:AI53,"=ВП",E54:AI54),0)</f>
        <v>0</v>
      </c>
      <c r="AV53" s="202">
        <f>IFERROR(SUMIF(E53:AI53,"=ДД",E54:AI54),0)</f>
        <v>0</v>
      </c>
      <c r="AW53" s="202">
        <f>IFERROR(SUMIF(E53:AI53,"=ДО",E54:AI54),0)</f>
        <v>0</v>
      </c>
      <c r="AX53" s="202">
        <f>IFERROR(SUMIF(E53:AI53,"=ТН",E54:AI54),0)</f>
        <v>47.2</v>
      </c>
      <c r="AY53" s="202">
        <f>IFERROR(SUMIF(E53:AI53,"=ВД",E54:AI54),0)</f>
        <v>0</v>
      </c>
      <c r="AZ53" s="200">
        <f>IFERROR(SUMIF(E53:AI53,"=ІН",E54:AI54),0)+SUMIF(E53:AI53,"=НЗ",E54:AI54)</f>
        <v>0</v>
      </c>
    </row>
    <row r="54" spans="1:52" ht="20.100000000000001" customHeight="1" thickBot="1" x14ac:dyDescent="0.25">
      <c r="A54" s="290"/>
      <c r="B54" s="229"/>
      <c r="C54" s="229"/>
      <c r="D54" s="280"/>
      <c r="E54" s="192"/>
      <c r="F54" s="192"/>
      <c r="G54" s="192">
        <v>8.1999999999999993</v>
      </c>
      <c r="H54" s="192">
        <v>8.1999999999999993</v>
      </c>
      <c r="I54" s="192">
        <v>8.1999999999999993</v>
      </c>
      <c r="J54" s="192">
        <v>8.1999999999999993</v>
      </c>
      <c r="K54" s="192">
        <v>7</v>
      </c>
      <c r="L54" s="192"/>
      <c r="M54" s="192"/>
      <c r="N54" s="192">
        <v>8.1999999999999993</v>
      </c>
      <c r="O54" s="192">
        <v>8.1999999999999993</v>
      </c>
      <c r="P54" s="192">
        <v>8.1999999999999993</v>
      </c>
      <c r="Q54" s="192">
        <v>8.1999999999999993</v>
      </c>
      <c r="R54" s="192">
        <v>7.2</v>
      </c>
      <c r="S54" s="192"/>
      <c r="T54" s="192"/>
      <c r="U54" s="192">
        <v>8.1999999999999993</v>
      </c>
      <c r="V54" s="192">
        <v>8.1999999999999993</v>
      </c>
      <c r="W54" s="192">
        <v>8.1999999999999993</v>
      </c>
      <c r="X54" s="192">
        <v>8.1999999999999993</v>
      </c>
      <c r="Y54" s="192">
        <v>7.2</v>
      </c>
      <c r="Z54" s="192"/>
      <c r="AA54" s="192"/>
      <c r="AB54" s="192">
        <v>8.1999999999999993</v>
      </c>
      <c r="AC54" s="192">
        <v>8.1999999999999993</v>
      </c>
      <c r="AD54" s="192">
        <v>8.1999999999999993</v>
      </c>
      <c r="AE54" s="192">
        <v>8.1999999999999993</v>
      </c>
      <c r="AF54" s="192">
        <v>7.2</v>
      </c>
      <c r="AG54" s="192"/>
      <c r="AH54" s="192"/>
      <c r="AI54" s="192">
        <v>8.1999999999999993</v>
      </c>
      <c r="AJ54" s="214"/>
      <c r="AK54" s="203"/>
      <c r="AL54" s="203"/>
      <c r="AM54" s="203"/>
      <c r="AN54" s="212"/>
      <c r="AO54" s="203"/>
      <c r="AP54" s="203"/>
      <c r="AQ54" s="203"/>
      <c r="AR54" s="203"/>
      <c r="AS54" s="203"/>
      <c r="AT54" s="203"/>
      <c r="AU54" s="203"/>
      <c r="AV54" s="203"/>
      <c r="AW54" s="203"/>
      <c r="AX54" s="203"/>
      <c r="AY54" s="203"/>
      <c r="AZ54" s="201"/>
    </row>
    <row r="55" spans="1:52" ht="20.100000000000001" customHeight="1" x14ac:dyDescent="0.2">
      <c r="A55" s="289">
        <f t="shared" si="8"/>
        <v>20</v>
      </c>
      <c r="B55" s="228" t="s">
        <v>239</v>
      </c>
      <c r="C55" s="228">
        <v>2043</v>
      </c>
      <c r="D55" s="279" t="s">
        <v>65</v>
      </c>
      <c r="E55" s="191" t="s">
        <v>142</v>
      </c>
      <c r="F55" s="191" t="s">
        <v>142</v>
      </c>
      <c r="G55" s="191" t="s">
        <v>4</v>
      </c>
      <c r="H55" s="191" t="s">
        <v>4</v>
      </c>
      <c r="I55" s="191" t="s">
        <v>4</v>
      </c>
      <c r="J55" s="191" t="s">
        <v>4</v>
      </c>
      <c r="K55" s="191" t="s">
        <v>4</v>
      </c>
      <c r="L55" s="191" t="s">
        <v>142</v>
      </c>
      <c r="M55" s="191" t="s">
        <v>142</v>
      </c>
      <c r="N55" s="191" t="s">
        <v>4</v>
      </c>
      <c r="O55" s="191" t="s">
        <v>4</v>
      </c>
      <c r="P55" s="191" t="s">
        <v>4</v>
      </c>
      <c r="Q55" s="191" t="s">
        <v>4</v>
      </c>
      <c r="R55" s="191" t="s">
        <v>4</v>
      </c>
      <c r="S55" s="191" t="s">
        <v>142</v>
      </c>
      <c r="T55" s="191" t="s">
        <v>142</v>
      </c>
      <c r="U55" s="191" t="s">
        <v>4</v>
      </c>
      <c r="V55" s="191" t="s">
        <v>4</v>
      </c>
      <c r="W55" s="191" t="s">
        <v>4</v>
      </c>
      <c r="X55" s="191" t="s">
        <v>4</v>
      </c>
      <c r="Y55" s="191" t="s">
        <v>4</v>
      </c>
      <c r="Z55" s="191" t="s">
        <v>142</v>
      </c>
      <c r="AA55" s="191" t="s">
        <v>142</v>
      </c>
      <c r="AB55" s="191" t="s">
        <v>4</v>
      </c>
      <c r="AC55" s="191" t="s">
        <v>4</v>
      </c>
      <c r="AD55" s="191" t="s">
        <v>4</v>
      </c>
      <c r="AE55" s="191" t="s">
        <v>4</v>
      </c>
      <c r="AF55" s="191" t="s">
        <v>4</v>
      </c>
      <c r="AG55" s="191" t="s">
        <v>142</v>
      </c>
      <c r="AH55" s="191" t="s">
        <v>142</v>
      </c>
      <c r="AI55" s="191" t="s">
        <v>4</v>
      </c>
      <c r="AJ55" s="213">
        <f>IFERROR(COUNTIF(E55:AI55,"=Р")+COUNTIF(E55:AI55,"=Р1")+COUNTIF(E55:AI55,"=ВЧ")+COUNTIF(E55:AI55,"=РН")+COUNTIF(E55:AI55,"=Р2")+COUNTIF(E55:AI55,"=Р1/РВ")+COUNTIF(E55:AI55,"=Р2/РВ")+COUNTIF(E55:AI55,"=ВЧ/РВ")+COUNTIF(E55:AI55,"=РН/РВ"),0)</f>
        <v>21</v>
      </c>
      <c r="AK55" s="202">
        <f>IFERROR(SUMIF(E55:AI55,"=Р2",E56:AI56)+SUMIF(E55:AI55,"=ВЧ/РВ",E56:AI56)+SUMIF(E55:AI55,"=РН/РВ",E56:AI56)+SUMIF(E55:AI55,"=Р1/РВ",E56:AI56)+SUMIF(E55:AI55,"=ВЧ2/РВ",E56:AI56)+SUMIF(E55:AI55,"=Р2/РВ",E56:AI56)+SUMIF(E55:AI55,"=Р",E56:AI56)+SUMIF(E55:AI55,"=Р1",E56:AI56)+SUMIF(E55:AI55,"=ВЧ1",E56:AI56)+SUMIF(E55:AI55,"=РН",E56:AI56)+SUMIF(E55:AI55,"=ВЧ",E56:AI56),0)+AL55</f>
        <v>167.99999999999997</v>
      </c>
      <c r="AL55" s="202">
        <f>IFERROR(SUMIF(E55:AI55,"=НУ",E56:AI56),0)</f>
        <v>0</v>
      </c>
      <c r="AM55" s="202">
        <f>IFERROR(SUMIF(E55:AI55,"=РН",E56:AI56)+SUMIF(E55:AI55,"=РН/РВ",E56:AI56)+SUMIFS(E56:AI56,E55:AI55,"=Р2",E56:AI56,"=8"),0)</f>
        <v>0</v>
      </c>
      <c r="AN55" s="211">
        <f>IFERROR(SUMIF(E55:AI55,"=ВЧ",E56:AI56)+SUMIF(E55:AI55,"=ВЧ/РВ",E56:AI56)+CEILING(COUNTIFS(E55:AI55,"=Р2",E56:AI56,"=7")*4,1)+CEILING(COUNTIFS(E55:AI55,"=Р2/РВ",E56:AI56,"=7")*4,1)+SUMIFS(E56:AI56,E55:AI55,"=Р1/РВ",E56:AI56,"=12")/6+SUMIFS(E56:AI56,E55:AI55,"=ВЧ2/РВ",E56:AI56,"=4")/2+SUMIFS(E56:AI56,E55:AI55,"=Р1",E56:AI56,"=12")/6+SUMIFS(E56:AI56,E55:AI55,"=Р1",E56:AI56,"=8")/4+SUMIF(E55:AI55,"=ВЧ1",E56:AI56)/2,0)</f>
        <v>0</v>
      </c>
      <c r="AO55" s="202">
        <f>IFERROR(SUMIF(E55:AI55,"=РВ",E56:AI56)+SUMIF(E55:AI55,"=ВЧ/РВ",E56:AI56)+SUMIF(E55:AI55,"=РН/РВ",E56:AI56)+SUMIF(E55:AI55,"=Р1/РВ",E56:AI56)+SUMIF(E55:AI55,"=ВЧ2/РВ",E56:AI56)+SUMIF(E55:AI55,"=Р2/РВ",E56:AI56),0)</f>
        <v>0</v>
      </c>
      <c r="AP55" s="202">
        <f>IFERROR(COUNTIF(E55:AI55,"=ВВ")+COUNTIF(E55:AI55,"=Р1/ВВ")+COUNTIF(E55:AI55,"=РН/ВВ")+COUNTIF(E55:AI55,"=ВЧ/ВВ"),0)</f>
        <v>10</v>
      </c>
      <c r="AQ55" s="202">
        <f>SUM(AR55:AZ55)</f>
        <v>0</v>
      </c>
      <c r="AR55" s="202">
        <f>IFERROR(SUMIF(E55:AI55,"=В",E56:AI56)+SUMIF(E55:AI55,"=Ч",E56:AI56)+SUMIF(E55:AI55,"=ВБ",E56:AI56),0)</f>
        <v>0</v>
      </c>
      <c r="AS55" s="202">
        <f>IFERROR(SUMIF(E55:AI55,"=Н",E56:AI56),0)</f>
        <v>0</v>
      </c>
      <c r="AT55" s="202">
        <f>IFERROR(SUMIF(E55:AI55,"=НА",E56:AI56),0)</f>
        <v>0</v>
      </c>
      <c r="AU55" s="202">
        <f>IFERROR(SUMIF(E55:AI55,"=ВП",E56:AI56),0)</f>
        <v>0</v>
      </c>
      <c r="AV55" s="202">
        <f>IFERROR(SUMIF(E55:AI55,"=ДД",E56:AI56),0)</f>
        <v>0</v>
      </c>
      <c r="AW55" s="202">
        <f>IFERROR(SUMIF(E55:AI55,"=ДО",E56:AI56),0)</f>
        <v>0</v>
      </c>
      <c r="AX55" s="202">
        <f>IFERROR(SUMIF(E55:AI55,"=ТН",E56:AI56),0)</f>
        <v>0</v>
      </c>
      <c r="AY55" s="202">
        <f>IFERROR(SUMIF(E55:AI55,"=ВД",E56:AI56),0)</f>
        <v>0</v>
      </c>
      <c r="AZ55" s="200">
        <f>IFERROR(SUMIF(E55:AI55,"=ІН",E56:AI56),0)+SUMIF(E55:AI55,"=НЗ",E56:AI56)</f>
        <v>0</v>
      </c>
    </row>
    <row r="56" spans="1:52" ht="20.100000000000001" customHeight="1" thickBot="1" x14ac:dyDescent="0.25">
      <c r="A56" s="290"/>
      <c r="B56" s="229"/>
      <c r="C56" s="229"/>
      <c r="D56" s="280"/>
      <c r="E56" s="192"/>
      <c r="F56" s="192"/>
      <c r="G56" s="192">
        <v>8.1999999999999993</v>
      </c>
      <c r="H56" s="192">
        <v>8.1999999999999993</v>
      </c>
      <c r="I56" s="192">
        <v>8.1999999999999993</v>
      </c>
      <c r="J56" s="192">
        <v>8.1999999999999993</v>
      </c>
      <c r="K56" s="192">
        <v>7</v>
      </c>
      <c r="L56" s="192"/>
      <c r="M56" s="192"/>
      <c r="N56" s="192">
        <v>8.1999999999999993</v>
      </c>
      <c r="O56" s="192">
        <v>8.1999999999999993</v>
      </c>
      <c r="P56" s="192">
        <v>8.1999999999999993</v>
      </c>
      <c r="Q56" s="192">
        <v>8.1999999999999993</v>
      </c>
      <c r="R56" s="192">
        <v>7.2</v>
      </c>
      <c r="S56" s="192"/>
      <c r="T56" s="192"/>
      <c r="U56" s="192">
        <v>8.1999999999999993</v>
      </c>
      <c r="V56" s="192">
        <v>8.1999999999999993</v>
      </c>
      <c r="W56" s="192">
        <v>8.1999999999999993</v>
      </c>
      <c r="X56" s="192">
        <v>8.1999999999999993</v>
      </c>
      <c r="Y56" s="192">
        <v>7.2</v>
      </c>
      <c r="Z56" s="192"/>
      <c r="AA56" s="192"/>
      <c r="AB56" s="192">
        <v>8.1999999999999993</v>
      </c>
      <c r="AC56" s="192">
        <v>8.1999999999999993</v>
      </c>
      <c r="AD56" s="192">
        <v>8.1999999999999993</v>
      </c>
      <c r="AE56" s="192">
        <v>8.1999999999999993</v>
      </c>
      <c r="AF56" s="192">
        <v>7.2</v>
      </c>
      <c r="AG56" s="192"/>
      <c r="AH56" s="192"/>
      <c r="AI56" s="192">
        <v>8.1999999999999993</v>
      </c>
      <c r="AJ56" s="214"/>
      <c r="AK56" s="203"/>
      <c r="AL56" s="203"/>
      <c r="AM56" s="203"/>
      <c r="AN56" s="212"/>
      <c r="AO56" s="203"/>
      <c r="AP56" s="203"/>
      <c r="AQ56" s="203"/>
      <c r="AR56" s="203"/>
      <c r="AS56" s="203"/>
      <c r="AT56" s="203"/>
      <c r="AU56" s="203"/>
      <c r="AV56" s="203"/>
      <c r="AW56" s="203"/>
      <c r="AX56" s="203"/>
      <c r="AY56" s="203"/>
      <c r="AZ56" s="201"/>
    </row>
    <row r="57" spans="1:52" ht="20.100000000000001" customHeight="1" x14ac:dyDescent="0.2">
      <c r="A57" s="289">
        <f t="shared" si="8"/>
        <v>21</v>
      </c>
      <c r="B57" s="228" t="s">
        <v>240</v>
      </c>
      <c r="C57" s="228">
        <v>24</v>
      </c>
      <c r="D57" s="279" t="s">
        <v>65</v>
      </c>
      <c r="E57" s="191" t="s">
        <v>142</v>
      </c>
      <c r="F57" s="191" t="s">
        <v>142</v>
      </c>
      <c r="G57" s="191" t="s">
        <v>4</v>
      </c>
      <c r="H57" s="191" t="s">
        <v>4</v>
      </c>
      <c r="I57" s="191" t="s">
        <v>4</v>
      </c>
      <c r="J57" s="191" t="s">
        <v>4</v>
      </c>
      <c r="K57" s="191" t="s">
        <v>4</v>
      </c>
      <c r="L57" s="191" t="s">
        <v>142</v>
      </c>
      <c r="M57" s="191" t="s">
        <v>142</v>
      </c>
      <c r="N57" s="191" t="s">
        <v>4</v>
      </c>
      <c r="O57" s="191" t="s">
        <v>4</v>
      </c>
      <c r="P57" s="191" t="s">
        <v>4</v>
      </c>
      <c r="Q57" s="191" t="s">
        <v>4</v>
      </c>
      <c r="R57" s="191" t="s">
        <v>4</v>
      </c>
      <c r="S57" s="191" t="s">
        <v>142</v>
      </c>
      <c r="T57" s="191" t="s">
        <v>142</v>
      </c>
      <c r="U57" s="191" t="s">
        <v>3</v>
      </c>
      <c r="V57" s="191" t="s">
        <v>3</v>
      </c>
      <c r="W57" s="191" t="s">
        <v>3</v>
      </c>
      <c r="X57" s="191" t="s">
        <v>3</v>
      </c>
      <c r="Y57" s="191" t="s">
        <v>3</v>
      </c>
      <c r="Z57" s="191" t="s">
        <v>3</v>
      </c>
      <c r="AA57" s="191" t="s">
        <v>3</v>
      </c>
      <c r="AB57" s="191" t="s">
        <v>3</v>
      </c>
      <c r="AC57" s="191" t="s">
        <v>3</v>
      </c>
      <c r="AD57" s="191" t="s">
        <v>3</v>
      </c>
      <c r="AE57" s="191" t="s">
        <v>3</v>
      </c>
      <c r="AF57" s="191" t="s">
        <v>3</v>
      </c>
      <c r="AG57" s="191" t="s">
        <v>3</v>
      </c>
      <c r="AH57" s="191" t="s">
        <v>3</v>
      </c>
      <c r="AI57" s="191" t="s">
        <v>4</v>
      </c>
      <c r="AJ57" s="213">
        <f>IFERROR(COUNTIF(E57:AI57,"=Р")+COUNTIF(E57:AI57,"=Р1")+COUNTIF(E57:AI57,"=ВЧ")+COUNTIF(E57:AI57,"=РН")+COUNTIF(E57:AI57,"=Р2")+COUNTIF(E57:AI57,"=Р1/РВ")+COUNTIF(E57:AI57,"=Р2/РВ")+COUNTIF(E57:AI57,"=ВЧ/РВ")+COUNTIF(E57:AI57,"=РН/РВ"),0)</f>
        <v>11</v>
      </c>
      <c r="AK57" s="202">
        <f>IFERROR(SUMIF(E57:AI57,"=Р2",E58:AI58)+SUMIF(E57:AI57,"=ВЧ/РВ",E58:AI58)+SUMIF(E57:AI57,"=РН/РВ",E58:AI58)+SUMIF(E57:AI57,"=Р1/РВ",E58:AI58)+SUMIF(E57:AI57,"=ВЧ2/РВ",E58:AI58)+SUMIF(E57:AI57,"=Р2/РВ",E58:AI58)+SUMIF(E57:AI57,"=Р",E58:AI58)+SUMIF(E57:AI57,"=Р1",E58:AI58)+SUMIF(E57:AI57,"=ВЧ1",E58:AI58)+SUMIF(E57:AI57,"=РН",E58:AI58)+SUMIF(E57:AI57,"=ВЧ",E58:AI58),0)+AL57</f>
        <v>88.000000000000014</v>
      </c>
      <c r="AL57" s="202">
        <f>IFERROR(SUMIF(E57:AI57,"=НУ",E58:AI58),0)</f>
        <v>0</v>
      </c>
      <c r="AM57" s="202">
        <f>IFERROR(SUMIF(E57:AI57,"=РН",E58:AI58)+SUMIF(E57:AI57,"=РН/РВ",E58:AI58)+SUMIFS(E58:AI58,E57:AI57,"=Р2",E58:AI58,"=8"),0)</f>
        <v>0</v>
      </c>
      <c r="AN57" s="211">
        <f>IFERROR(SUMIF(E57:AI57,"=ВЧ",E58:AI58)+SUMIF(E57:AI57,"=ВЧ/РВ",E58:AI58)+CEILING(COUNTIFS(E57:AI57,"=Р2",E58:AI58,"=7")*4,1)+CEILING(COUNTIFS(E57:AI57,"=Р2/РВ",E58:AI58,"=7")*4,1)+SUMIFS(E58:AI58,E57:AI57,"=Р1/РВ",E58:AI58,"=12")/6+SUMIFS(E58:AI58,E57:AI57,"=ВЧ2/РВ",E58:AI58,"=4")/2+SUMIFS(E58:AI58,E57:AI57,"=Р1",E58:AI58,"=12")/6+SUMIFS(E58:AI58,E57:AI57,"=Р1",E58:AI58,"=8")/4+SUMIF(E57:AI57,"=ВЧ1",E58:AI58)/2,0)</f>
        <v>0</v>
      </c>
      <c r="AO57" s="202">
        <f>IFERROR(SUMIF(E57:AI57,"=РВ",E58:AI58)+SUMIF(E57:AI57,"=ВЧ/РВ",E58:AI58)+SUMIF(E57:AI57,"=РН/РВ",E58:AI58)+SUMIF(E57:AI57,"=Р1/РВ",E58:AI58)+SUMIF(E57:AI57,"=ВЧ2/РВ",E58:AI58)+SUMIF(E57:AI57,"=Р2/РВ",E58:AI58),0)</f>
        <v>0</v>
      </c>
      <c r="AP57" s="202">
        <f>IFERROR(COUNTIF(E57:AI57,"=ВВ")+COUNTIF(E57:AI57,"=Р1/ВВ")+COUNTIF(E57:AI57,"=РН/ВВ")+COUNTIF(E57:AI57,"=ВЧ/ВВ"),0)</f>
        <v>6</v>
      </c>
      <c r="AQ57" s="202">
        <f>SUM(AR57:AZ57)</f>
        <v>80.000000000000014</v>
      </c>
      <c r="AR57" s="202">
        <f>IFERROR(SUMIF(E57:AI57,"=В",E58:AI58)+SUMIF(E57:AI57,"=Ч",E58:AI58)+SUMIF(E57:AI57,"=ВБ",E58:AI58),0)</f>
        <v>80.000000000000014</v>
      </c>
      <c r="AS57" s="202">
        <f>IFERROR(SUMIF(E57:AI57,"=Н",E58:AI58),0)</f>
        <v>0</v>
      </c>
      <c r="AT57" s="202">
        <f>IFERROR(SUMIF(E57:AI57,"=НА",E58:AI58),0)</f>
        <v>0</v>
      </c>
      <c r="AU57" s="202">
        <f>IFERROR(SUMIF(E57:AI57,"=ВП",E58:AI58),0)</f>
        <v>0</v>
      </c>
      <c r="AV57" s="202">
        <f>IFERROR(SUMIF(E57:AI57,"=ДД",E58:AI58),0)</f>
        <v>0</v>
      </c>
      <c r="AW57" s="202">
        <f>IFERROR(SUMIF(E57:AI57,"=ДО",E58:AI58),0)</f>
        <v>0</v>
      </c>
      <c r="AX57" s="202">
        <f>IFERROR(SUMIF(E57:AI57,"=ТН",E58:AI58),0)</f>
        <v>0</v>
      </c>
      <c r="AY57" s="202">
        <f>IFERROR(SUMIF(E57:AI57,"=ВД",E58:AI58),0)</f>
        <v>0</v>
      </c>
      <c r="AZ57" s="200">
        <f>IFERROR(SUMIF(E57:AI57,"=ІН",E58:AI58),0)+SUMIF(E57:AI57,"=НЗ",E58:AI58)</f>
        <v>0</v>
      </c>
    </row>
    <row r="58" spans="1:52" ht="20.100000000000001" customHeight="1" thickBot="1" x14ac:dyDescent="0.25">
      <c r="A58" s="290"/>
      <c r="B58" s="229"/>
      <c r="C58" s="229"/>
      <c r="D58" s="280"/>
      <c r="E58" s="192"/>
      <c r="F58" s="192"/>
      <c r="G58" s="192">
        <v>8.1999999999999993</v>
      </c>
      <c r="H58" s="192">
        <v>8.1999999999999993</v>
      </c>
      <c r="I58" s="192">
        <v>8.1999999999999993</v>
      </c>
      <c r="J58" s="192">
        <v>8.1999999999999993</v>
      </c>
      <c r="K58" s="192">
        <v>7</v>
      </c>
      <c r="L58" s="192"/>
      <c r="M58" s="192"/>
      <c r="N58" s="192">
        <v>8.1999999999999993</v>
      </c>
      <c r="O58" s="192">
        <v>8.1999999999999993</v>
      </c>
      <c r="P58" s="192">
        <v>8.1999999999999993</v>
      </c>
      <c r="Q58" s="192">
        <v>8.1999999999999993</v>
      </c>
      <c r="R58" s="192">
        <v>7.2</v>
      </c>
      <c r="S58" s="192"/>
      <c r="T58" s="192"/>
      <c r="U58" s="192">
        <v>8.1999999999999993</v>
      </c>
      <c r="V58" s="192">
        <v>8.1999999999999993</v>
      </c>
      <c r="W58" s="192">
        <v>8.1999999999999993</v>
      </c>
      <c r="X58" s="192">
        <v>8.1999999999999993</v>
      </c>
      <c r="Y58" s="192">
        <v>7.2</v>
      </c>
      <c r="Z58" s="192"/>
      <c r="AA58" s="192"/>
      <c r="AB58" s="192">
        <v>8.1999999999999993</v>
      </c>
      <c r="AC58" s="192">
        <v>8.1999999999999993</v>
      </c>
      <c r="AD58" s="192">
        <v>8.1999999999999993</v>
      </c>
      <c r="AE58" s="192">
        <v>8.1999999999999993</v>
      </c>
      <c r="AF58" s="192">
        <v>7.2</v>
      </c>
      <c r="AG58" s="192"/>
      <c r="AH58" s="192"/>
      <c r="AI58" s="192">
        <v>8.1999999999999993</v>
      </c>
      <c r="AJ58" s="214"/>
      <c r="AK58" s="203"/>
      <c r="AL58" s="203"/>
      <c r="AM58" s="203"/>
      <c r="AN58" s="212"/>
      <c r="AO58" s="203"/>
      <c r="AP58" s="203"/>
      <c r="AQ58" s="203"/>
      <c r="AR58" s="203"/>
      <c r="AS58" s="203"/>
      <c r="AT58" s="203"/>
      <c r="AU58" s="203"/>
      <c r="AV58" s="203"/>
      <c r="AW58" s="203"/>
      <c r="AX58" s="203"/>
      <c r="AY58" s="203"/>
      <c r="AZ58" s="201"/>
    </row>
    <row r="59" spans="1:52" s="105" customFormat="1" ht="20.100000000000001" customHeight="1" x14ac:dyDescent="0.2">
      <c r="A59" s="289">
        <f t="shared" si="8"/>
        <v>22</v>
      </c>
      <c r="B59" s="228" t="s">
        <v>274</v>
      </c>
      <c r="C59" s="228">
        <v>2147</v>
      </c>
      <c r="D59" s="279" t="s">
        <v>65</v>
      </c>
      <c r="E59" s="191" t="s">
        <v>142</v>
      </c>
      <c r="F59" s="191" t="s">
        <v>142</v>
      </c>
      <c r="G59" s="191" t="s">
        <v>4</v>
      </c>
      <c r="H59" s="191" t="s">
        <v>4</v>
      </c>
      <c r="I59" s="191" t="s">
        <v>4</v>
      </c>
      <c r="J59" s="191" t="s">
        <v>4</v>
      </c>
      <c r="K59" s="191" t="s">
        <v>4</v>
      </c>
      <c r="L59" s="191" t="s">
        <v>142</v>
      </c>
      <c r="M59" s="191" t="s">
        <v>142</v>
      </c>
      <c r="N59" s="191" t="s">
        <v>4</v>
      </c>
      <c r="O59" s="191" t="s">
        <v>4</v>
      </c>
      <c r="P59" s="191" t="s">
        <v>4</v>
      </c>
      <c r="Q59" s="191" t="s">
        <v>4</v>
      </c>
      <c r="R59" s="191" t="s">
        <v>4</v>
      </c>
      <c r="S59" s="191" t="s">
        <v>142</v>
      </c>
      <c r="T59" s="191" t="s">
        <v>142</v>
      </c>
      <c r="U59" s="191" t="s">
        <v>52</v>
      </c>
      <c r="V59" s="191" t="s">
        <v>52</v>
      </c>
      <c r="W59" s="191" t="s">
        <v>52</v>
      </c>
      <c r="X59" s="191" t="s">
        <v>52</v>
      </c>
      <c r="Y59" s="191" t="s">
        <v>52</v>
      </c>
      <c r="Z59" s="191" t="s">
        <v>52</v>
      </c>
      <c r="AA59" s="191" t="s">
        <v>52</v>
      </c>
      <c r="AB59" s="191" t="s">
        <v>52</v>
      </c>
      <c r="AC59" s="191" t="s">
        <v>52</v>
      </c>
      <c r="AD59" s="191" t="s">
        <v>52</v>
      </c>
      <c r="AE59" s="191" t="s">
        <v>52</v>
      </c>
      <c r="AF59" s="191" t="s">
        <v>52</v>
      </c>
      <c r="AG59" s="191" t="s">
        <v>142</v>
      </c>
      <c r="AH59" s="191" t="s">
        <v>142</v>
      </c>
      <c r="AI59" s="191" t="s">
        <v>4</v>
      </c>
      <c r="AJ59" s="213">
        <f>IFERROR(COUNTIF(E59:AI59,"=Р")+COUNTIF(E59:AI59,"=Р1")+COUNTIF(E59:AI59,"=ВЧ")+COUNTIF(E59:AI59,"=РН")+COUNTIF(E59:AI59,"=Р2")+COUNTIF(E59:AI59,"=Р1/РВ")+COUNTIF(E59:AI59,"=Р2/РВ")+COUNTIF(E59:AI59,"=ВЧ/РВ")+COUNTIF(E59:AI59,"=РН/РВ"),0)</f>
        <v>11</v>
      </c>
      <c r="AK59" s="202">
        <f>IFERROR(SUMIF(E59:AI59,"=Р2",E60:AI60)+SUMIF(E59:AI59,"=ВЧ/РВ",E60:AI60)+SUMIF(E59:AI59,"=РН/РВ",E60:AI60)+SUMIF(E59:AI59,"=Р1/РВ",E60:AI60)+SUMIF(E59:AI59,"=ВЧ2/РВ",E60:AI60)+SUMIF(E59:AI59,"=Р2/РВ",E60:AI60)+SUMIF(E59:AI59,"=Р",E60:AI60)+SUMIF(E59:AI59,"=Р1",E60:AI60)+SUMIF(E59:AI59,"=ВЧ1",E60:AI60)+SUMIF(E59:AI59,"=РН",E60:AI60)+SUMIF(E59:AI59,"=ВЧ",E60:AI60),0)+AL59</f>
        <v>88.000000000000014</v>
      </c>
      <c r="AL59" s="202">
        <f>IFERROR(SUMIF(E59:AI59,"=НУ",E60:AI60),0)</f>
        <v>0</v>
      </c>
      <c r="AM59" s="202">
        <f>IFERROR(SUMIF(E59:AI59,"=РН",E60:AI60)+SUMIF(E59:AI59,"=РН/РВ",E60:AI60)+SUMIFS(E60:AI60,E59:AI59,"=Р2",E60:AI60,"=8"),0)</f>
        <v>0</v>
      </c>
      <c r="AN59" s="211">
        <f>IFERROR(SUMIF(E59:AI59,"=ВЧ",E60:AI60)+SUMIF(E59:AI59,"=ВЧ/РВ",E60:AI60)+CEILING(COUNTIFS(E59:AI59,"=Р2",E60:AI60,"=7")*4,1)+CEILING(COUNTIFS(E59:AI59,"=Р2/РВ",E60:AI60,"=7")*4,1)+SUMIFS(E60:AI60,E59:AI59,"=Р1/РВ",E60:AI60,"=12")/6+SUMIFS(E60:AI60,E59:AI59,"=ВЧ2/РВ",E60:AI60,"=4")/2+SUMIFS(E60:AI60,E59:AI59,"=Р1",E60:AI60,"=12")/6+SUMIFS(E60:AI60,E59:AI59,"=Р1",E60:AI60,"=8")/4+SUMIF(E59:AI59,"=ВЧ1",E60:AI60)/2,0)</f>
        <v>0</v>
      </c>
      <c r="AO59" s="202">
        <f>IFERROR(SUMIF(E59:AI59,"=РВ",E60:AI60)+SUMIF(E59:AI59,"=ВЧ/РВ",E60:AI60)+SUMIF(E59:AI59,"=РН/РВ",E60:AI60)+SUMIF(E59:AI59,"=Р1/РВ",E60:AI60)+SUMIF(E59:AI59,"=ВЧ2/РВ",E60:AI60)+SUMIF(E59:AI59,"=Р2/РВ",E60:AI60),0)</f>
        <v>0</v>
      </c>
      <c r="AP59" s="202">
        <f>IFERROR(COUNTIF(E59:AI59,"=ВВ")+COUNTIF(E59:AI59,"=Р1/ВВ")+COUNTIF(E59:AI59,"=РН/ВВ")+COUNTIF(E59:AI59,"=ВЧ/ВВ"),0)</f>
        <v>8</v>
      </c>
      <c r="AQ59" s="202">
        <f>SUM(AR59:AZ59)</f>
        <v>80.000000000000014</v>
      </c>
      <c r="AR59" s="202">
        <f>IFERROR(SUMIF(E59:AI59,"=В",E60:AI60)+SUMIF(E59:AI59,"=Ч",E60:AI60)+SUMIF(E59:AI59,"=ВБ",E60:AI60),0)</f>
        <v>0</v>
      </c>
      <c r="AS59" s="202">
        <f>IFERROR(SUMIF(E59:AI59,"=Н",E60:AI60),0)</f>
        <v>0</v>
      </c>
      <c r="AT59" s="202">
        <f>IFERROR(SUMIF(E59:AI59,"=НА",E60:AI60),0)</f>
        <v>0</v>
      </c>
      <c r="AU59" s="202">
        <f>IFERROR(SUMIF(E59:AI59,"=ВП",E60:AI60),0)</f>
        <v>0</v>
      </c>
      <c r="AV59" s="202">
        <f>IFERROR(SUMIF(E59:AI59,"=ДД",E60:AI60),0)</f>
        <v>0</v>
      </c>
      <c r="AW59" s="202">
        <f>IFERROR(SUMIF(E59:AI59,"=ДО",E60:AI60),0)</f>
        <v>0</v>
      </c>
      <c r="AX59" s="202">
        <f>IFERROR(SUMIF(E59:AI59,"=ТН",E60:AI60),0)</f>
        <v>80.000000000000014</v>
      </c>
      <c r="AY59" s="202">
        <f>IFERROR(SUMIF(E59:AI59,"=ВД",E60:AI60),0)</f>
        <v>0</v>
      </c>
      <c r="AZ59" s="200">
        <f>IFERROR(SUMIF(E59:AI59,"=ІН",E60:AI60),0)+SUMIF(E59:AI59,"=НЗ",E60:AI60)</f>
        <v>0</v>
      </c>
    </row>
    <row r="60" spans="1:52" s="105" customFormat="1" ht="20.100000000000001" customHeight="1" thickBot="1" x14ac:dyDescent="0.25">
      <c r="A60" s="290"/>
      <c r="B60" s="229"/>
      <c r="C60" s="229"/>
      <c r="D60" s="280"/>
      <c r="E60" s="192"/>
      <c r="F60" s="192"/>
      <c r="G60" s="192">
        <v>8.1999999999999993</v>
      </c>
      <c r="H60" s="192">
        <v>8.1999999999999993</v>
      </c>
      <c r="I60" s="192">
        <v>8.1999999999999993</v>
      </c>
      <c r="J60" s="192">
        <v>8.1999999999999993</v>
      </c>
      <c r="K60" s="192">
        <v>7</v>
      </c>
      <c r="L60" s="192"/>
      <c r="M60" s="192"/>
      <c r="N60" s="192">
        <v>8.1999999999999993</v>
      </c>
      <c r="O60" s="192">
        <v>8.1999999999999993</v>
      </c>
      <c r="P60" s="192">
        <v>8.1999999999999993</v>
      </c>
      <c r="Q60" s="192">
        <v>8.1999999999999993</v>
      </c>
      <c r="R60" s="192">
        <v>7.2</v>
      </c>
      <c r="S60" s="192"/>
      <c r="T60" s="192"/>
      <c r="U60" s="192">
        <v>8.1999999999999993</v>
      </c>
      <c r="V60" s="192">
        <v>8.1999999999999993</v>
      </c>
      <c r="W60" s="192">
        <v>8.1999999999999993</v>
      </c>
      <c r="X60" s="192">
        <v>8.1999999999999993</v>
      </c>
      <c r="Y60" s="192">
        <v>7.2</v>
      </c>
      <c r="Z60" s="192"/>
      <c r="AA60" s="192"/>
      <c r="AB60" s="192">
        <v>8.1999999999999993</v>
      </c>
      <c r="AC60" s="192">
        <v>8.1999999999999993</v>
      </c>
      <c r="AD60" s="192">
        <v>8.1999999999999993</v>
      </c>
      <c r="AE60" s="192">
        <v>8.1999999999999993</v>
      </c>
      <c r="AF60" s="192">
        <v>7.2</v>
      </c>
      <c r="AG60" s="192"/>
      <c r="AH60" s="192"/>
      <c r="AI60" s="192">
        <v>8.1999999999999993</v>
      </c>
      <c r="AJ60" s="214"/>
      <c r="AK60" s="203"/>
      <c r="AL60" s="203"/>
      <c r="AM60" s="203"/>
      <c r="AN60" s="212"/>
      <c r="AO60" s="203"/>
      <c r="AP60" s="203"/>
      <c r="AQ60" s="203"/>
      <c r="AR60" s="203"/>
      <c r="AS60" s="203"/>
      <c r="AT60" s="203"/>
      <c r="AU60" s="203"/>
      <c r="AV60" s="203"/>
      <c r="AW60" s="203"/>
      <c r="AX60" s="203"/>
      <c r="AY60" s="203"/>
      <c r="AZ60" s="201"/>
    </row>
    <row r="61" spans="1:52" s="173" customFormat="1" ht="20.100000000000001" customHeight="1" x14ac:dyDescent="0.2">
      <c r="A61" s="289">
        <f t="shared" si="8"/>
        <v>23</v>
      </c>
      <c r="B61" s="228" t="s">
        <v>241</v>
      </c>
      <c r="C61" s="228">
        <v>951</v>
      </c>
      <c r="D61" s="279" t="s">
        <v>65</v>
      </c>
      <c r="E61" s="191" t="s">
        <v>309</v>
      </c>
      <c r="F61" s="191" t="s">
        <v>43</v>
      </c>
      <c r="G61" s="191" t="s">
        <v>142</v>
      </c>
      <c r="H61" s="191" t="s">
        <v>4</v>
      </c>
      <c r="I61" s="191" t="s">
        <v>41</v>
      </c>
      <c r="J61" s="191" t="s">
        <v>43</v>
      </c>
      <c r="K61" s="191" t="s">
        <v>142</v>
      </c>
      <c r="L61" s="191" t="s">
        <v>4</v>
      </c>
      <c r="M61" s="191" t="s">
        <v>41</v>
      </c>
      <c r="N61" s="191" t="s">
        <v>43</v>
      </c>
      <c r="O61" s="191" t="s">
        <v>142</v>
      </c>
      <c r="P61" s="191" t="s">
        <v>4</v>
      </c>
      <c r="Q61" s="191" t="s">
        <v>41</v>
      </c>
      <c r="R61" s="191" t="s">
        <v>43</v>
      </c>
      <c r="S61" s="191" t="s">
        <v>142</v>
      </c>
      <c r="T61" s="191" t="s">
        <v>4</v>
      </c>
      <c r="U61" s="191" t="s">
        <v>41</v>
      </c>
      <c r="V61" s="191" t="s">
        <v>43</v>
      </c>
      <c r="W61" s="191" t="s">
        <v>142</v>
      </c>
      <c r="X61" s="191" t="s">
        <v>4</v>
      </c>
      <c r="Y61" s="191" t="s">
        <v>41</v>
      </c>
      <c r="Z61" s="191" t="s">
        <v>43</v>
      </c>
      <c r="AA61" s="191" t="s">
        <v>142</v>
      </c>
      <c r="AB61" s="191" t="s">
        <v>4</v>
      </c>
      <c r="AC61" s="191" t="s">
        <v>41</v>
      </c>
      <c r="AD61" s="191" t="s">
        <v>43</v>
      </c>
      <c r="AE61" s="191" t="s">
        <v>142</v>
      </c>
      <c r="AF61" s="191" t="s">
        <v>4</v>
      </c>
      <c r="AG61" s="191" t="s">
        <v>41</v>
      </c>
      <c r="AH61" s="191" t="s">
        <v>43</v>
      </c>
      <c r="AI61" s="191" t="s">
        <v>142</v>
      </c>
      <c r="AJ61" s="213">
        <f>IFERROR(COUNTIF(E61:AI61,"=Р")+COUNTIF(E61:AI61,"=Р1")+COUNTIF(E61:AI61,"=ВЧ")+COUNTIF(E61:AI61,"=РН")+COUNTIF(E61:AI61,"=Р2")+COUNTIF(E61:AI61,"=Р1/РВ")+COUNTIF(E61:AI61,"=Р2/РВ")+COUNTIF(E61:AI61,"=ВЧ/РВ")+COUNTIF(E61:AI61,"=РН/РВ"),0)</f>
        <v>22</v>
      </c>
      <c r="AK61" s="202">
        <f>IFERROR(SUMIF(E61:AI61,"=Р2",E62:AI62)+SUMIF(E61:AI61,"=ВЧ/РВ",E62:AI62)+SUMIF(E61:AI61,"=РН/РВ",E62:AI62)+SUMIF(E61:AI61,"=Р1/РВ",E62:AI62)+SUMIF(E61:AI61,"=ВЧ2/РВ",E62:AI62)+SUMIF(E61:AI61,"=Р2/РВ",E62:AI62)+SUMIF(E61:AI61,"=Р",E62:AI62)+SUMIF(E61:AI61,"=Р1",E62:AI62)+SUMIF(E61:AI61,"=ВЧ1",E62:AI62)+SUMIF(E61:AI61,"=РН",E62:AI62)+SUMIF(E61:AI61,"=ВЧ",E62:AI62),0)+AL61</f>
        <v>168</v>
      </c>
      <c r="AL61" s="202">
        <f>IFERROR(SUMIF(E61:AI61,"=НУ",E62:AI62),0)</f>
        <v>0</v>
      </c>
      <c r="AM61" s="202">
        <f>IFERROR(SUMIF(E61:AI61,"=РН",E62:AI62)+SUMIF(E61:AI61,"=РН/РВ",E62:AI62)+SUMIFS(E62:AI62,E61:AI61,"=Р2",E62:AI62,"=8"),0)</f>
        <v>64</v>
      </c>
      <c r="AN61" s="211">
        <f>IFERROR(SUMIF(E61:AI61,"=ВЧ",E62:AI62)+SUMIF(E61:AI61,"=ВЧ/РВ",E62:AI62)+CEILING(COUNTIFS(E61:AI61,"=Р2",E62:AI62,"=7")*4,1)+CEILING(COUNTIFS(E61:AI61,"=Р2/РВ",E62:AI62,"=7")*4,1)+SUMIFS(E62:AI62,E61:AI61,"=Р1/РВ",E62:AI62,"=12")/6+SUMIFS(E62:AI62,E61:AI61,"=ВЧ2/РВ",E62:AI62,"=4")/2+SUMIFS(E62:AI62,E61:AI61,"=Р1",E62:AI62,"=12")/6+SUMIFS(E62:AI62,E61:AI61,"=Р1",E62:AI62,"=8")/4+SUMIF(E61:AI61,"=ВЧ1",E62:AI62)/2,0)</f>
        <v>30</v>
      </c>
      <c r="AO61" s="202">
        <f>IFERROR(SUMIF(E61:AI61,"=РВ",E62:AI62)+SUMIF(E61:AI61,"=ВЧ/РВ",E62:AI62)+SUMIF(E61:AI61,"=РН/РВ",E62:AI62)+SUMIF(E61:AI61,"=Р1/РВ",E62:AI62)+SUMIF(E61:AI61,"=ВЧ2/РВ",E62:AI62)+SUMIF(E61:AI61,"=Р2/РВ",E62:AI62),0)</f>
        <v>0</v>
      </c>
      <c r="AP61" s="202">
        <f>IFERROR(COUNTIF(E61:AI61,"=ВВ")+COUNTIF(E61:AI61,"=Р1/ВВ")+COUNTIF(E61:AI61,"=РН/ВВ")+COUNTIF(E61:AI61,"=ВЧ/ВВ"),0)</f>
        <v>8</v>
      </c>
      <c r="AQ61" s="202">
        <f>SUM(AR61:AZ61)</f>
        <v>0</v>
      </c>
      <c r="AR61" s="202">
        <f>IFERROR(SUMIF(E61:AI61,"=В",E62:AI62)+SUMIF(E61:AI61,"=Ч",E62:AI62)+SUMIF(E61:AI61,"=ВБ",E62:AI62),0)</f>
        <v>0</v>
      </c>
      <c r="AS61" s="202">
        <f>IFERROR(SUMIF(E61:AI61,"=Н",E62:AI62),0)</f>
        <v>0</v>
      </c>
      <c r="AT61" s="202">
        <f>IFERROR(SUMIF(E61:AI61,"=НА",E62:AI62),0)</f>
        <v>0</v>
      </c>
      <c r="AU61" s="202">
        <f>IFERROR(SUMIF(E61:AI61,"=ВП",E62:AI62),0)</f>
        <v>0</v>
      </c>
      <c r="AV61" s="202">
        <f>IFERROR(SUMIF(E61:AI61,"=ДД",E62:AI62),0)</f>
        <v>0</v>
      </c>
      <c r="AW61" s="202">
        <f>IFERROR(SUMIF(E61:AI61,"=ДО",E62:AI62),0)</f>
        <v>0</v>
      </c>
      <c r="AX61" s="202">
        <f>IFERROR(SUMIF(E61:AI61,"=ТН",E62:AI62),0)</f>
        <v>0</v>
      </c>
      <c r="AY61" s="202">
        <f>IFERROR(SUMIF(E61:AI61,"=ВД",E62:AI62),0)</f>
        <v>0</v>
      </c>
      <c r="AZ61" s="200">
        <f>IFERROR(SUMIF(E61:AI61,"=ІН",E62:AI62),0)+SUMIF(E61:AI61,"=НЗ",E62:AI62)</f>
        <v>0</v>
      </c>
    </row>
    <row r="62" spans="1:52" s="173" customFormat="1" ht="20.100000000000001" customHeight="1" thickBot="1" x14ac:dyDescent="0.25">
      <c r="A62" s="290"/>
      <c r="B62" s="229"/>
      <c r="C62" s="229"/>
      <c r="D62" s="280"/>
      <c r="E62" s="192">
        <v>4</v>
      </c>
      <c r="F62" s="192">
        <v>8</v>
      </c>
      <c r="G62" s="192"/>
      <c r="H62" s="192">
        <v>12</v>
      </c>
      <c r="I62" s="192">
        <v>4</v>
      </c>
      <c r="J62" s="192">
        <v>8</v>
      </c>
      <c r="K62" s="192"/>
      <c r="L62" s="192">
        <v>10</v>
      </c>
      <c r="M62" s="192">
        <v>4</v>
      </c>
      <c r="N62" s="192">
        <v>8</v>
      </c>
      <c r="O62" s="192"/>
      <c r="P62" s="192">
        <v>10</v>
      </c>
      <c r="Q62" s="192">
        <v>4</v>
      </c>
      <c r="R62" s="192">
        <v>8</v>
      </c>
      <c r="S62" s="192"/>
      <c r="T62" s="192">
        <v>10</v>
      </c>
      <c r="U62" s="192">
        <v>4</v>
      </c>
      <c r="V62" s="192">
        <v>8</v>
      </c>
      <c r="W62" s="192"/>
      <c r="X62" s="192">
        <v>10</v>
      </c>
      <c r="Y62" s="192">
        <v>4</v>
      </c>
      <c r="Z62" s="192">
        <v>8</v>
      </c>
      <c r="AA62" s="192"/>
      <c r="AB62" s="192">
        <v>10</v>
      </c>
      <c r="AC62" s="192">
        <v>4</v>
      </c>
      <c r="AD62" s="192">
        <v>8</v>
      </c>
      <c r="AE62" s="192"/>
      <c r="AF62" s="192">
        <v>10</v>
      </c>
      <c r="AG62" s="192">
        <v>4</v>
      </c>
      <c r="AH62" s="192">
        <v>8</v>
      </c>
      <c r="AI62" s="192"/>
      <c r="AJ62" s="214"/>
      <c r="AK62" s="203"/>
      <c r="AL62" s="203"/>
      <c r="AM62" s="203"/>
      <c r="AN62" s="212"/>
      <c r="AO62" s="203"/>
      <c r="AP62" s="203"/>
      <c r="AQ62" s="203"/>
      <c r="AR62" s="203"/>
      <c r="AS62" s="203"/>
      <c r="AT62" s="203"/>
      <c r="AU62" s="203"/>
      <c r="AV62" s="203"/>
      <c r="AW62" s="203"/>
      <c r="AX62" s="203"/>
      <c r="AY62" s="203"/>
      <c r="AZ62" s="201"/>
    </row>
    <row r="63" spans="1:52" ht="20.100000000000001" customHeight="1" x14ac:dyDescent="0.2">
      <c r="A63" s="289"/>
      <c r="B63" s="228" t="s">
        <v>74</v>
      </c>
      <c r="C63" s="228">
        <v>0</v>
      </c>
      <c r="D63" s="332">
        <v>0</v>
      </c>
      <c r="E63" s="72">
        <v>0</v>
      </c>
      <c r="F63" s="72">
        <v>0</v>
      </c>
      <c r="G63" s="72">
        <v>0</v>
      </c>
      <c r="H63" s="72">
        <v>0</v>
      </c>
      <c r="I63" s="72">
        <v>0</v>
      </c>
      <c r="J63" s="72">
        <v>0</v>
      </c>
      <c r="K63" s="72">
        <v>0</v>
      </c>
      <c r="L63" s="72">
        <v>0</v>
      </c>
      <c r="M63" s="72">
        <v>0</v>
      </c>
      <c r="N63" s="72">
        <v>0</v>
      </c>
      <c r="O63" s="72">
        <v>0</v>
      </c>
      <c r="P63" s="72">
        <v>0</v>
      </c>
      <c r="Q63" s="72">
        <v>0</v>
      </c>
      <c r="R63" s="72">
        <v>0</v>
      </c>
      <c r="S63" s="72">
        <v>0</v>
      </c>
      <c r="T63" s="72">
        <v>0</v>
      </c>
      <c r="U63" s="112">
        <v>0</v>
      </c>
      <c r="V63" s="72">
        <v>0</v>
      </c>
      <c r="W63" s="72">
        <v>0</v>
      </c>
      <c r="X63" s="72">
        <v>0</v>
      </c>
      <c r="Y63" s="72"/>
      <c r="Z63" s="72"/>
      <c r="AA63" s="72"/>
      <c r="AB63" s="72"/>
      <c r="AC63" s="72"/>
      <c r="AD63" s="72"/>
      <c r="AE63" s="72"/>
      <c r="AF63" s="72">
        <v>0</v>
      </c>
      <c r="AG63" s="72">
        <v>0</v>
      </c>
      <c r="AH63" s="72">
        <v>0</v>
      </c>
      <c r="AI63" s="72">
        <v>0</v>
      </c>
      <c r="AJ63" s="217">
        <f t="shared" ref="AJ63:AZ63" si="9">SUM(AJ17:AJ62)</f>
        <v>405</v>
      </c>
      <c r="AK63" s="217">
        <f t="shared" si="9"/>
        <v>3070.4</v>
      </c>
      <c r="AL63" s="217">
        <f t="shared" si="9"/>
        <v>0</v>
      </c>
      <c r="AM63" s="217">
        <f t="shared" si="9"/>
        <v>248</v>
      </c>
      <c r="AN63" s="217">
        <f t="shared" si="9"/>
        <v>122</v>
      </c>
      <c r="AO63" s="217">
        <f t="shared" si="9"/>
        <v>0</v>
      </c>
      <c r="AP63" s="217">
        <f t="shared" si="9"/>
        <v>195</v>
      </c>
      <c r="AQ63" s="217">
        <f t="shared" si="9"/>
        <v>688.6</v>
      </c>
      <c r="AR63" s="217">
        <f t="shared" si="9"/>
        <v>200.60000000000002</v>
      </c>
      <c r="AS63" s="217">
        <f t="shared" si="9"/>
        <v>0</v>
      </c>
      <c r="AT63" s="217">
        <f t="shared" si="9"/>
        <v>0</v>
      </c>
      <c r="AU63" s="217">
        <f t="shared" si="9"/>
        <v>0</v>
      </c>
      <c r="AV63" s="217">
        <f t="shared" si="9"/>
        <v>0</v>
      </c>
      <c r="AW63" s="217">
        <f t="shared" si="9"/>
        <v>0</v>
      </c>
      <c r="AX63" s="217">
        <f t="shared" si="9"/>
        <v>295.40000000000003</v>
      </c>
      <c r="AY63" s="217">
        <f t="shared" si="9"/>
        <v>24.599999999999998</v>
      </c>
      <c r="AZ63" s="217">
        <f t="shared" si="9"/>
        <v>167.99999999999997</v>
      </c>
    </row>
    <row r="64" spans="1:52" ht="20.100000000000001" customHeight="1" thickBot="1" x14ac:dyDescent="0.25">
      <c r="A64" s="290"/>
      <c r="B64" s="229"/>
      <c r="C64" s="229"/>
      <c r="D64" s="325"/>
      <c r="E64" s="73">
        <v>0</v>
      </c>
      <c r="F64" s="73">
        <v>0</v>
      </c>
      <c r="G64" s="73">
        <v>0</v>
      </c>
      <c r="H64" s="73">
        <v>0</v>
      </c>
      <c r="I64" s="73">
        <v>0</v>
      </c>
      <c r="J64" s="73">
        <v>0</v>
      </c>
      <c r="K64" s="73">
        <v>0</v>
      </c>
      <c r="L64" s="73">
        <v>0</v>
      </c>
      <c r="M64" s="73">
        <v>0</v>
      </c>
      <c r="N64" s="73">
        <v>0</v>
      </c>
      <c r="O64" s="73">
        <v>0</v>
      </c>
      <c r="P64" s="73">
        <v>0</v>
      </c>
      <c r="Q64" s="73">
        <v>0</v>
      </c>
      <c r="R64" s="73">
        <v>0</v>
      </c>
      <c r="S64" s="73">
        <v>0</v>
      </c>
      <c r="T64" s="73">
        <v>0</v>
      </c>
      <c r="U64" s="168">
        <v>0</v>
      </c>
      <c r="V64" s="73">
        <v>0</v>
      </c>
      <c r="W64" s="73">
        <v>0</v>
      </c>
      <c r="X64" s="73">
        <v>0</v>
      </c>
      <c r="Y64" s="73"/>
      <c r="Z64" s="73"/>
      <c r="AA64" s="73"/>
      <c r="AB64" s="73"/>
      <c r="AC64" s="73"/>
      <c r="AD64" s="73"/>
      <c r="AE64" s="73"/>
      <c r="AF64" s="73">
        <v>0</v>
      </c>
      <c r="AG64" s="73">
        <v>0</v>
      </c>
      <c r="AH64" s="73">
        <v>0</v>
      </c>
      <c r="AI64" s="73">
        <v>0</v>
      </c>
      <c r="AJ64" s="218"/>
      <c r="AK64" s="218"/>
      <c r="AL64" s="218"/>
      <c r="AM64" s="218"/>
      <c r="AN64" s="218"/>
      <c r="AO64" s="218"/>
      <c r="AP64" s="218"/>
      <c r="AQ64" s="218"/>
      <c r="AR64" s="218"/>
      <c r="AS64" s="218"/>
      <c r="AT64" s="218"/>
      <c r="AU64" s="218"/>
      <c r="AV64" s="218"/>
      <c r="AW64" s="218"/>
      <c r="AX64" s="218"/>
      <c r="AY64" s="218"/>
      <c r="AZ64" s="218"/>
    </row>
    <row r="65" spans="1:49" ht="14.25" customHeight="1" x14ac:dyDescent="0.2">
      <c r="C65" s="20"/>
      <c r="D65" s="8"/>
      <c r="AJ65" s="26"/>
    </row>
    <row r="66" spans="1:49" ht="12.75" customHeight="1" x14ac:dyDescent="0.2">
      <c r="A66" s="226" t="s">
        <v>32</v>
      </c>
      <c r="B66" s="226"/>
      <c r="C66" s="226"/>
      <c r="D66" s="227" t="s">
        <v>81</v>
      </c>
      <c r="E66" s="227"/>
      <c r="F66" s="227"/>
      <c r="G66" s="227"/>
      <c r="H66" s="227"/>
      <c r="I66" s="227"/>
      <c r="J66" s="69"/>
      <c r="K66" s="224"/>
      <c r="L66" s="224"/>
      <c r="M66" s="224"/>
      <c r="N66" s="69"/>
      <c r="O66" s="225" t="s">
        <v>278</v>
      </c>
      <c r="P66" s="225"/>
      <c r="Q66" s="225"/>
      <c r="R66" s="225"/>
      <c r="S66" s="225"/>
      <c r="T66" s="9"/>
      <c r="U66" s="221">
        <v>45747</v>
      </c>
      <c r="V66" s="221"/>
      <c r="W66" s="221"/>
      <c r="X66" s="221"/>
      <c r="Y66" s="221"/>
      <c r="Z66" s="10"/>
      <c r="AA66" s="69"/>
      <c r="AB66" s="69"/>
      <c r="AC66" s="69"/>
      <c r="AD66" s="69"/>
      <c r="AE66" s="69"/>
      <c r="AF66" s="69"/>
      <c r="AG66" s="69"/>
      <c r="AH66" s="69"/>
      <c r="AI66" s="69"/>
      <c r="AJ66" s="69"/>
      <c r="AK66" s="69"/>
      <c r="AL66" s="69"/>
      <c r="AM66" s="69"/>
      <c r="AN66" s="69"/>
      <c r="AO66" s="69"/>
      <c r="AP66" s="69"/>
      <c r="AQ66" s="69"/>
      <c r="AR66" s="69"/>
      <c r="AS66" s="69"/>
      <c r="AT66" s="69"/>
    </row>
    <row r="67" spans="1:49" x14ac:dyDescent="0.15">
      <c r="A67" s="13"/>
      <c r="B67" s="16"/>
      <c r="D67" s="222" t="s">
        <v>34</v>
      </c>
      <c r="E67" s="222"/>
      <c r="F67" s="222"/>
      <c r="G67" s="222"/>
      <c r="H67" s="222"/>
      <c r="I67" s="222"/>
      <c r="J67" s="13"/>
      <c r="K67" s="222" t="s">
        <v>35</v>
      </c>
      <c r="L67" s="222"/>
      <c r="M67" s="222"/>
      <c r="N67" s="13"/>
      <c r="O67" s="222" t="s">
        <v>36</v>
      </c>
      <c r="P67" s="222"/>
      <c r="Q67" s="222"/>
      <c r="R67" s="222"/>
      <c r="S67" s="222"/>
      <c r="T67" s="13"/>
      <c r="U67" s="13"/>
      <c r="V67" s="31"/>
      <c r="W67" s="13"/>
      <c r="X67" s="17"/>
      <c r="Y67" s="17"/>
      <c r="Z67" s="17"/>
      <c r="AA67" s="13"/>
      <c r="AB67" s="13"/>
      <c r="AC67" s="13"/>
      <c r="AD67" s="13"/>
      <c r="AE67" s="13"/>
      <c r="AF67" s="13"/>
      <c r="AG67" s="13"/>
      <c r="AH67" s="13"/>
      <c r="AI67" s="13"/>
      <c r="AJ67" s="13"/>
      <c r="AK67" s="13"/>
      <c r="AL67" s="13"/>
      <c r="AM67" s="13"/>
      <c r="AN67" s="13"/>
      <c r="AO67" s="13"/>
      <c r="AP67" s="13"/>
      <c r="AQ67" s="13"/>
      <c r="AR67" s="13"/>
      <c r="AS67" s="13"/>
      <c r="AT67" s="13"/>
    </row>
    <row r="68" spans="1:49" ht="12.75" customHeight="1" x14ac:dyDescent="0.2">
      <c r="A68" s="32" t="s">
        <v>33</v>
      </c>
      <c r="B68" s="32"/>
      <c r="C68" s="69"/>
      <c r="D68" s="223" t="s">
        <v>277</v>
      </c>
      <c r="E68" s="223"/>
      <c r="F68" s="223"/>
      <c r="G68" s="223"/>
      <c r="H68" s="223"/>
      <c r="I68" s="223"/>
      <c r="J68" s="69"/>
      <c r="K68" s="224"/>
      <c r="L68" s="224"/>
      <c r="M68" s="224"/>
      <c r="N68" s="69"/>
      <c r="O68" s="225" t="s">
        <v>279</v>
      </c>
      <c r="P68" s="225"/>
      <c r="Q68" s="225"/>
      <c r="R68" s="225"/>
      <c r="S68" s="225"/>
      <c r="T68" s="9"/>
      <c r="U68" s="221">
        <f>U66</f>
        <v>45747</v>
      </c>
      <c r="V68" s="221"/>
      <c r="W68" s="221"/>
      <c r="X68" s="221"/>
      <c r="Y68" s="221"/>
      <c r="Z68" s="69"/>
      <c r="AA68" s="69"/>
      <c r="AB68" s="69"/>
      <c r="AC68" s="69"/>
      <c r="AD68" s="69"/>
      <c r="AE68" s="69"/>
      <c r="AF68" s="69"/>
      <c r="AG68" s="69"/>
      <c r="AH68" s="69"/>
      <c r="AI68" s="69"/>
      <c r="AJ68" s="69"/>
      <c r="AK68" s="69"/>
      <c r="AL68" s="69"/>
      <c r="AM68" s="69"/>
      <c r="AN68" s="69"/>
      <c r="AO68" s="69"/>
      <c r="AP68" s="69"/>
      <c r="AQ68" s="69"/>
      <c r="AR68" s="69"/>
      <c r="AS68" s="69"/>
      <c r="AT68" s="69"/>
    </row>
    <row r="69" spans="1:49" x14ac:dyDescent="0.2">
      <c r="A69" s="13"/>
      <c r="B69" s="13"/>
      <c r="D69" s="222" t="s">
        <v>34</v>
      </c>
      <c r="E69" s="222"/>
      <c r="F69" s="222"/>
      <c r="G69" s="222"/>
      <c r="H69" s="222"/>
      <c r="I69" s="222"/>
      <c r="J69" s="13"/>
      <c r="K69" s="222" t="s">
        <v>35</v>
      </c>
      <c r="L69" s="222"/>
      <c r="M69" s="222"/>
      <c r="N69" s="13"/>
      <c r="O69" s="222" t="s">
        <v>36</v>
      </c>
      <c r="P69" s="222"/>
      <c r="Q69" s="222"/>
      <c r="R69" s="222"/>
      <c r="S69" s="222"/>
      <c r="T69" s="17"/>
      <c r="U69" s="17"/>
      <c r="V69" s="13"/>
      <c r="W69" s="17"/>
      <c r="X69" s="17"/>
      <c r="Y69" s="17"/>
      <c r="Z69" s="69"/>
      <c r="AA69" s="69"/>
      <c r="AB69" s="69"/>
      <c r="AC69" s="69"/>
      <c r="AD69" s="69"/>
      <c r="AE69" s="69"/>
      <c r="AF69" s="69"/>
      <c r="AG69" s="69"/>
      <c r="AH69" s="69"/>
      <c r="AI69" s="69"/>
      <c r="AJ69" s="69"/>
      <c r="AK69" s="69"/>
      <c r="AL69" s="69"/>
      <c r="AM69" s="69"/>
      <c r="AN69" s="69"/>
      <c r="AO69" s="69"/>
      <c r="AP69" s="69"/>
      <c r="AQ69" s="69"/>
      <c r="AR69" s="69"/>
      <c r="AS69" s="69"/>
      <c r="AT69" s="69"/>
    </row>
    <row r="70" spans="1:49" s="97" customFormat="1" ht="18.75" customHeight="1" x14ac:dyDescent="0.2">
      <c r="A70" s="13"/>
      <c r="B70" s="13"/>
      <c r="C70" s="13"/>
      <c r="D70" s="98"/>
      <c r="E70" s="98"/>
      <c r="F70" s="98"/>
      <c r="G70" s="98"/>
      <c r="H70" s="98"/>
      <c r="I70" s="98"/>
      <c r="J70" s="13"/>
      <c r="K70" s="98"/>
      <c r="L70" s="98"/>
      <c r="M70" s="98"/>
      <c r="N70" s="13"/>
      <c r="O70" s="98"/>
      <c r="P70" s="98"/>
      <c r="Q70" s="98"/>
      <c r="R70" s="98"/>
      <c r="S70" s="98"/>
      <c r="T70" s="17"/>
      <c r="U70" s="17"/>
      <c r="V70" s="13"/>
      <c r="W70" s="17"/>
      <c r="X70" s="17"/>
      <c r="Y70" s="17"/>
      <c r="AW70" s="131"/>
    </row>
    <row r="71" spans="1:49" ht="13.5" customHeight="1" x14ac:dyDescent="0.2">
      <c r="A71" s="69"/>
      <c r="B71" s="69"/>
      <c r="C71" s="33" t="s">
        <v>39</v>
      </c>
      <c r="D71" s="70"/>
      <c r="E71" s="70"/>
      <c r="F71" s="70"/>
      <c r="G71" s="70"/>
      <c r="H71" s="70"/>
      <c r="I71" s="70"/>
      <c r="J71" s="70"/>
      <c r="K71" s="70"/>
      <c r="L71" s="70"/>
      <c r="M71" s="70"/>
      <c r="N71" s="70"/>
      <c r="O71" s="70"/>
      <c r="P71" s="70"/>
      <c r="Q71" s="70"/>
      <c r="R71" s="69"/>
      <c r="S71" s="69"/>
      <c r="T71" s="69"/>
      <c r="U71" s="69"/>
      <c r="V71" s="69"/>
      <c r="W71" s="69"/>
      <c r="X71" s="69"/>
      <c r="Y71" s="69"/>
      <c r="Z71" s="69"/>
      <c r="AA71" s="69"/>
      <c r="AB71" s="69"/>
      <c r="AC71" s="69"/>
      <c r="AD71" s="69"/>
      <c r="AE71" s="69"/>
      <c r="AF71" s="69"/>
      <c r="AG71" s="69"/>
      <c r="AH71" s="69"/>
      <c r="AI71" s="69"/>
      <c r="AJ71" s="69"/>
      <c r="AK71" s="69"/>
      <c r="AL71" s="69"/>
      <c r="AM71" s="69"/>
      <c r="AN71" s="69"/>
      <c r="AO71" s="69"/>
      <c r="AP71" s="69"/>
      <c r="AQ71" s="69"/>
      <c r="AR71" s="69"/>
      <c r="AS71" s="69"/>
      <c r="AT71" s="69"/>
    </row>
    <row r="72" spans="1:49" x14ac:dyDescent="0.2">
      <c r="A72" s="69"/>
      <c r="B72" s="69"/>
      <c r="C72" s="34" t="s">
        <v>4</v>
      </c>
      <c r="D72" s="35" t="s">
        <v>49</v>
      </c>
      <c r="E72" t="s">
        <v>5</v>
      </c>
      <c r="F72"/>
      <c r="G72"/>
      <c r="H72"/>
      <c r="I72"/>
      <c r="J72"/>
      <c r="K72"/>
      <c r="L72"/>
      <c r="M72"/>
      <c r="N72" s="36"/>
      <c r="O72" s="3"/>
      <c r="P72" s="37"/>
      <c r="Q72" s="37"/>
      <c r="R72" s="69"/>
      <c r="S72" s="69"/>
      <c r="T72" s="69"/>
      <c r="U72" s="21" t="s">
        <v>2</v>
      </c>
      <c r="V72" s="15" t="s">
        <v>49</v>
      </c>
      <c r="W72" t="s">
        <v>61</v>
      </c>
      <c r="X72"/>
      <c r="Y72" s="69"/>
      <c r="Z72" s="69"/>
      <c r="AA72" s="69"/>
      <c r="AB72" s="69"/>
      <c r="AC72" s="69"/>
      <c r="AD72" s="69"/>
      <c r="AE72" s="69"/>
      <c r="AF72" s="69"/>
      <c r="AG72" s="69"/>
      <c r="AH72" s="69"/>
      <c r="AI72" s="69"/>
      <c r="AJ72" s="69"/>
      <c r="AK72" s="69"/>
      <c r="AL72" s="69"/>
      <c r="AM72" s="69"/>
      <c r="AN72" s="69"/>
      <c r="AO72" s="69"/>
      <c r="AP72" s="69"/>
      <c r="AQ72" s="69"/>
      <c r="AR72" s="69"/>
      <c r="AS72" s="69"/>
      <c r="AT72" s="69"/>
    </row>
    <row r="73" spans="1:49" x14ac:dyDescent="0.2">
      <c r="A73" s="69"/>
      <c r="B73" s="69"/>
      <c r="C73" s="34" t="s">
        <v>41</v>
      </c>
      <c r="D73" s="35" t="s">
        <v>49</v>
      </c>
      <c r="E73" t="s">
        <v>40</v>
      </c>
      <c r="F73"/>
      <c r="G73"/>
      <c r="H73"/>
      <c r="I73"/>
      <c r="J73"/>
      <c r="K73"/>
      <c r="L73"/>
      <c r="M73"/>
      <c r="N73" s="36"/>
      <c r="O73" s="3"/>
      <c r="P73" s="37"/>
      <c r="Q73" s="37"/>
      <c r="R73" s="69"/>
      <c r="S73" s="69"/>
      <c r="T73" s="69"/>
      <c r="U73" s="21" t="s">
        <v>50</v>
      </c>
      <c r="V73" s="15" t="s">
        <v>49</v>
      </c>
      <c r="W73" t="s">
        <v>62</v>
      </c>
      <c r="X73"/>
      <c r="Y73" s="69"/>
      <c r="Z73" s="69"/>
      <c r="AA73" s="69"/>
      <c r="AB73" s="69"/>
      <c r="AC73" s="69"/>
      <c r="AD73" s="69"/>
      <c r="AE73" s="69"/>
      <c r="AF73" s="69"/>
      <c r="AG73" s="69"/>
      <c r="AH73" s="69"/>
      <c r="AI73" s="69"/>
      <c r="AJ73" s="69"/>
      <c r="AK73" s="69"/>
      <c r="AL73" s="69"/>
      <c r="AM73" s="69"/>
      <c r="AN73" s="69"/>
      <c r="AO73" s="69"/>
      <c r="AP73" s="69"/>
      <c r="AQ73" s="69"/>
      <c r="AR73" s="69"/>
      <c r="AS73" s="69"/>
      <c r="AT73" s="69"/>
    </row>
    <row r="74" spans="1:49" x14ac:dyDescent="0.2">
      <c r="A74" s="69"/>
      <c r="B74" s="69"/>
      <c r="C74" s="34" t="s">
        <v>43</v>
      </c>
      <c r="D74" s="35" t="s">
        <v>49</v>
      </c>
      <c r="E74" t="s">
        <v>42</v>
      </c>
      <c r="F74"/>
      <c r="G74"/>
      <c r="H74"/>
      <c r="I74"/>
      <c r="J74"/>
      <c r="K74"/>
      <c r="L74"/>
      <c r="M74"/>
      <c r="N74" s="36"/>
      <c r="O74" s="3"/>
      <c r="P74" s="37"/>
      <c r="Q74" s="37"/>
      <c r="R74" s="69"/>
      <c r="S74" s="69"/>
      <c r="T74" s="69"/>
      <c r="U74" s="21" t="s">
        <v>51</v>
      </c>
      <c r="V74" s="15" t="s">
        <v>49</v>
      </c>
      <c r="W74" t="s">
        <v>53</v>
      </c>
      <c r="X74"/>
      <c r="Y74" s="69"/>
      <c r="Z74" s="69"/>
      <c r="AA74" s="69"/>
      <c r="AB74" s="69"/>
      <c r="AC74" s="69"/>
      <c r="AD74" s="69"/>
      <c r="AE74" s="69"/>
      <c r="AF74" s="69"/>
      <c r="AG74" s="69"/>
      <c r="AH74" s="69"/>
      <c r="AI74" s="69"/>
      <c r="AJ74" s="69"/>
      <c r="AK74" s="69"/>
      <c r="AL74" s="69"/>
      <c r="AM74" s="69"/>
      <c r="AN74" s="69"/>
      <c r="AO74" s="69"/>
      <c r="AP74" s="69"/>
      <c r="AQ74" s="69"/>
      <c r="AR74" s="69"/>
      <c r="AS74" s="69"/>
      <c r="AT74" s="69"/>
    </row>
    <row r="75" spans="1:49" x14ac:dyDescent="0.2">
      <c r="A75" s="69"/>
      <c r="B75" s="69"/>
      <c r="C75" s="34" t="s">
        <v>45</v>
      </c>
      <c r="D75" s="35" t="s">
        <v>49</v>
      </c>
      <c r="E75" t="s">
        <v>44</v>
      </c>
      <c r="F75"/>
      <c r="G75"/>
      <c r="H75"/>
      <c r="I75"/>
      <c r="J75"/>
      <c r="K75"/>
      <c r="L75"/>
      <c r="M75"/>
      <c r="N75" s="3"/>
      <c r="O75" s="3"/>
      <c r="P75" s="37"/>
      <c r="Q75" s="37"/>
      <c r="R75" s="69"/>
      <c r="S75" s="69"/>
      <c r="T75" s="69"/>
      <c r="U75" s="15" t="s">
        <v>63</v>
      </c>
      <c r="V75" s="15" t="s">
        <v>49</v>
      </c>
      <c r="W75" t="s">
        <v>64</v>
      </c>
      <c r="X75"/>
      <c r="Y75" s="69"/>
      <c r="Z75" s="69"/>
      <c r="AA75" s="69"/>
      <c r="AB75" s="69"/>
      <c r="AC75" s="69"/>
      <c r="AD75" s="69"/>
      <c r="AE75" s="69"/>
      <c r="AF75" s="69"/>
      <c r="AG75" s="69"/>
      <c r="AH75" s="69"/>
      <c r="AI75" s="69"/>
      <c r="AJ75" s="69"/>
      <c r="AK75" s="69"/>
      <c r="AL75" s="69"/>
      <c r="AM75" s="69"/>
      <c r="AN75" s="69"/>
      <c r="AO75" s="69"/>
      <c r="AP75" s="69"/>
      <c r="AQ75" s="69"/>
      <c r="AR75" s="69"/>
      <c r="AS75" s="69"/>
      <c r="AT75" s="69"/>
    </row>
    <row r="76" spans="1:49" x14ac:dyDescent="0.2">
      <c r="A76" s="69"/>
      <c r="B76" s="69"/>
      <c r="C76" s="34" t="s">
        <v>47</v>
      </c>
      <c r="D76" s="35" t="s">
        <v>49</v>
      </c>
      <c r="E76" t="s">
        <v>46</v>
      </c>
      <c r="F76"/>
      <c r="G76"/>
      <c r="H76"/>
      <c r="I76"/>
      <c r="J76"/>
      <c r="K76"/>
      <c r="L76"/>
      <c r="M76"/>
      <c r="N76" s="3"/>
      <c r="O76" s="3"/>
      <c r="P76" s="37"/>
      <c r="Q76" s="37"/>
      <c r="R76" s="69"/>
      <c r="S76" s="69"/>
      <c r="T76" s="69"/>
      <c r="U76" s="15" t="s">
        <v>65</v>
      </c>
      <c r="V76" s="15" t="s">
        <v>49</v>
      </c>
      <c r="W76" t="s">
        <v>66</v>
      </c>
      <c r="X76"/>
      <c r="Y76" s="69"/>
      <c r="Z76" s="69"/>
      <c r="AA76" s="69"/>
      <c r="AB76" s="69"/>
      <c r="AC76" s="69"/>
      <c r="AD76" s="69"/>
      <c r="AE76" s="69"/>
      <c r="AF76" s="69"/>
      <c r="AG76" s="69"/>
      <c r="AH76" s="69"/>
      <c r="AI76" s="69"/>
      <c r="AJ76" s="69"/>
      <c r="AK76" s="69"/>
      <c r="AL76" s="69"/>
      <c r="AM76" s="69"/>
      <c r="AN76" s="69"/>
      <c r="AO76" s="69"/>
      <c r="AP76" s="69"/>
      <c r="AQ76" s="69"/>
      <c r="AR76" s="69"/>
      <c r="AS76" s="69"/>
      <c r="AT76" s="69"/>
    </row>
    <row r="77" spans="1:49" x14ac:dyDescent="0.2">
      <c r="A77" s="69"/>
      <c r="B77" s="69"/>
      <c r="C77" s="34" t="s">
        <v>48</v>
      </c>
      <c r="D77" s="35" t="s">
        <v>49</v>
      </c>
      <c r="E77" t="s">
        <v>29</v>
      </c>
      <c r="F77"/>
      <c r="G77"/>
      <c r="H77"/>
      <c r="I77"/>
      <c r="J77"/>
      <c r="K77"/>
      <c r="L77"/>
      <c r="M77"/>
      <c r="N77" s="36"/>
      <c r="O77" s="3"/>
      <c r="P77" s="37"/>
      <c r="Q77" s="37"/>
      <c r="R77" s="69"/>
      <c r="S77" s="69"/>
      <c r="T77" s="69"/>
      <c r="U77" s="21" t="s">
        <v>52</v>
      </c>
      <c r="V77" s="15" t="s">
        <v>49</v>
      </c>
      <c r="W77" t="s">
        <v>54</v>
      </c>
      <c r="X77"/>
      <c r="Y77" s="69"/>
      <c r="Z77" s="69"/>
      <c r="AA77" s="69"/>
      <c r="AB77" s="69"/>
      <c r="AC77" s="69"/>
      <c r="AD77" s="69"/>
      <c r="AE77" s="69"/>
      <c r="AF77" s="69"/>
      <c r="AG77" s="69"/>
      <c r="AH77" s="69"/>
      <c r="AI77" s="69"/>
      <c r="AJ77" s="69"/>
      <c r="AK77" s="69"/>
      <c r="AL77" s="69"/>
      <c r="AM77" s="69"/>
      <c r="AN77" s="69"/>
      <c r="AO77" s="69"/>
      <c r="AP77" s="69"/>
      <c r="AQ77" s="69"/>
      <c r="AR77" s="69"/>
      <c r="AS77" s="69"/>
      <c r="AT77" s="69"/>
    </row>
    <row r="78" spans="1:49" x14ac:dyDescent="0.2">
      <c r="A78" s="69"/>
      <c r="B78" s="69"/>
      <c r="C78" s="34" t="s">
        <v>3</v>
      </c>
      <c r="D78" s="35" t="s">
        <v>49</v>
      </c>
      <c r="E78" t="s">
        <v>67</v>
      </c>
      <c r="F78"/>
      <c r="G78"/>
      <c r="H78"/>
      <c r="I78"/>
      <c r="J78"/>
      <c r="K78"/>
      <c r="L78"/>
      <c r="M78"/>
      <c r="N78" s="36"/>
      <c r="O78" s="3"/>
      <c r="P78" s="37"/>
      <c r="Q78" s="37"/>
      <c r="R78" s="69"/>
      <c r="S78" s="69"/>
      <c r="T78" s="69"/>
      <c r="U78" s="21" t="s">
        <v>68</v>
      </c>
      <c r="V78" s="15" t="s">
        <v>49</v>
      </c>
      <c r="W78" t="s">
        <v>31</v>
      </c>
      <c r="X78"/>
      <c r="Y78" s="69"/>
      <c r="Z78" s="69"/>
      <c r="AA78" s="69"/>
      <c r="AB78" s="69"/>
      <c r="AC78" s="69"/>
      <c r="AD78" s="69"/>
      <c r="AE78" s="69"/>
      <c r="AF78" s="69"/>
      <c r="AG78" s="69"/>
      <c r="AH78" s="69"/>
      <c r="AI78" s="69"/>
      <c r="AJ78" s="69"/>
      <c r="AK78" s="69"/>
      <c r="AL78" s="69"/>
      <c r="AM78" s="69"/>
      <c r="AN78" s="69"/>
      <c r="AO78" s="69"/>
      <c r="AP78" s="69"/>
      <c r="AQ78" s="69"/>
      <c r="AR78" s="69"/>
      <c r="AS78" s="69"/>
      <c r="AT78" s="69"/>
    </row>
    <row r="79" spans="1:49" x14ac:dyDescent="0.2">
      <c r="A79" s="69"/>
      <c r="B79" s="69"/>
      <c r="C79" s="34" t="s">
        <v>73</v>
      </c>
      <c r="D79" s="35" t="s">
        <v>49</v>
      </c>
      <c r="E79" s="219" t="s">
        <v>75</v>
      </c>
      <c r="F79" s="220"/>
      <c r="G79" s="220"/>
      <c r="H79" s="220"/>
      <c r="I79" s="220"/>
      <c r="J79" s="220"/>
      <c r="K79" s="220"/>
      <c r="L79" s="220"/>
      <c r="M79" s="220"/>
      <c r="N79" s="220"/>
      <c r="O79" s="220"/>
      <c r="P79" s="220"/>
      <c r="Q79" s="220"/>
      <c r="R79" s="69"/>
      <c r="S79" s="69"/>
      <c r="T79" s="69"/>
      <c r="U79" s="21" t="s">
        <v>76</v>
      </c>
      <c r="V79" s="15" t="s">
        <v>49</v>
      </c>
      <c r="W79" t="s">
        <v>77</v>
      </c>
      <c r="X79" s="69"/>
      <c r="Y79" s="69"/>
      <c r="Z79" s="69"/>
      <c r="AA79" s="69"/>
      <c r="AB79" s="69"/>
      <c r="AC79" s="69"/>
      <c r="AD79" s="69"/>
      <c r="AE79" s="69"/>
      <c r="AF79" s="69"/>
      <c r="AG79" s="69"/>
      <c r="AH79" s="69"/>
      <c r="AI79" s="69"/>
      <c r="AJ79" s="69"/>
      <c r="AK79" s="69"/>
      <c r="AL79" s="69"/>
      <c r="AM79" s="69"/>
      <c r="AN79" s="69"/>
      <c r="AO79" s="69"/>
      <c r="AP79" s="69"/>
      <c r="AQ79" s="69"/>
      <c r="AR79" s="69"/>
      <c r="AS79" s="69"/>
      <c r="AT79" s="69"/>
    </row>
    <row r="80" spans="1:49" x14ac:dyDescent="0.2">
      <c r="A80" s="69"/>
      <c r="B80" s="69"/>
      <c r="C80" s="34" t="s">
        <v>142</v>
      </c>
      <c r="D80" s="35" t="s">
        <v>49</v>
      </c>
      <c r="E80" s="219" t="s">
        <v>143</v>
      </c>
      <c r="F80" s="220"/>
      <c r="G80" s="220"/>
      <c r="H80" s="220"/>
      <c r="I80" s="220"/>
      <c r="J80" s="220"/>
      <c r="K80" s="220"/>
      <c r="L80" s="220"/>
      <c r="M80" s="220"/>
      <c r="N80" s="220"/>
      <c r="O80" s="220"/>
      <c r="P80" s="220"/>
      <c r="Q80" s="220"/>
      <c r="R80" s="69"/>
      <c r="S80" s="69"/>
      <c r="T80" s="69"/>
      <c r="U80" s="69"/>
      <c r="V80" s="69"/>
      <c r="W80" s="69"/>
      <c r="X80" s="69"/>
      <c r="Y80" s="69"/>
      <c r="Z80" s="69"/>
      <c r="AA80" s="69"/>
      <c r="AB80" s="69"/>
      <c r="AC80" s="69"/>
      <c r="AD80" s="69"/>
      <c r="AE80" s="69"/>
      <c r="AF80" s="69"/>
      <c r="AG80" s="69"/>
      <c r="AH80" s="69"/>
      <c r="AI80" s="69"/>
      <c r="AJ80" s="69"/>
      <c r="AK80" s="69"/>
      <c r="AL80" s="69"/>
      <c r="AM80" s="69"/>
      <c r="AN80" s="69"/>
      <c r="AO80" s="69"/>
      <c r="AP80" s="69"/>
      <c r="AQ80" s="69"/>
      <c r="AR80" s="69"/>
      <c r="AS80" s="69"/>
      <c r="AT80" s="69"/>
    </row>
  </sheetData>
  <sheetProtection insertColumns="0" insertRows="0" deleteColumns="0" deleteRows="0" autoFilter="0"/>
  <mergeCells count="591">
    <mergeCell ref="AY37:AY38"/>
    <mergeCell ref="AZ37:AZ38"/>
    <mergeCell ref="A37:A38"/>
    <mergeCell ref="B37:B38"/>
    <mergeCell ref="C37:C38"/>
    <mergeCell ref="D37:D38"/>
    <mergeCell ref="AJ37:AJ38"/>
    <mergeCell ref="AK37:AK38"/>
    <mergeCell ref="AL37:AL38"/>
    <mergeCell ref="AM37:AM38"/>
    <mergeCell ref="AN37:AN38"/>
    <mergeCell ref="AO37:AO38"/>
    <mergeCell ref="AP37:AP38"/>
    <mergeCell ref="AQ37:AQ38"/>
    <mergeCell ref="AR37:AR38"/>
    <mergeCell ref="AS37:AS38"/>
    <mergeCell ref="AT37:AT38"/>
    <mergeCell ref="AU37:AU38"/>
    <mergeCell ref="AY21:AY22"/>
    <mergeCell ref="AZ21:AZ22"/>
    <mergeCell ref="AO21:AO22"/>
    <mergeCell ref="AP21:AP22"/>
    <mergeCell ref="AQ21:AQ22"/>
    <mergeCell ref="AR21:AR22"/>
    <mergeCell ref="AS21:AS22"/>
    <mergeCell ref="AT21:AT22"/>
    <mergeCell ref="AU21:AU22"/>
    <mergeCell ref="AV21:AV22"/>
    <mergeCell ref="AX21:AX22"/>
    <mergeCell ref="AJ29:AJ30"/>
    <mergeCell ref="AK29:AK30"/>
    <mergeCell ref="AL29:AL30"/>
    <mergeCell ref="AM29:AM30"/>
    <mergeCell ref="AN29:AN30"/>
    <mergeCell ref="AY29:AY30"/>
    <mergeCell ref="AZ29:AZ30"/>
    <mergeCell ref="AO29:AO30"/>
    <mergeCell ref="AP29:AP30"/>
    <mergeCell ref="AQ29:AQ30"/>
    <mergeCell ref="AR29:AR30"/>
    <mergeCell ref="AS29:AS30"/>
    <mergeCell ref="AT29:AT30"/>
    <mergeCell ref="AU29:AU30"/>
    <mergeCell ref="AV29:AV30"/>
    <mergeCell ref="AX29:AX30"/>
    <mergeCell ref="B49:B50"/>
    <mergeCell ref="C49:C50"/>
    <mergeCell ref="D49:D50"/>
    <mergeCell ref="A29:A30"/>
    <mergeCell ref="B29:B30"/>
    <mergeCell ref="C29:C30"/>
    <mergeCell ref="D29:D30"/>
    <mergeCell ref="B39:B40"/>
    <mergeCell ref="C39:C40"/>
    <mergeCell ref="D39:D40"/>
    <mergeCell ref="B43:B44"/>
    <mergeCell ref="C43:C44"/>
    <mergeCell ref="D43:D44"/>
    <mergeCell ref="A31:A32"/>
    <mergeCell ref="A43:A44"/>
    <mergeCell ref="A47:A48"/>
    <mergeCell ref="A45:A46"/>
    <mergeCell ref="A33:A34"/>
    <mergeCell ref="A39:A40"/>
    <mergeCell ref="B35:B36"/>
    <mergeCell ref="C35:C36"/>
    <mergeCell ref="D35:D36"/>
    <mergeCell ref="B31:B32"/>
    <mergeCell ref="C31:C32"/>
    <mergeCell ref="D31:D32"/>
    <mergeCell ref="B33:B34"/>
    <mergeCell ref="C33:C34"/>
    <mergeCell ref="D33:D34"/>
    <mergeCell ref="B17:B18"/>
    <mergeCell ref="B19:B20"/>
    <mergeCell ref="A2:N2"/>
    <mergeCell ref="W2:AB2"/>
    <mergeCell ref="W3:Y3"/>
    <mergeCell ref="Z3:AB3"/>
    <mergeCell ref="W4:Y4"/>
    <mergeCell ref="Z4:AB4"/>
    <mergeCell ref="A12:A15"/>
    <mergeCell ref="B12:B15"/>
    <mergeCell ref="C12:C15"/>
    <mergeCell ref="D12:D15"/>
    <mergeCell ref="E12:AI12"/>
    <mergeCell ref="L13:L15"/>
    <mergeCell ref="M13:M15"/>
    <mergeCell ref="N13:N15"/>
    <mergeCell ref="A5:N5"/>
    <mergeCell ref="A6:N6"/>
    <mergeCell ref="W6:Y7"/>
    <mergeCell ref="Z6:AB7"/>
    <mergeCell ref="A8:B8"/>
    <mergeCell ref="C8:F8"/>
    <mergeCell ref="W8:Y8"/>
    <mergeCell ref="Z8:AB8"/>
    <mergeCell ref="E13:E15"/>
    <mergeCell ref="F13:F15"/>
    <mergeCell ref="G13:G15"/>
    <mergeCell ref="H13:H15"/>
    <mergeCell ref="I13:I15"/>
    <mergeCell ref="J13:J15"/>
    <mergeCell ref="K13:K15"/>
    <mergeCell ref="H9:S9"/>
    <mergeCell ref="D10:P10"/>
    <mergeCell ref="O13:O15"/>
    <mergeCell ref="P13:P15"/>
    <mergeCell ref="Q13:Q15"/>
    <mergeCell ref="R13:R15"/>
    <mergeCell ref="S13:S15"/>
    <mergeCell ref="T13:T15"/>
    <mergeCell ref="AJ12:AO12"/>
    <mergeCell ref="AP12:AP15"/>
    <mergeCell ref="AQ12:AQ15"/>
    <mergeCell ref="AC13:AC15"/>
    <mergeCell ref="AD13:AD15"/>
    <mergeCell ref="AE13:AE15"/>
    <mergeCell ref="AF13:AF15"/>
    <mergeCell ref="U13:U15"/>
    <mergeCell ref="V13:V15"/>
    <mergeCell ref="W13:W15"/>
    <mergeCell ref="X13:X15"/>
    <mergeCell ref="Y13:Y15"/>
    <mergeCell ref="Z13:Z15"/>
    <mergeCell ref="AZ13:AZ15"/>
    <mergeCell ref="AK14:AK15"/>
    <mergeCell ref="AL14:AO14"/>
    <mergeCell ref="E16:AI16"/>
    <mergeCell ref="AK16:AO16"/>
    <mergeCell ref="A17:A18"/>
    <mergeCell ref="AJ17:AJ18"/>
    <mergeCell ref="AS13:AS15"/>
    <mergeCell ref="AT13:AT15"/>
    <mergeCell ref="AU13:AU15"/>
    <mergeCell ref="AV13:AV15"/>
    <mergeCell ref="AX13:AX15"/>
    <mergeCell ref="AY13:AY15"/>
    <mergeCell ref="AG13:AG15"/>
    <mergeCell ref="AH13:AH15"/>
    <mergeCell ref="AI13:AI15"/>
    <mergeCell ref="AJ13:AJ15"/>
    <mergeCell ref="AK13:AO13"/>
    <mergeCell ref="AR13:AR15"/>
    <mergeCell ref="AA13:AA15"/>
    <mergeCell ref="AB13:AB15"/>
    <mergeCell ref="AX17:AX18"/>
    <mergeCell ref="AY17:AY18"/>
    <mergeCell ref="AZ17:AZ18"/>
    <mergeCell ref="AU19:AU20"/>
    <mergeCell ref="AV19:AV20"/>
    <mergeCell ref="AX19:AX20"/>
    <mergeCell ref="AY19:AY20"/>
    <mergeCell ref="AZ19:AZ20"/>
    <mergeCell ref="AO19:AO20"/>
    <mergeCell ref="AP19:AP20"/>
    <mergeCell ref="C17:C18"/>
    <mergeCell ref="D17:D18"/>
    <mergeCell ref="AV17:AV18"/>
    <mergeCell ref="AK17:AK18"/>
    <mergeCell ref="AL17:AL18"/>
    <mergeCell ref="AM17:AM18"/>
    <mergeCell ref="AN17:AN18"/>
    <mergeCell ref="AO17:AO18"/>
    <mergeCell ref="AP17:AP18"/>
    <mergeCell ref="AQ17:AQ18"/>
    <mergeCell ref="AR17:AR18"/>
    <mergeCell ref="AS17:AS18"/>
    <mergeCell ref="AT17:AT18"/>
    <mergeCell ref="AU17:AU18"/>
    <mergeCell ref="C19:C20"/>
    <mergeCell ref="D19:D20"/>
    <mergeCell ref="AQ19:AQ20"/>
    <mergeCell ref="A19:A20"/>
    <mergeCell ref="AJ19:AJ20"/>
    <mergeCell ref="AK19:AK20"/>
    <mergeCell ref="AL19:AL20"/>
    <mergeCell ref="AK25:AK26"/>
    <mergeCell ref="AL25:AL26"/>
    <mergeCell ref="AM25:AM26"/>
    <mergeCell ref="AN25:AN26"/>
    <mergeCell ref="AO25:AO26"/>
    <mergeCell ref="A23:A24"/>
    <mergeCell ref="AJ23:AJ24"/>
    <mergeCell ref="AK23:AK24"/>
    <mergeCell ref="AL23:AL24"/>
    <mergeCell ref="B23:B24"/>
    <mergeCell ref="C23:C24"/>
    <mergeCell ref="D23:D24"/>
    <mergeCell ref="A21:A22"/>
    <mergeCell ref="B21:B22"/>
    <mergeCell ref="C21:C22"/>
    <mergeCell ref="D21:D22"/>
    <mergeCell ref="AJ21:AJ22"/>
    <mergeCell ref="AK21:AK22"/>
    <mergeCell ref="AL21:AL22"/>
    <mergeCell ref="B25:B26"/>
    <mergeCell ref="AR19:AR20"/>
    <mergeCell ref="AS19:AS20"/>
    <mergeCell ref="AT19:AT20"/>
    <mergeCell ref="AP25:AP26"/>
    <mergeCell ref="AS23:AS24"/>
    <mergeCell ref="AT23:AT24"/>
    <mergeCell ref="AM21:AM22"/>
    <mergeCell ref="AN21:AN22"/>
    <mergeCell ref="AM19:AM20"/>
    <mergeCell ref="AN19:AN20"/>
    <mergeCell ref="AU23:AU24"/>
    <mergeCell ref="AM23:AM24"/>
    <mergeCell ref="AN23:AN24"/>
    <mergeCell ref="AO23:AO24"/>
    <mergeCell ref="AP23:AP24"/>
    <mergeCell ref="AY25:AY26"/>
    <mergeCell ref="AZ25:AZ26"/>
    <mergeCell ref="AV25:AV26"/>
    <mergeCell ref="AQ23:AQ24"/>
    <mergeCell ref="AR23:AR24"/>
    <mergeCell ref="AX25:AX26"/>
    <mergeCell ref="AZ23:AZ24"/>
    <mergeCell ref="AV23:AV24"/>
    <mergeCell ref="AX23:AX24"/>
    <mergeCell ref="AY23:AY24"/>
    <mergeCell ref="A25:A26"/>
    <mergeCell ref="AJ25:AJ26"/>
    <mergeCell ref="AQ25:AQ26"/>
    <mergeCell ref="AR25:AR26"/>
    <mergeCell ref="AS25:AS26"/>
    <mergeCell ref="AT25:AT26"/>
    <mergeCell ref="AU25:AU26"/>
    <mergeCell ref="C25:C26"/>
    <mergeCell ref="D25:D26"/>
    <mergeCell ref="AL31:AL32"/>
    <mergeCell ref="AM31:AM32"/>
    <mergeCell ref="AN31:AN32"/>
    <mergeCell ref="AO31:AO32"/>
    <mergeCell ref="AP31:AP32"/>
    <mergeCell ref="AW31:AW32"/>
    <mergeCell ref="AX31:AX32"/>
    <mergeCell ref="AY31:AY32"/>
    <mergeCell ref="AZ31:AZ32"/>
    <mergeCell ref="AV31:AV32"/>
    <mergeCell ref="AQ31:AQ32"/>
    <mergeCell ref="AR31:AR32"/>
    <mergeCell ref="AS31:AS32"/>
    <mergeCell ref="AT31:AT32"/>
    <mergeCell ref="AU31:AU32"/>
    <mergeCell ref="AY35:AY36"/>
    <mergeCell ref="AZ35:AZ36"/>
    <mergeCell ref="AV35:AV36"/>
    <mergeCell ref="AU33:AU34"/>
    <mergeCell ref="AV33:AV34"/>
    <mergeCell ref="AX33:AX34"/>
    <mergeCell ref="AY33:AY34"/>
    <mergeCell ref="AZ33:AZ34"/>
    <mergeCell ref="AO33:AO34"/>
    <mergeCell ref="AP33:AP34"/>
    <mergeCell ref="AQ33:AQ34"/>
    <mergeCell ref="AR33:AR34"/>
    <mergeCell ref="AS33:AS34"/>
    <mergeCell ref="AT33:AT34"/>
    <mergeCell ref="AX35:AX36"/>
    <mergeCell ref="AL33:AL34"/>
    <mergeCell ref="AM33:AM34"/>
    <mergeCell ref="AN33:AN34"/>
    <mergeCell ref="AV37:AV38"/>
    <mergeCell ref="AX37:AX38"/>
    <mergeCell ref="AQ35:AQ36"/>
    <mergeCell ref="AR35:AR36"/>
    <mergeCell ref="AS35:AS36"/>
    <mergeCell ref="AT35:AT36"/>
    <mergeCell ref="AU35:AU36"/>
    <mergeCell ref="AL35:AL36"/>
    <mergeCell ref="AM35:AM36"/>
    <mergeCell ref="AN35:AN36"/>
    <mergeCell ref="AO35:AO36"/>
    <mergeCell ref="AP35:AP36"/>
    <mergeCell ref="AW33:AW34"/>
    <mergeCell ref="AW35:AW36"/>
    <mergeCell ref="AW37:AW38"/>
    <mergeCell ref="AY39:AY40"/>
    <mergeCell ref="AZ39:AZ40"/>
    <mergeCell ref="AO39:AO40"/>
    <mergeCell ref="AP39:AP40"/>
    <mergeCell ref="AQ39:AQ40"/>
    <mergeCell ref="AR39:AR40"/>
    <mergeCell ref="AS39:AS40"/>
    <mergeCell ref="AT39:AT40"/>
    <mergeCell ref="AJ39:AJ40"/>
    <mergeCell ref="AK39:AK40"/>
    <mergeCell ref="AL39:AL40"/>
    <mergeCell ref="AM39:AM40"/>
    <mergeCell ref="AN39:AN40"/>
    <mergeCell ref="AU39:AU40"/>
    <mergeCell ref="AR43:AR44"/>
    <mergeCell ref="AL43:AL44"/>
    <mergeCell ref="AM43:AM44"/>
    <mergeCell ref="AN43:AN44"/>
    <mergeCell ref="AO43:AO44"/>
    <mergeCell ref="AP43:AP44"/>
    <mergeCell ref="AQ43:AQ44"/>
    <mergeCell ref="AV39:AV40"/>
    <mergeCell ref="AX39:AX40"/>
    <mergeCell ref="AW39:AW40"/>
    <mergeCell ref="AO41:AO42"/>
    <mergeCell ref="AP41:AP42"/>
    <mergeCell ref="AQ41:AQ42"/>
    <mergeCell ref="AR41:AR42"/>
    <mergeCell ref="AS41:AS42"/>
    <mergeCell ref="AT41:AT42"/>
    <mergeCell ref="AU41:AU42"/>
    <mergeCell ref="AV41:AV42"/>
    <mergeCell ref="AX41:AX42"/>
    <mergeCell ref="AY43:AY44"/>
    <mergeCell ref="AZ43:AZ44"/>
    <mergeCell ref="AS43:AS44"/>
    <mergeCell ref="AT43:AT44"/>
    <mergeCell ref="AU43:AU44"/>
    <mergeCell ref="AV43:AV44"/>
    <mergeCell ref="AX43:AX44"/>
    <mergeCell ref="AT45:AT46"/>
    <mergeCell ref="AU45:AU46"/>
    <mergeCell ref="AV45:AV46"/>
    <mergeCell ref="AX45:AX46"/>
    <mergeCell ref="AY45:AY46"/>
    <mergeCell ref="AZ45:AZ46"/>
    <mergeCell ref="AS45:AS46"/>
    <mergeCell ref="AW43:AW44"/>
    <mergeCell ref="AW45:AW46"/>
    <mergeCell ref="AL47:AL48"/>
    <mergeCell ref="AM47:AM48"/>
    <mergeCell ref="AT47:AT48"/>
    <mergeCell ref="AU47:AU48"/>
    <mergeCell ref="B47:B48"/>
    <mergeCell ref="AQ45:AQ46"/>
    <mergeCell ref="AR45:AR46"/>
    <mergeCell ref="B45:B46"/>
    <mergeCell ref="C45:C46"/>
    <mergeCell ref="D45:D46"/>
    <mergeCell ref="AN45:AN46"/>
    <mergeCell ref="AO45:AO46"/>
    <mergeCell ref="AP45:AP46"/>
    <mergeCell ref="AL45:AL46"/>
    <mergeCell ref="AM45:AM46"/>
    <mergeCell ref="AJ45:AJ46"/>
    <mergeCell ref="AK45:AK46"/>
    <mergeCell ref="C47:C48"/>
    <mergeCell ref="D47:D48"/>
    <mergeCell ref="AV47:AV48"/>
    <mergeCell ref="AX47:AX48"/>
    <mergeCell ref="AY47:AY48"/>
    <mergeCell ref="AZ47:AZ48"/>
    <mergeCell ref="AN47:AN48"/>
    <mergeCell ref="AO47:AO48"/>
    <mergeCell ref="AP47:AP48"/>
    <mergeCell ref="AQ47:AQ48"/>
    <mergeCell ref="AR47:AR48"/>
    <mergeCell ref="AS47:AS48"/>
    <mergeCell ref="AW47:AW48"/>
    <mergeCell ref="AM51:AM52"/>
    <mergeCell ref="AR49:AR50"/>
    <mergeCell ref="AT51:AT52"/>
    <mergeCell ref="AU51:AU52"/>
    <mergeCell ref="AJ49:AJ50"/>
    <mergeCell ref="AN51:AN52"/>
    <mergeCell ref="AO51:AO52"/>
    <mergeCell ref="AP51:AP52"/>
    <mergeCell ref="AQ51:AQ52"/>
    <mergeCell ref="AR51:AR52"/>
    <mergeCell ref="AT49:AT50"/>
    <mergeCell ref="AU49:AU50"/>
    <mergeCell ref="AL49:AL50"/>
    <mergeCell ref="AM49:AM50"/>
    <mergeCell ref="AN49:AN50"/>
    <mergeCell ref="AO49:AO50"/>
    <mergeCell ref="AP49:AP50"/>
    <mergeCell ref="AQ49:AQ50"/>
    <mergeCell ref="AS49:AS50"/>
    <mergeCell ref="AJ57:AJ58"/>
    <mergeCell ref="AK57:AK58"/>
    <mergeCell ref="AR57:AR58"/>
    <mergeCell ref="AY49:AY50"/>
    <mergeCell ref="AZ49:AZ50"/>
    <mergeCell ref="AV49:AV50"/>
    <mergeCell ref="AX49:AX50"/>
    <mergeCell ref="A53:A54"/>
    <mergeCell ref="AJ53:AJ54"/>
    <mergeCell ref="AK53:AK54"/>
    <mergeCell ref="AK49:AK50"/>
    <mergeCell ref="B51:B52"/>
    <mergeCell ref="C51:C52"/>
    <mergeCell ref="D51:D52"/>
    <mergeCell ref="D53:D54"/>
    <mergeCell ref="B53:B54"/>
    <mergeCell ref="C53:C54"/>
    <mergeCell ref="AR53:AR54"/>
    <mergeCell ref="AL53:AL54"/>
    <mergeCell ref="AM53:AM54"/>
    <mergeCell ref="A51:A52"/>
    <mergeCell ref="AJ51:AJ52"/>
    <mergeCell ref="AK51:AK52"/>
    <mergeCell ref="AL51:AL52"/>
    <mergeCell ref="AN53:AN54"/>
    <mergeCell ref="AO53:AO54"/>
    <mergeCell ref="AP53:AP54"/>
    <mergeCell ref="AQ53:AQ54"/>
    <mergeCell ref="AT55:AT56"/>
    <mergeCell ref="AU55:AU56"/>
    <mergeCell ref="A55:A56"/>
    <mergeCell ref="AJ55:AJ56"/>
    <mergeCell ref="AK55:AK56"/>
    <mergeCell ref="AN55:AN56"/>
    <mergeCell ref="AO55:AO56"/>
    <mergeCell ref="C55:C56"/>
    <mergeCell ref="AS53:AS54"/>
    <mergeCell ref="AT53:AT54"/>
    <mergeCell ref="AU53:AU54"/>
    <mergeCell ref="AP55:AP56"/>
    <mergeCell ref="AR55:AR56"/>
    <mergeCell ref="AS55:AS56"/>
    <mergeCell ref="AQ55:AQ56"/>
    <mergeCell ref="AN57:AN58"/>
    <mergeCell ref="AO57:AO58"/>
    <mergeCell ref="AL57:AL58"/>
    <mergeCell ref="AM57:AM58"/>
    <mergeCell ref="AL55:AL56"/>
    <mergeCell ref="AM55:AM56"/>
    <mergeCell ref="AN59:AN60"/>
    <mergeCell ref="AS57:AS58"/>
    <mergeCell ref="AX63:AX64"/>
    <mergeCell ref="AT57:AT58"/>
    <mergeCell ref="AQ61:AQ62"/>
    <mergeCell ref="AR61:AR62"/>
    <mergeCell ref="AS61:AS62"/>
    <mergeCell ref="AT61:AT62"/>
    <mergeCell ref="AU61:AU62"/>
    <mergeCell ref="AN61:AN62"/>
    <mergeCell ref="AO61:AO62"/>
    <mergeCell ref="AP61:AP62"/>
    <mergeCell ref="AY63:AY64"/>
    <mergeCell ref="AZ63:AZ64"/>
    <mergeCell ref="AN63:AN64"/>
    <mergeCell ref="AO63:AO64"/>
    <mergeCell ref="AP63:AP64"/>
    <mergeCell ref="AQ63:AQ64"/>
    <mergeCell ref="AR63:AR64"/>
    <mergeCell ref="AS63:AS64"/>
    <mergeCell ref="AV63:AV64"/>
    <mergeCell ref="AW63:AW64"/>
    <mergeCell ref="A63:A64"/>
    <mergeCell ref="B63:B64"/>
    <mergeCell ref="C63:C64"/>
    <mergeCell ref="D63:D64"/>
    <mergeCell ref="AJ63:AJ64"/>
    <mergeCell ref="AK63:AK64"/>
    <mergeCell ref="AL63:AL64"/>
    <mergeCell ref="AM63:AM64"/>
    <mergeCell ref="AU63:AU64"/>
    <mergeCell ref="AT63:AT64"/>
    <mergeCell ref="E80:Q80"/>
    <mergeCell ref="K68:M68"/>
    <mergeCell ref="O68:S68"/>
    <mergeCell ref="U68:Y68"/>
    <mergeCell ref="D69:I69"/>
    <mergeCell ref="K69:M69"/>
    <mergeCell ref="O69:S69"/>
    <mergeCell ref="D68:I68"/>
    <mergeCell ref="A66:C66"/>
    <mergeCell ref="D66:I66"/>
    <mergeCell ref="K66:M66"/>
    <mergeCell ref="O66:S66"/>
    <mergeCell ref="U66:Y66"/>
    <mergeCell ref="D67:I67"/>
    <mergeCell ref="K67:M67"/>
    <mergeCell ref="O67:S67"/>
    <mergeCell ref="E79:Q79"/>
    <mergeCell ref="AZ51:AZ52"/>
    <mergeCell ref="AS51:AS52"/>
    <mergeCell ref="AO59:AO60"/>
    <mergeCell ref="AP59:AP60"/>
    <mergeCell ref="AQ59:AQ60"/>
    <mergeCell ref="AR59:AR60"/>
    <mergeCell ref="AS59:AS60"/>
    <mergeCell ref="AT59:AT60"/>
    <mergeCell ref="AU59:AU60"/>
    <mergeCell ref="AX59:AX60"/>
    <mergeCell ref="AV59:AV60"/>
    <mergeCell ref="AP57:AP58"/>
    <mergeCell ref="AX55:AX56"/>
    <mergeCell ref="AY55:AY56"/>
    <mergeCell ref="AZ55:AZ56"/>
    <mergeCell ref="AV51:AV52"/>
    <mergeCell ref="AX51:AX52"/>
    <mergeCell ref="AY51:AY52"/>
    <mergeCell ref="AQ57:AQ58"/>
    <mergeCell ref="AX57:AX58"/>
    <mergeCell ref="AY57:AY58"/>
    <mergeCell ref="AZ57:AZ58"/>
    <mergeCell ref="AU57:AU58"/>
    <mergeCell ref="AY53:AY54"/>
    <mergeCell ref="AZ53:AZ54"/>
    <mergeCell ref="AV53:AV54"/>
    <mergeCell ref="AX53:AX54"/>
    <mergeCell ref="AV55:AV56"/>
    <mergeCell ref="AV57:AV58"/>
    <mergeCell ref="AY59:AY60"/>
    <mergeCell ref="AZ59:AZ60"/>
    <mergeCell ref="AV61:AV62"/>
    <mergeCell ref="AX61:AX62"/>
    <mergeCell ref="AY61:AY62"/>
    <mergeCell ref="AZ61:AZ62"/>
    <mergeCell ref="AW61:AW62"/>
    <mergeCell ref="A59:A60"/>
    <mergeCell ref="B59:B60"/>
    <mergeCell ref="C59:C60"/>
    <mergeCell ref="D59:D60"/>
    <mergeCell ref="AJ59:AJ60"/>
    <mergeCell ref="AK59:AK60"/>
    <mergeCell ref="AL59:AL60"/>
    <mergeCell ref="AM59:AM60"/>
    <mergeCell ref="A61:A62"/>
    <mergeCell ref="B61:B62"/>
    <mergeCell ref="C61:C62"/>
    <mergeCell ref="D61:D62"/>
    <mergeCell ref="AJ61:AJ62"/>
    <mergeCell ref="AK61:AK62"/>
    <mergeCell ref="AL61:AL62"/>
    <mergeCell ref="AM61:AM62"/>
    <mergeCell ref="A27:A28"/>
    <mergeCell ref="B27:B28"/>
    <mergeCell ref="C27:C28"/>
    <mergeCell ref="D27:D28"/>
    <mergeCell ref="AJ27:AJ28"/>
    <mergeCell ref="AK27:AK28"/>
    <mergeCell ref="D55:D56"/>
    <mergeCell ref="B57:B58"/>
    <mergeCell ref="C57:C58"/>
    <mergeCell ref="D57:D58"/>
    <mergeCell ref="B55:B56"/>
    <mergeCell ref="A49:A50"/>
    <mergeCell ref="AJ47:AJ48"/>
    <mergeCell ref="AK47:AK48"/>
    <mergeCell ref="AJ43:AJ44"/>
    <mergeCell ref="AK43:AK44"/>
    <mergeCell ref="A35:A36"/>
    <mergeCell ref="AJ35:AJ36"/>
    <mergeCell ref="AJ33:AJ34"/>
    <mergeCell ref="AK33:AK34"/>
    <mergeCell ref="AK35:AK36"/>
    <mergeCell ref="AJ31:AJ32"/>
    <mergeCell ref="AK31:AK32"/>
    <mergeCell ref="A57:A58"/>
    <mergeCell ref="AL27:AL28"/>
    <mergeCell ref="AM27:AM28"/>
    <mergeCell ref="AN27:AN28"/>
    <mergeCell ref="AY27:AY28"/>
    <mergeCell ref="AZ27:AZ28"/>
    <mergeCell ref="AO27:AO28"/>
    <mergeCell ref="AP27:AP28"/>
    <mergeCell ref="AQ27:AQ28"/>
    <mergeCell ref="AR27:AR28"/>
    <mergeCell ref="AS27:AS28"/>
    <mergeCell ref="AT27:AT28"/>
    <mergeCell ref="AU27:AU28"/>
    <mergeCell ref="AV27:AV28"/>
    <mergeCell ref="AX27:AX28"/>
    <mergeCell ref="AW49:AW50"/>
    <mergeCell ref="AW51:AW52"/>
    <mergeCell ref="AW53:AW54"/>
    <mergeCell ref="AW55:AW56"/>
    <mergeCell ref="AW57:AW58"/>
    <mergeCell ref="AW59:AW60"/>
    <mergeCell ref="AW13:AW15"/>
    <mergeCell ref="AW17:AW18"/>
    <mergeCell ref="AW19:AW20"/>
    <mergeCell ref="AW21:AW22"/>
    <mergeCell ref="AW23:AW24"/>
    <mergeCell ref="AW25:AW26"/>
    <mergeCell ref="AW27:AW28"/>
    <mergeCell ref="AW29:AW30"/>
    <mergeCell ref="AW41:AW42"/>
    <mergeCell ref="AY41:AY42"/>
    <mergeCell ref="AZ41:AZ42"/>
    <mergeCell ref="A41:A42"/>
    <mergeCell ref="B41:B42"/>
    <mergeCell ref="C41:C42"/>
    <mergeCell ref="D41:D42"/>
    <mergeCell ref="AJ41:AJ42"/>
    <mergeCell ref="AK41:AK42"/>
    <mergeCell ref="AL41:AL42"/>
    <mergeCell ref="AM41:AM42"/>
    <mergeCell ref="AN41:AN42"/>
  </mergeCells>
  <conditionalFormatting sqref="E17">
    <cfRule type="expression" dxfId="148" priority="73" stopIfTrue="1">
      <formula>(E17="Р")</formula>
    </cfRule>
    <cfRule type="expression" dxfId="147" priority="74" stopIfTrue="1">
      <formula>(E17="ВЧ")</formula>
    </cfRule>
    <cfRule type="expression" dxfId="146" priority="75" stopIfTrue="1">
      <formula>(E17="ВЧ1")</formula>
    </cfRule>
    <cfRule type="expression" dxfId="145" priority="76" stopIfTrue="1">
      <formula>(E17="ВЧ2")</formula>
    </cfRule>
    <cfRule type="expression" dxfId="144" priority="77" stopIfTrue="1">
      <formula>(E17="РН")</formula>
    </cfRule>
    <cfRule type="expression" dxfId="143" priority="78" stopIfTrue="1">
      <formula>(E17="НУ")</formula>
    </cfRule>
    <cfRule type="expression" dxfId="142" priority="79" stopIfTrue="1">
      <formula>(E17="Р1")</formula>
    </cfRule>
    <cfRule type="expression" dxfId="141" priority="80" stopIfTrue="1">
      <formula>(E17="Р2")</formula>
    </cfRule>
    <cfRule type="expression" dxfId="140" priority="81" stopIfTrue="1">
      <formula>(E17="Р1/РВ")</formula>
    </cfRule>
    <cfRule type="expression" dxfId="139" priority="82" stopIfTrue="1">
      <formula>(E17="Р2/РВ")</formula>
    </cfRule>
    <cfRule type="expression" dxfId="138" priority="83" stopIfTrue="1">
      <formula>(E17="ВЧ/РВ")</formula>
    </cfRule>
    <cfRule type="expression" priority="84" stopIfTrue="1">
      <formula>(E17="РН/РВ")</formula>
    </cfRule>
  </conditionalFormatting>
  <conditionalFormatting sqref="F17:AI17">
    <cfRule type="expression" dxfId="137" priority="61" stopIfTrue="1">
      <formula>(F17="Р")</formula>
    </cfRule>
    <cfRule type="expression" dxfId="136" priority="62" stopIfTrue="1">
      <formula>(F17="ВЧ")</formula>
    </cfRule>
    <cfRule type="expression" dxfId="135" priority="63" stopIfTrue="1">
      <formula>(F17="ВЧ1")</formula>
    </cfRule>
    <cfRule type="expression" dxfId="134" priority="64" stopIfTrue="1">
      <formula>(F17="ВЧ2")</formula>
    </cfRule>
    <cfRule type="expression" dxfId="133" priority="65" stopIfTrue="1">
      <formula>(F17="РН")</formula>
    </cfRule>
    <cfRule type="expression" dxfId="132" priority="66" stopIfTrue="1">
      <formula>(F17="НУ")</formula>
    </cfRule>
    <cfRule type="expression" dxfId="131" priority="67" stopIfTrue="1">
      <formula>(F17="Р1")</formula>
    </cfRule>
    <cfRule type="expression" dxfId="130" priority="68" stopIfTrue="1">
      <formula>(F17="Р2")</formula>
    </cfRule>
    <cfRule type="expression" dxfId="129" priority="69" stopIfTrue="1">
      <formula>(F17="Р1/РВ")</formula>
    </cfRule>
    <cfRule type="expression" dxfId="128" priority="70" stopIfTrue="1">
      <formula>(F17="Р2/РВ")</formula>
    </cfRule>
    <cfRule type="expression" dxfId="127" priority="71" stopIfTrue="1">
      <formula>(F17="ВЧ/РВ")</formula>
    </cfRule>
    <cfRule type="expression" priority="72" stopIfTrue="1">
      <formula>(F17="РН/РВ")</formula>
    </cfRule>
  </conditionalFormatting>
  <conditionalFormatting sqref="E18">
    <cfRule type="expression" dxfId="126" priority="85" stopIfTrue="1">
      <formula>(E17="ВД")</formula>
    </cfRule>
    <cfRule type="expression" dxfId="125" priority="86" stopIfTrue="1">
      <formula>(E17="В")</formula>
    </cfRule>
    <cfRule type="expression" dxfId="124" priority="87" stopIfTrue="1">
      <formula>(E17="ВП")</formula>
    </cfRule>
    <cfRule type="expression" dxfId="123" priority="88" stopIfTrue="1">
      <formula>(E17="ДД")</formula>
    </cfRule>
    <cfRule type="expression" dxfId="122" priority="89" stopIfTrue="1">
      <formula>(E17="НА")</formula>
    </cfRule>
    <cfRule type="expression" dxfId="121" priority="90" stopIfTrue="1">
      <formula>(E17="Ч")</formula>
    </cfRule>
    <cfRule type="expression" dxfId="120" priority="91" stopIfTrue="1">
      <formula>(E17="Н")</formula>
    </cfRule>
    <cfRule type="expression" dxfId="119" priority="92" stopIfTrue="1">
      <formula>(E17="ТН")</formula>
    </cfRule>
    <cfRule type="expression" dxfId="118" priority="93" stopIfTrue="1">
      <formula>(E17="ДО")</formula>
    </cfRule>
    <cfRule type="expression" dxfId="117" priority="94" stopIfTrue="1">
      <formula>(E17="ІН")</formula>
    </cfRule>
    <cfRule type="expression" dxfId="116" priority="95" stopIfTrue="1">
      <formula>(E17="РВ")</formula>
    </cfRule>
    <cfRule type="expression" dxfId="115" priority="96" stopIfTrue="1">
      <formula>(E17="ВБ")</formula>
    </cfRule>
  </conditionalFormatting>
  <conditionalFormatting sqref="F18:AI18">
    <cfRule type="expression" dxfId="114" priority="49" stopIfTrue="1">
      <formula>(F17="ВД")</formula>
    </cfRule>
    <cfRule type="expression" dxfId="113" priority="50" stopIfTrue="1">
      <formula>(F17="В")</formula>
    </cfRule>
    <cfRule type="expression" dxfId="112" priority="51" stopIfTrue="1">
      <formula>(F17="ВП")</formula>
    </cfRule>
    <cfRule type="expression" dxfId="111" priority="52" stopIfTrue="1">
      <formula>(F17="ДД")</formula>
    </cfRule>
    <cfRule type="expression" dxfId="110" priority="53" stopIfTrue="1">
      <formula>(F17="НА")</formula>
    </cfRule>
    <cfRule type="expression" dxfId="109" priority="54" stopIfTrue="1">
      <formula>(F17="Ч")</formula>
    </cfRule>
    <cfRule type="expression" dxfId="108" priority="55" stopIfTrue="1">
      <formula>(F17="Н")</formula>
    </cfRule>
    <cfRule type="expression" dxfId="107" priority="56" stopIfTrue="1">
      <formula>(F17="ТН")</formula>
    </cfRule>
    <cfRule type="expression" dxfId="106" priority="57" stopIfTrue="1">
      <formula>(F17="ДО")</formula>
    </cfRule>
    <cfRule type="expression" dxfId="105" priority="58" stopIfTrue="1">
      <formula>(F17="ІН")</formula>
    </cfRule>
    <cfRule type="expression" dxfId="104" priority="59" stopIfTrue="1">
      <formula>(F17="РВ")</formula>
    </cfRule>
    <cfRule type="expression" dxfId="103" priority="60" stopIfTrue="1">
      <formula>(F17="ВБ")</formula>
    </cfRule>
  </conditionalFormatting>
  <conditionalFormatting sqref="E19 E21 E23 E25 E27 E29 E31 E33 E35 E37 E39 E41 E43 E45 E47 E49 E51 E53 E55 E57 E59 E61">
    <cfRule type="expression" dxfId="102" priority="25" stopIfTrue="1">
      <formula>(E19="Р")</formula>
    </cfRule>
    <cfRule type="expression" dxfId="101" priority="26" stopIfTrue="1">
      <formula>(E19="ВЧ")</formula>
    </cfRule>
    <cfRule type="expression" dxfId="100" priority="27" stopIfTrue="1">
      <formula>(E19="ВЧ1")</formula>
    </cfRule>
    <cfRule type="expression" dxfId="99" priority="28" stopIfTrue="1">
      <formula>(E19="ВЧ2")</formula>
    </cfRule>
    <cfRule type="expression" dxfId="98" priority="29" stopIfTrue="1">
      <formula>(E19="РН")</formula>
    </cfRule>
    <cfRule type="expression" dxfId="97" priority="30" stopIfTrue="1">
      <formula>(E19="НУ")</formula>
    </cfRule>
    <cfRule type="expression" dxfId="96" priority="31" stopIfTrue="1">
      <formula>(E19="Р1")</formula>
    </cfRule>
    <cfRule type="expression" dxfId="95" priority="32" stopIfTrue="1">
      <formula>(E19="Р2")</formula>
    </cfRule>
    <cfRule type="expression" dxfId="94" priority="33" stopIfTrue="1">
      <formula>(E19="Р1/РВ")</formula>
    </cfRule>
    <cfRule type="expression" dxfId="93" priority="34" stopIfTrue="1">
      <formula>(E19="Р2/РВ")</formula>
    </cfRule>
    <cfRule type="expression" dxfId="92" priority="35" stopIfTrue="1">
      <formula>(E19="ВЧ/РВ")</formula>
    </cfRule>
    <cfRule type="expression" priority="36" stopIfTrue="1">
      <formula>(E19="РН/РВ")</formula>
    </cfRule>
  </conditionalFormatting>
  <conditionalFormatting sqref="F19:AI19 F21:AI21 F23:AI23 F25:AI25 F27:AI27 F29:AI29 F31:AI31 F33:AI33 F35:AI35 F37:AI37 F39:AI39 F41:AI41 F43:AI43 F45:AI45 F47:AI47 F49:AI49 F51:AI51 F53:AI53 F55:AI55 F57:AI57 F59:AI59 F61:AI61">
    <cfRule type="expression" dxfId="80" priority="13" stopIfTrue="1">
      <formula>(F19="Р")</formula>
    </cfRule>
    <cfRule type="expression" dxfId="79" priority="14" stopIfTrue="1">
      <formula>(F19="ВЧ")</formula>
    </cfRule>
    <cfRule type="expression" dxfId="78" priority="15" stopIfTrue="1">
      <formula>(F19="ВЧ1")</formula>
    </cfRule>
    <cfRule type="expression" dxfId="77" priority="16" stopIfTrue="1">
      <formula>(F19="ВЧ2")</formula>
    </cfRule>
    <cfRule type="expression" dxfId="76" priority="17" stopIfTrue="1">
      <formula>(F19="РН")</formula>
    </cfRule>
    <cfRule type="expression" dxfId="75" priority="18" stopIfTrue="1">
      <formula>(F19="НУ")</formula>
    </cfRule>
    <cfRule type="expression" dxfId="74" priority="19" stopIfTrue="1">
      <formula>(F19="Р1")</formula>
    </cfRule>
    <cfRule type="expression" dxfId="73" priority="20" stopIfTrue="1">
      <formula>(F19="Р2")</formula>
    </cfRule>
    <cfRule type="expression" dxfId="72" priority="21" stopIfTrue="1">
      <formula>(F19="Р1/РВ")</formula>
    </cfRule>
    <cfRule type="expression" dxfId="71" priority="22" stopIfTrue="1">
      <formula>(F19="Р2/РВ")</formula>
    </cfRule>
    <cfRule type="expression" dxfId="70" priority="23" stopIfTrue="1">
      <formula>(F19="ВЧ/РВ")</formula>
    </cfRule>
    <cfRule type="expression" priority="24" stopIfTrue="1">
      <formula>(F19="РН/РВ")</formula>
    </cfRule>
  </conditionalFormatting>
  <conditionalFormatting sqref="E20 E22 E24 E26 E28 E30 E32 E34 E36 E38 E40 E42 E44 E46 E48 E50 E52 E54 E56 E58 E60 E62">
    <cfRule type="expression" dxfId="58" priority="37" stopIfTrue="1">
      <formula>(E19="ВД")</formula>
    </cfRule>
    <cfRule type="expression" dxfId="57" priority="38" stopIfTrue="1">
      <formula>(E19="В")</formula>
    </cfRule>
    <cfRule type="expression" dxfId="56" priority="39" stopIfTrue="1">
      <formula>(E19="ВП")</formula>
    </cfRule>
    <cfRule type="expression" dxfId="55" priority="40" stopIfTrue="1">
      <formula>(E19="ДД")</formula>
    </cfRule>
    <cfRule type="expression" dxfId="54" priority="41" stopIfTrue="1">
      <formula>(E19="НА")</formula>
    </cfRule>
    <cfRule type="expression" dxfId="53" priority="42" stopIfTrue="1">
      <formula>(E19="Ч")</formula>
    </cfRule>
    <cfRule type="expression" dxfId="52" priority="43" stopIfTrue="1">
      <formula>(E19="Н")</formula>
    </cfRule>
    <cfRule type="expression" dxfId="51" priority="44" stopIfTrue="1">
      <formula>(E19="ТН")</formula>
    </cfRule>
    <cfRule type="expression" dxfId="50" priority="45" stopIfTrue="1">
      <formula>(E19="ДО")</formula>
    </cfRule>
    <cfRule type="expression" dxfId="49" priority="46" stopIfTrue="1">
      <formula>(E19="ІН")</formula>
    </cfRule>
    <cfRule type="expression" dxfId="48" priority="47" stopIfTrue="1">
      <formula>(E19="РВ")</formula>
    </cfRule>
    <cfRule type="expression" dxfId="47" priority="48" stopIfTrue="1">
      <formula>(E19="ВБ")</formula>
    </cfRule>
  </conditionalFormatting>
  <conditionalFormatting sqref="F20:AI20 F22:AI22 F24:AI24 F26:AI26 F28:AI28 F30:AI30 F32:AI32 F34:AI34 F36:AI36 F38:AI38 F40:AI40 F42:AI42 F44:AI44 F46:AI46 F48:AI48 F50:AI50 F52:AI52 F54:AI54 F56:AI56 F58:AI58 F60:AI60 F62:AI62">
    <cfRule type="expression" dxfId="34" priority="1" stopIfTrue="1">
      <formula>(F19="ВД")</formula>
    </cfRule>
    <cfRule type="expression" dxfId="33" priority="2" stopIfTrue="1">
      <formula>(F19="В")</formula>
    </cfRule>
    <cfRule type="expression" dxfId="32" priority="3" stopIfTrue="1">
      <formula>(F19="ВП")</formula>
    </cfRule>
    <cfRule type="expression" dxfId="31" priority="4" stopIfTrue="1">
      <formula>(F19="ДД")</formula>
    </cfRule>
    <cfRule type="expression" dxfId="30" priority="5" stopIfTrue="1">
      <formula>(F19="НА")</formula>
    </cfRule>
    <cfRule type="expression" dxfId="29" priority="6" stopIfTrue="1">
      <formula>(F19="Ч")</formula>
    </cfRule>
    <cfRule type="expression" dxfId="28" priority="7" stopIfTrue="1">
      <formula>(F19="Н")</formula>
    </cfRule>
    <cfRule type="expression" dxfId="27" priority="8" stopIfTrue="1">
      <formula>(F19="ТН")</formula>
    </cfRule>
    <cfRule type="expression" dxfId="26" priority="9" stopIfTrue="1">
      <formula>(F19="ДО")</formula>
    </cfRule>
    <cfRule type="expression" dxfId="25" priority="10" stopIfTrue="1">
      <formula>(F19="ІН")</formula>
    </cfRule>
    <cfRule type="expression" dxfId="24" priority="11" stopIfTrue="1">
      <formula>(F19="РВ")</formula>
    </cfRule>
    <cfRule type="expression" dxfId="23" priority="12" stopIfTrue="1">
      <formula>(F19="ВБ")</formula>
    </cfRule>
  </conditionalFormatting>
  <printOptions horizontalCentered="1"/>
  <pageMargins left="0.39370078740157483" right="0.39370078740157483" top="0.39370078740157483" bottom="0.39370078740157483" header="0" footer="0"/>
  <pageSetup paperSize="8" scale="82"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8916" r:id="rId4" name="Button 4">
              <controlPr defaultSize="0" print="0" autoFill="0" autoPict="0" macro="[0]!Макрос1">
                <anchor moveWithCells="1" sizeWithCells="1">
                  <from>
                    <xdr:col>1</xdr:col>
                    <xdr:colOff>904875</xdr:colOff>
                    <xdr:row>0</xdr:row>
                    <xdr:rowOff>47625</xdr:rowOff>
                  </from>
                  <to>
                    <xdr:col>1</xdr:col>
                    <xdr:colOff>1181100</xdr:colOff>
                    <xdr:row>0</xdr:row>
                    <xdr:rowOff>104775</xdr:rowOff>
                  </to>
                </anchor>
              </controlPr>
            </control>
          </mc:Choice>
        </mc:AlternateContent>
        <mc:AlternateContent xmlns:mc="http://schemas.openxmlformats.org/markup-compatibility/2006">
          <mc:Choice Requires="x14">
            <control shapeId="38917" r:id="rId5" name="Button 5">
              <controlPr defaultSize="0" print="0" autoFill="0" autoPict="0" macro="[0]!Макрос2">
                <anchor moveWithCells="1" sizeWithCells="1">
                  <from>
                    <xdr:col>1</xdr:col>
                    <xdr:colOff>904875</xdr:colOff>
                    <xdr:row>0</xdr:row>
                    <xdr:rowOff>123825</xdr:rowOff>
                  </from>
                  <to>
                    <xdr:col>1</xdr:col>
                    <xdr:colOff>1181100</xdr:colOff>
                    <xdr:row>1</xdr:row>
                    <xdr:rowOff>19050</xdr:rowOff>
                  </to>
                </anchor>
              </controlPr>
            </control>
          </mc:Choice>
        </mc:AlternateContent>
        <mc:AlternateContent xmlns:mc="http://schemas.openxmlformats.org/markup-compatibility/2006">
          <mc:Choice Requires="x14">
            <control shapeId="38918" r:id="rId6" name="Button 6">
              <controlPr defaultSize="0" print="0" autoFill="0" autoPict="0" macro="[0]!Макрос3">
                <anchor moveWithCells="1" sizeWithCells="1">
                  <from>
                    <xdr:col>1</xdr:col>
                    <xdr:colOff>838200</xdr:colOff>
                    <xdr:row>1</xdr:row>
                    <xdr:rowOff>47625</xdr:rowOff>
                  </from>
                  <to>
                    <xdr:col>1</xdr:col>
                    <xdr:colOff>1190625</xdr:colOff>
                    <xdr:row>1</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rgb="FF92D050"/>
  </sheetPr>
  <dimension ref="A1:R21"/>
  <sheetViews>
    <sheetView topLeftCell="A10" zoomScale="110" zoomScaleNormal="110" workbookViewId="0">
      <selection activeCell="O20" sqref="O20"/>
    </sheetView>
  </sheetViews>
  <sheetFormatPr defaultRowHeight="12.75" x14ac:dyDescent="0.2"/>
  <cols>
    <col min="1" max="1" width="20.5703125" customWidth="1"/>
    <col min="4" max="4" width="5.85546875" customWidth="1"/>
    <col min="5" max="5" width="6.85546875" customWidth="1"/>
    <col min="6" max="6" width="7.42578125" customWidth="1"/>
    <col min="7" max="7" width="5.7109375" customWidth="1"/>
    <col min="8" max="8" width="6.42578125" customWidth="1"/>
    <col min="9" max="9" width="6.5703125" customWidth="1"/>
    <col min="10" max="10" width="7" customWidth="1"/>
    <col min="11" max="11" width="5.7109375" customWidth="1"/>
    <col min="12" max="12" width="6.85546875" customWidth="1"/>
    <col min="13" max="13" width="6.7109375" customWidth="1"/>
    <col min="14" max="15" width="7" customWidth="1"/>
    <col min="17" max="17" width="7.42578125" customWidth="1"/>
    <col min="18" max="18" width="7" customWidth="1"/>
  </cols>
  <sheetData>
    <row r="1" spans="1:18" ht="21" customHeight="1" x14ac:dyDescent="0.2">
      <c r="A1" s="361" t="s">
        <v>155</v>
      </c>
      <c r="B1" s="369" t="s">
        <v>17</v>
      </c>
      <c r="C1" s="370"/>
      <c r="D1" s="370"/>
      <c r="E1" s="370"/>
      <c r="F1" s="370"/>
      <c r="G1" s="365"/>
      <c r="H1" s="371" t="s">
        <v>25</v>
      </c>
      <c r="I1" s="373" t="s">
        <v>26</v>
      </c>
      <c r="J1" s="365" t="s">
        <v>28</v>
      </c>
      <c r="K1" s="366"/>
      <c r="L1" s="366"/>
      <c r="M1" s="366"/>
      <c r="N1" s="366"/>
      <c r="O1" s="366"/>
      <c r="P1" s="366"/>
      <c r="Q1" s="366"/>
      <c r="R1" s="367"/>
    </row>
    <row r="2" spans="1:18" x14ac:dyDescent="0.2">
      <c r="A2" s="362"/>
      <c r="B2" s="374" t="s">
        <v>18</v>
      </c>
      <c r="C2" s="378" t="s">
        <v>19</v>
      </c>
      <c r="D2" s="378"/>
      <c r="E2" s="378"/>
      <c r="F2" s="378"/>
      <c r="G2" s="379"/>
      <c r="H2" s="372"/>
      <c r="I2" s="374"/>
      <c r="J2" s="368" t="s">
        <v>55</v>
      </c>
      <c r="K2" s="368" t="s">
        <v>59</v>
      </c>
      <c r="L2" s="368" t="s">
        <v>56</v>
      </c>
      <c r="M2" s="368" t="s">
        <v>38</v>
      </c>
      <c r="N2" s="368" t="s">
        <v>30</v>
      </c>
      <c r="O2" s="375" t="s">
        <v>64</v>
      </c>
      <c r="P2" s="368" t="s">
        <v>57</v>
      </c>
      <c r="Q2" s="368" t="s">
        <v>29</v>
      </c>
      <c r="R2" s="380" t="s">
        <v>60</v>
      </c>
    </row>
    <row r="3" spans="1:18" x14ac:dyDescent="0.2">
      <c r="A3" s="362"/>
      <c r="B3" s="374"/>
      <c r="C3" s="368" t="s">
        <v>20</v>
      </c>
      <c r="D3" s="378" t="s">
        <v>21</v>
      </c>
      <c r="E3" s="378"/>
      <c r="F3" s="378"/>
      <c r="G3" s="379"/>
      <c r="H3" s="372"/>
      <c r="I3" s="374"/>
      <c r="J3" s="368"/>
      <c r="K3" s="368"/>
      <c r="L3" s="368"/>
      <c r="M3" s="368"/>
      <c r="N3" s="368"/>
      <c r="O3" s="376"/>
      <c r="P3" s="368"/>
      <c r="Q3" s="368"/>
      <c r="R3" s="380"/>
    </row>
    <row r="4" spans="1:18" ht="78" customHeight="1" x14ac:dyDescent="0.2">
      <c r="A4" s="362"/>
      <c r="B4" s="374"/>
      <c r="C4" s="368"/>
      <c r="D4" s="79" t="s">
        <v>22</v>
      </c>
      <c r="E4" s="79" t="s">
        <v>23</v>
      </c>
      <c r="F4" s="79" t="s">
        <v>24</v>
      </c>
      <c r="G4" s="95" t="s">
        <v>141</v>
      </c>
      <c r="H4" s="372"/>
      <c r="I4" s="374"/>
      <c r="J4" s="368"/>
      <c r="K4" s="368"/>
      <c r="L4" s="368"/>
      <c r="M4" s="368"/>
      <c r="N4" s="368"/>
      <c r="O4" s="377"/>
      <c r="P4" s="368"/>
      <c r="Q4" s="368"/>
      <c r="R4" s="380"/>
    </row>
    <row r="5" spans="1:18" ht="13.5" thickBot="1" x14ac:dyDescent="0.25">
      <c r="A5" s="362"/>
      <c r="B5" s="83">
        <v>6</v>
      </c>
      <c r="C5" s="359">
        <v>7</v>
      </c>
      <c r="D5" s="359"/>
      <c r="E5" s="359"/>
      <c r="F5" s="359"/>
      <c r="G5" s="360"/>
      <c r="H5" s="96">
        <v>8</v>
      </c>
      <c r="I5" s="363">
        <v>9</v>
      </c>
      <c r="J5" s="363"/>
      <c r="K5" s="363"/>
      <c r="L5" s="363"/>
      <c r="M5" s="363"/>
      <c r="N5" s="363"/>
      <c r="O5" s="363"/>
      <c r="P5" s="363"/>
      <c r="Q5" s="363"/>
      <c r="R5" s="364"/>
    </row>
    <row r="6" spans="1:18" ht="20.100000000000001" customHeight="1" x14ac:dyDescent="0.2">
      <c r="A6" s="89" t="s">
        <v>71</v>
      </c>
      <c r="B6" s="84">
        <f>АГД!AJ29</f>
        <v>77</v>
      </c>
      <c r="C6" s="81">
        <f>АГД!AK29</f>
        <v>616.6</v>
      </c>
      <c r="D6" s="81">
        <f>АГД!AL29</f>
        <v>0</v>
      </c>
      <c r="E6" s="81">
        <f>АГД!AM29</f>
        <v>0</v>
      </c>
      <c r="F6" s="81">
        <f>АГД!AN29</f>
        <v>0</v>
      </c>
      <c r="G6" s="81">
        <f>АГД!AO29</f>
        <v>0</v>
      </c>
      <c r="H6" s="81">
        <f>АГД!AP29</f>
        <v>38</v>
      </c>
      <c r="I6" s="81">
        <f>АГД!AQ29</f>
        <v>191.60000000000002</v>
      </c>
      <c r="J6" s="81">
        <f>АГД!AR29</f>
        <v>0</v>
      </c>
      <c r="K6" s="81">
        <f>АГД!AS29</f>
        <v>0</v>
      </c>
      <c r="L6" s="81">
        <f>АГД!AT29</f>
        <v>0</v>
      </c>
      <c r="M6" s="81">
        <f>АГД!AU29</f>
        <v>0</v>
      </c>
      <c r="N6" s="81">
        <f>АГД!AV29</f>
        <v>0</v>
      </c>
      <c r="O6" s="81">
        <f>АГД!AW29</f>
        <v>0</v>
      </c>
      <c r="P6" s="81">
        <f>АГД!AX29</f>
        <v>191.60000000000002</v>
      </c>
      <c r="Q6" s="81">
        <f>АГД!AY29</f>
        <v>0</v>
      </c>
      <c r="R6" s="82">
        <f>АГД!AZ29</f>
        <v>0</v>
      </c>
    </row>
    <row r="7" spans="1:18" ht="20.100000000000001" customHeight="1" x14ac:dyDescent="0.2">
      <c r="A7" s="89" t="s">
        <v>79</v>
      </c>
      <c r="B7" s="85">
        <f>АДС!AJ39</f>
        <v>193</v>
      </c>
      <c r="C7" s="35">
        <f>АДС!AK39</f>
        <v>1632.4</v>
      </c>
      <c r="D7" s="35">
        <f>АДС!AL39</f>
        <v>0</v>
      </c>
      <c r="E7" s="35">
        <f>АДС!AM39</f>
        <v>496</v>
      </c>
      <c r="F7" s="35">
        <f>АДС!AN39</f>
        <v>248</v>
      </c>
      <c r="G7" s="35">
        <f>АДС!AO39</f>
        <v>0</v>
      </c>
      <c r="H7" s="35">
        <f>АДС!AP39</f>
        <v>92</v>
      </c>
      <c r="I7" s="35">
        <f>АДС!AQ39</f>
        <v>215.6</v>
      </c>
      <c r="J7" s="35">
        <f>АДС!AR39</f>
        <v>0</v>
      </c>
      <c r="K7" s="35">
        <f>АДС!AS39</f>
        <v>0</v>
      </c>
      <c r="L7" s="35">
        <f>АДС!AT39</f>
        <v>0</v>
      </c>
      <c r="M7" s="35">
        <f>АДС!AU39</f>
        <v>0</v>
      </c>
      <c r="N7" s="35">
        <f>АДС!AV39</f>
        <v>0</v>
      </c>
      <c r="O7" s="35">
        <f>АДС!AW39</f>
        <v>0</v>
      </c>
      <c r="P7" s="35">
        <f>АДС!AX39</f>
        <v>47.599999999999994</v>
      </c>
      <c r="Q7" s="35">
        <f>АДС!AY39</f>
        <v>0</v>
      </c>
      <c r="R7" s="80">
        <f>АДС!AZ39</f>
        <v>168</v>
      </c>
    </row>
    <row r="8" spans="1:18" ht="20.100000000000001" customHeight="1" x14ac:dyDescent="0.2">
      <c r="A8" s="89" t="s">
        <v>144</v>
      </c>
      <c r="B8" s="85">
        <f>ИТР!AJ125</f>
        <v>952</v>
      </c>
      <c r="C8" s="35">
        <f>ИТР!AK125</f>
        <v>7573.4000000000015</v>
      </c>
      <c r="D8" s="35">
        <f>ИТР!AL125</f>
        <v>0</v>
      </c>
      <c r="E8" s="35">
        <f>ИТР!AM125</f>
        <v>0</v>
      </c>
      <c r="F8" s="35">
        <f>ИТР!AN125</f>
        <v>0</v>
      </c>
      <c r="G8" s="35">
        <f>ИТР!AO125</f>
        <v>9.5</v>
      </c>
      <c r="H8" s="35">
        <f>ИТР!AP125</f>
        <v>480</v>
      </c>
      <c r="I8" s="35">
        <f>ИТР!AQ125</f>
        <v>1456.6000000000001</v>
      </c>
      <c r="J8" s="35">
        <f>ИТР!AR125</f>
        <v>152.80000000000001</v>
      </c>
      <c r="K8" s="35">
        <f>ИТР!AS125</f>
        <v>0</v>
      </c>
      <c r="L8" s="35">
        <f>ИТР!AT125</f>
        <v>0</v>
      </c>
      <c r="M8" s="35">
        <f>ИТР!AU125</f>
        <v>167.99999999999997</v>
      </c>
      <c r="N8" s="35">
        <f>ИТР!AV125</f>
        <v>0</v>
      </c>
      <c r="O8" s="35">
        <f>ИТР!AW125</f>
        <v>0</v>
      </c>
      <c r="P8" s="35">
        <f>ИТР!AX125</f>
        <v>768.00000000000011</v>
      </c>
      <c r="Q8" s="35">
        <f>ИТР!AY125</f>
        <v>31.799999999999997</v>
      </c>
      <c r="R8" s="80">
        <f>ИТР!AZ125</f>
        <v>335.99999999999994</v>
      </c>
    </row>
    <row r="9" spans="1:18" ht="20.100000000000001" customHeight="1" x14ac:dyDescent="0.2">
      <c r="A9" s="89" t="s">
        <v>83</v>
      </c>
      <c r="B9" s="85">
        <f>РБД!AJ31</f>
        <v>102</v>
      </c>
      <c r="C9" s="35">
        <f>РБД!AK31</f>
        <v>817.2</v>
      </c>
      <c r="D9" s="35">
        <f>РБД!AL31</f>
        <v>0</v>
      </c>
      <c r="E9" s="35">
        <f>РБД!AM31</f>
        <v>0</v>
      </c>
      <c r="F9" s="35">
        <f>РБД!AN31</f>
        <v>0</v>
      </c>
      <c r="G9" s="35">
        <f>РБД!AO31</f>
        <v>0</v>
      </c>
      <c r="H9" s="35">
        <f>РБД!AP31</f>
        <v>52</v>
      </c>
      <c r="I9" s="35">
        <f>РБД!AQ31</f>
        <v>358.80000000000007</v>
      </c>
      <c r="J9" s="35">
        <f>РБД!AR31</f>
        <v>71.800000000000011</v>
      </c>
      <c r="K9" s="35">
        <f>РБД!AS31</f>
        <v>0</v>
      </c>
      <c r="L9" s="35">
        <f>РБД!AT31</f>
        <v>8.1999999999999993</v>
      </c>
      <c r="M9" s="35">
        <f>РБД!AU31</f>
        <v>0</v>
      </c>
      <c r="N9" s="35">
        <f>РБД!AV31</f>
        <v>0</v>
      </c>
      <c r="O9" s="35">
        <f>РБД!AW31</f>
        <v>0</v>
      </c>
      <c r="P9" s="35">
        <f>РБД!AX31</f>
        <v>182.60000000000002</v>
      </c>
      <c r="Q9" s="35">
        <f>РБД!AY31</f>
        <v>0</v>
      </c>
      <c r="R9" s="80">
        <f>РБД!AZ31</f>
        <v>96.200000000000017</v>
      </c>
    </row>
    <row r="10" spans="1:18" ht="42" customHeight="1" x14ac:dyDescent="0.2">
      <c r="A10" s="89" t="s">
        <v>86</v>
      </c>
      <c r="B10" s="85">
        <f>електропостач!AJ31</f>
        <v>142</v>
      </c>
      <c r="C10" s="35">
        <f>електропостач!AK31</f>
        <v>1135.9999999999998</v>
      </c>
      <c r="D10" s="35">
        <f>електропостач!AL31</f>
        <v>0</v>
      </c>
      <c r="E10" s="35">
        <f>електропостач!AM31</f>
        <v>0</v>
      </c>
      <c r="F10" s="35">
        <f>електропостач!AN31</f>
        <v>0</v>
      </c>
      <c r="G10" s="35">
        <f>електропостач!AO31</f>
        <v>0</v>
      </c>
      <c r="H10" s="35">
        <f>електропостач!AP31</f>
        <v>68</v>
      </c>
      <c r="I10" s="35">
        <f>електропостач!AQ31</f>
        <v>31.799999999999997</v>
      </c>
      <c r="J10" s="35">
        <f>електропостач!AR31</f>
        <v>0</v>
      </c>
      <c r="K10" s="35">
        <f>електропостач!AS31</f>
        <v>0</v>
      </c>
      <c r="L10" s="35">
        <f>електропостач!AT31</f>
        <v>0</v>
      </c>
      <c r="M10" s="35">
        <f>електропостач!AU31</f>
        <v>0</v>
      </c>
      <c r="N10" s="35">
        <f>електропостач!AV31</f>
        <v>0</v>
      </c>
      <c r="O10" s="35">
        <f>електропостач!AW31</f>
        <v>0</v>
      </c>
      <c r="P10" s="35">
        <f>електропостач!AX31</f>
        <v>31.799999999999997</v>
      </c>
      <c r="Q10" s="35">
        <f>електропостач!AY31</f>
        <v>0</v>
      </c>
      <c r="R10" s="80">
        <f>електропостач!AZ31</f>
        <v>0</v>
      </c>
    </row>
    <row r="11" spans="1:18" ht="20.100000000000001" customHeight="1" x14ac:dyDescent="0.2">
      <c r="A11" s="89" t="s">
        <v>145</v>
      </c>
      <c r="B11" s="85">
        <f>SUM('ТР1-1'!AJ17:AJ60)</f>
        <v>427</v>
      </c>
      <c r="C11" s="35">
        <f>SUM('ТР1-1'!AK17:AK60)</f>
        <v>3423.2</v>
      </c>
      <c r="D11" s="35">
        <f>SUM('ТР1-1'!AL17:AL60)</f>
        <v>0</v>
      </c>
      <c r="E11" s="35">
        <f>SUM('ТР1-1'!AM17:AM60)</f>
        <v>752</v>
      </c>
      <c r="F11" s="35">
        <f>SUM('ТР1-1'!AN17:AN60)</f>
        <v>364</v>
      </c>
      <c r="G11" s="35">
        <f>SUM('ТР1-1'!AO17:AO60)</f>
        <v>0</v>
      </c>
      <c r="H11" s="35">
        <f>SUM('ТР1-1'!AP17:AP60)</f>
        <v>175</v>
      </c>
      <c r="I11" s="35">
        <f>SUM('ТР1-1'!AQ17:AQ60)</f>
        <v>232.59999999999997</v>
      </c>
      <c r="J11" s="35">
        <f>SUM('ТР1-1'!AR17:AR60)</f>
        <v>0</v>
      </c>
      <c r="K11" s="35">
        <f>SUM('ТР1-1'!AS17:AS60)</f>
        <v>0</v>
      </c>
      <c r="L11" s="35">
        <f>SUM('ТР1-1'!AT17:AT60)</f>
        <v>8.1999999999999993</v>
      </c>
      <c r="M11" s="35">
        <f>SUM('ТР1-1'!AU17:AU60)</f>
        <v>0</v>
      </c>
      <c r="N11" s="35">
        <f>SUM('ТР1-1'!AV17:AV60)</f>
        <v>0</v>
      </c>
      <c r="O11" s="35">
        <f>SUM('ТР1-1'!AW17:AW60)</f>
        <v>0</v>
      </c>
      <c r="P11" s="35">
        <f>SUM('ТР1-1'!AX17:AX60)</f>
        <v>56.399999999999991</v>
      </c>
      <c r="Q11" s="35">
        <f>SUM('ТР1-1'!AY17:AY60)</f>
        <v>0</v>
      </c>
      <c r="R11" s="80">
        <f>SUM('ТР1-1'!AZ17:AZ60)</f>
        <v>167.99999999999997</v>
      </c>
    </row>
    <row r="12" spans="1:18" ht="20.100000000000001" customHeight="1" x14ac:dyDescent="0.2">
      <c r="A12" s="89" t="s">
        <v>146</v>
      </c>
      <c r="B12" s="85">
        <f>SUM('ТР1-2'!AJ17:AJ68)</f>
        <v>519</v>
      </c>
      <c r="C12" s="35">
        <f>SUM('ТР1-2'!AK17:AK68)</f>
        <v>4139.6000000000004</v>
      </c>
      <c r="D12" s="35">
        <f>SUM('ТР1-2'!AL17:AL68)</f>
        <v>72</v>
      </c>
      <c r="E12" s="35">
        <f>SUM('ТР1-2'!AM17:AM68)</f>
        <v>1160</v>
      </c>
      <c r="F12" s="35">
        <f>SUM('ТР1-2'!AN17:AN68)</f>
        <v>572</v>
      </c>
      <c r="G12" s="35">
        <f>SUM('ТР1-2'!AO17:AO68)</f>
        <v>0</v>
      </c>
      <c r="H12" s="35">
        <f>SUM('ТР1-2'!AP17:AP68)</f>
        <v>189</v>
      </c>
      <c r="I12" s="35">
        <f>SUM('ТР1-2'!AQ17:AQ68)</f>
        <v>224.2</v>
      </c>
      <c r="J12" s="35">
        <f>SUM('ТР1-2'!AR17:AR68)</f>
        <v>0</v>
      </c>
      <c r="K12" s="35">
        <f>SUM('ТР1-2'!AS17:AS68)</f>
        <v>0</v>
      </c>
      <c r="L12" s="35">
        <f>SUM('ТР1-2'!AT17:AT68)</f>
        <v>0</v>
      </c>
      <c r="M12" s="35">
        <f>SUM('ТР1-2'!AU17:AU68)</f>
        <v>0</v>
      </c>
      <c r="N12" s="35">
        <f>SUM('ТР1-2'!AV17:AV68)</f>
        <v>0</v>
      </c>
      <c r="O12" s="35">
        <f>SUM('ТР1-2'!AW17:AW68)</f>
        <v>0</v>
      </c>
      <c r="P12" s="35">
        <f>SUM('ТР1-2'!AX17:AX68)</f>
        <v>216</v>
      </c>
      <c r="Q12" s="35">
        <f>SUM('ТР1-2'!AY17:AY68)</f>
        <v>8.1999999999999993</v>
      </c>
      <c r="R12" s="80">
        <f>SUM('ТР1-2'!AZ17:AZ68)</f>
        <v>0</v>
      </c>
    </row>
    <row r="13" spans="1:18" ht="20.100000000000001" customHeight="1" x14ac:dyDescent="0.2">
      <c r="A13" s="89" t="s">
        <v>147</v>
      </c>
      <c r="B13" s="85">
        <f>SUM('ТР1-3'!AJ17:AJ70)</f>
        <v>514</v>
      </c>
      <c r="C13" s="35">
        <f>SUM('ТР1-3'!AK17:AK70)</f>
        <v>4072</v>
      </c>
      <c r="D13" s="35">
        <f>SUM('ТР1-3'!AL17:AL70)</f>
        <v>0</v>
      </c>
      <c r="E13" s="35">
        <f>SUM('ТР1-3'!AM17:AM70)</f>
        <v>1184</v>
      </c>
      <c r="F13" s="35">
        <f>SUM('ТР1-3'!AN17:AN70)</f>
        <v>578</v>
      </c>
      <c r="G13" s="35">
        <f>SUM('ТР1-3'!AO17:AO70)</f>
        <v>0</v>
      </c>
      <c r="H13" s="35">
        <f>SUM('ТР1-3'!AP17:AP70)</f>
        <v>188</v>
      </c>
      <c r="I13" s="35">
        <f>SUM('ТР1-3'!AQ17:AQ70)</f>
        <v>267.79999999999995</v>
      </c>
      <c r="J13" s="35">
        <f>SUM('ТР1-3'!AR17:AR70)</f>
        <v>0</v>
      </c>
      <c r="K13" s="35">
        <f>SUM('ТР1-3'!AS17:AS70)</f>
        <v>0</v>
      </c>
      <c r="L13" s="35">
        <f>SUM('ТР1-3'!AT17:AT70)</f>
        <v>0</v>
      </c>
      <c r="M13" s="35">
        <f>SUM('ТР1-3'!AU17:AU70)</f>
        <v>0</v>
      </c>
      <c r="N13" s="35">
        <f>SUM('ТР1-3'!AV17:AV70)</f>
        <v>0</v>
      </c>
      <c r="O13" s="35">
        <f>SUM('ТР1-3'!AW17:AW70)</f>
        <v>0</v>
      </c>
      <c r="P13" s="35">
        <f>SUM('ТР1-3'!AX17:AX70)</f>
        <v>99.8</v>
      </c>
      <c r="Q13" s="35">
        <f>SUM('ТР1-3'!AY17:AY70)</f>
        <v>0</v>
      </c>
      <c r="R13" s="80">
        <f>SUM('ТР1-3'!AZ17:AZ70)</f>
        <v>167.99999999999997</v>
      </c>
    </row>
    <row r="14" spans="1:18" ht="20.100000000000001" customHeight="1" x14ac:dyDescent="0.2">
      <c r="A14" s="89" t="s">
        <v>148</v>
      </c>
      <c r="B14" s="85">
        <f>SUM('ТР1-4'!AJ49:AJ50)</f>
        <v>317</v>
      </c>
      <c r="C14" s="35">
        <f>SUM('ТР1-4'!AK49:AK50)</f>
        <v>2528.1999999999998</v>
      </c>
      <c r="D14" s="35">
        <f>SUM('ТР1-4'!AL49:AL50)</f>
        <v>72</v>
      </c>
      <c r="E14" s="35">
        <f>SUM('ТР1-4'!AM49:AM50)</f>
        <v>696</v>
      </c>
      <c r="F14" s="35">
        <f>SUM('ТР1-4'!AN49:AN50)</f>
        <v>344</v>
      </c>
      <c r="G14" s="35">
        <f>SUM('ТР1-4'!AO49:AO50)</f>
        <v>0</v>
      </c>
      <c r="H14" s="35">
        <f>SUM('ТР1-4'!AP49:AP50)</f>
        <v>115</v>
      </c>
      <c r="I14" s="35">
        <f>SUM('ТР1-4'!AQ49:AQ50)</f>
        <v>40</v>
      </c>
      <c r="J14" s="35">
        <f>SUM('ТР1-4'!AR49:AR50)</f>
        <v>0</v>
      </c>
      <c r="K14" s="35">
        <f>SUM('ТР1-4'!AS49:AS50)</f>
        <v>0</v>
      </c>
      <c r="L14" s="35">
        <f>SUM('ТР1-4'!AT49:AT50)</f>
        <v>0</v>
      </c>
      <c r="M14" s="35">
        <f>SUM('ТР1-4'!AU49:AU50)</f>
        <v>0</v>
      </c>
      <c r="N14" s="35">
        <f>SUM('ТР1-4'!AV49:AV50)</f>
        <v>0</v>
      </c>
      <c r="O14" s="35">
        <f>SUM('ТР1-4'!AW49:AW50)</f>
        <v>0</v>
      </c>
      <c r="P14" s="35">
        <f>SUM('ТР1-4'!AX49:AX50)</f>
        <v>40</v>
      </c>
      <c r="Q14" s="35">
        <f>SUM('ТР1-4'!AY49:AY50)</f>
        <v>0</v>
      </c>
      <c r="R14" s="80">
        <f>SUM('ТР1-4'!AZ49:AZ50)</f>
        <v>0</v>
      </c>
    </row>
    <row r="15" spans="1:18" ht="20.100000000000001" customHeight="1" x14ac:dyDescent="0.2">
      <c r="A15" s="89" t="s">
        <v>149</v>
      </c>
      <c r="B15" s="85">
        <f>SUM('ТР2-1'!AJ17:AJ42)</f>
        <v>259</v>
      </c>
      <c r="C15" s="35">
        <f>SUM('ТР2-1'!AK17:AK42)</f>
        <v>1998.8000000000002</v>
      </c>
      <c r="D15" s="35">
        <f>SUM('ТР2-1'!AL17:AL42)</f>
        <v>0</v>
      </c>
      <c r="E15" s="35">
        <f>SUM('ТР2-1'!AM17:AM42)</f>
        <v>248</v>
      </c>
      <c r="F15" s="35">
        <f>SUM('ТР2-1'!AN17:AN42)</f>
        <v>124</v>
      </c>
      <c r="G15" s="35">
        <f>SUM('ТР2-1'!AO17:AO42)</f>
        <v>10</v>
      </c>
      <c r="H15" s="35">
        <f>SUM('ТР2-1'!AP17:AP42)</f>
        <v>113</v>
      </c>
      <c r="I15" s="35">
        <f>SUM('ТР2-1'!AQ17:AQ42)</f>
        <v>185.20000000000002</v>
      </c>
      <c r="J15" s="35">
        <f>SUM('ТР2-1'!AR17:AR42)</f>
        <v>0</v>
      </c>
      <c r="K15" s="35">
        <f>SUM('ТР2-1'!AS17:AS42)</f>
        <v>0</v>
      </c>
      <c r="L15" s="35">
        <f>SUM('ТР2-1'!AT17:AT42)</f>
        <v>0</v>
      </c>
      <c r="M15" s="35">
        <f>SUM('ТР2-1'!AU17:AU42)</f>
        <v>0</v>
      </c>
      <c r="N15" s="35">
        <f>SUM('ТР2-1'!AV17:AV42)</f>
        <v>0</v>
      </c>
      <c r="O15" s="35">
        <f>SUM('ТР2-1'!AW17:AW42)</f>
        <v>0</v>
      </c>
      <c r="P15" s="35">
        <f>SUM('ТР2-1'!AX17:AX42)</f>
        <v>177</v>
      </c>
      <c r="Q15" s="35">
        <f>SUM('ТР2-1'!AY17:AY42)</f>
        <v>8.1999999999999993</v>
      </c>
      <c r="R15" s="80">
        <f>SUM('ТР2-1'!AZ17:AZ42)</f>
        <v>0</v>
      </c>
    </row>
    <row r="16" spans="1:18" ht="20.100000000000001" customHeight="1" x14ac:dyDescent="0.2">
      <c r="A16" s="89" t="s">
        <v>152</v>
      </c>
      <c r="B16" s="85">
        <f>SUM('ТР2-2'!AJ17:AJ32)</f>
        <v>126</v>
      </c>
      <c r="C16" s="35">
        <f>SUM('ТР2-2'!AK17:AK32)</f>
        <v>1007.9999999999999</v>
      </c>
      <c r="D16" s="35">
        <f>SUM('ТР2-2'!AL17:AL32)</f>
        <v>0</v>
      </c>
      <c r="E16" s="35">
        <f>SUM('ТР2-2'!AM17:AM32)</f>
        <v>0</v>
      </c>
      <c r="F16" s="35">
        <f>SUM('ТР2-2'!AN17:AN32)</f>
        <v>0</v>
      </c>
      <c r="G16" s="35">
        <f>SUM('ТР2-2'!AO17:AO32)</f>
        <v>13.5</v>
      </c>
      <c r="H16" s="35">
        <f>SUM('ТР2-2'!AP17:AP32)</f>
        <v>57</v>
      </c>
      <c r="I16" s="35">
        <f>SUM('ТР2-2'!AQ17:AQ32)</f>
        <v>335.99999999999994</v>
      </c>
      <c r="J16" s="35">
        <f>SUM('ТР2-2'!AR17:AR32)</f>
        <v>0</v>
      </c>
      <c r="K16" s="35">
        <f>SUM('ТР2-2'!AS17:AS32)</f>
        <v>0</v>
      </c>
      <c r="L16" s="35">
        <f>SUM('ТР2-2'!AT17:AT32)</f>
        <v>0</v>
      </c>
      <c r="M16" s="35">
        <f>SUM('ТР2-2'!AU17:AU32)</f>
        <v>0</v>
      </c>
      <c r="N16" s="35">
        <f>SUM('ТР2-2'!AV17:AV32)</f>
        <v>0</v>
      </c>
      <c r="O16" s="35">
        <f>SUM('ТР2-2'!AW17:AW32)</f>
        <v>0</v>
      </c>
      <c r="P16" s="35">
        <f>SUM('ТР2-2'!AX17:AX32)</f>
        <v>167.99999999999997</v>
      </c>
      <c r="Q16" s="35">
        <f>SUM('ТР2-2'!AY17:AY32)</f>
        <v>0</v>
      </c>
      <c r="R16" s="80">
        <f>SUM('ТР2-2'!AZ17:AZ32)</f>
        <v>167.99999999999997</v>
      </c>
    </row>
    <row r="17" spans="1:18" ht="20.100000000000001" customHeight="1" x14ac:dyDescent="0.2">
      <c r="A17" s="89" t="s">
        <v>151</v>
      </c>
      <c r="B17" s="85">
        <f>SUM('ТР2-3'!AJ17:AJ44)</f>
        <v>245</v>
      </c>
      <c r="C17" s="35">
        <f>SUM('ТР2-3'!AK17:AK44)</f>
        <v>1928.6</v>
      </c>
      <c r="D17" s="35">
        <f>SUM('ТР2-3'!AL17:AL44)</f>
        <v>0</v>
      </c>
      <c r="E17" s="35">
        <f>SUM('ТР2-3'!AM17:AM44)</f>
        <v>88</v>
      </c>
      <c r="F17" s="35">
        <f>SUM('ТР2-3'!AN17:AN44)</f>
        <v>40</v>
      </c>
      <c r="G17" s="35">
        <f>SUM('ТР2-3'!AO17:AO44)</f>
        <v>0</v>
      </c>
      <c r="H17" s="35">
        <f>SUM('ТР2-3'!AP17:AP44)</f>
        <v>114</v>
      </c>
      <c r="I17" s="35">
        <f>SUM('ТР2-3'!AQ17:AQ44)</f>
        <v>423.40000000000003</v>
      </c>
      <c r="J17" s="35">
        <f>SUM('ТР2-3'!AR17:AR44)</f>
        <v>239.80000000000004</v>
      </c>
      <c r="K17" s="35">
        <f>SUM('ТР2-3'!AS17:AS44)</f>
        <v>0</v>
      </c>
      <c r="L17" s="35">
        <f>SUM('ТР2-3'!AT17:AT44)</f>
        <v>88.200000000000017</v>
      </c>
      <c r="M17" s="35">
        <f>SUM('ТР2-3'!AU17:AU44)</f>
        <v>0</v>
      </c>
      <c r="N17" s="35">
        <f>SUM('ТР2-3'!AV17:AV44)</f>
        <v>0</v>
      </c>
      <c r="O17" s="35">
        <f>SUM('ТР2-3'!AW17:AW44)</f>
        <v>0</v>
      </c>
      <c r="P17" s="35">
        <f>SUM('ТР2-3'!AX17:AX44)</f>
        <v>95.399999999999991</v>
      </c>
      <c r="Q17" s="35">
        <f>SUM('ТР2-3'!AY17:AY44)</f>
        <v>0</v>
      </c>
      <c r="R17" s="80">
        <f>SUM('ТР2-3'!AZ17:AZ44)</f>
        <v>0</v>
      </c>
    </row>
    <row r="18" spans="1:18" ht="20.100000000000001" customHeight="1" x14ac:dyDescent="0.2">
      <c r="A18" s="89" t="s">
        <v>150</v>
      </c>
      <c r="B18" s="85">
        <f>SUM('ТР2-4'!AJ17:AJ52)</f>
        <v>324</v>
      </c>
      <c r="C18" s="85">
        <f>SUM('ТР2-4'!AK17:AK52)</f>
        <v>2551.5999999999995</v>
      </c>
      <c r="D18" s="85">
        <f>SUM('ТР2-4'!AL17:AL52)</f>
        <v>0</v>
      </c>
      <c r="E18" s="85">
        <f>SUM('ТР2-4'!AM17:AM52)</f>
        <v>160</v>
      </c>
      <c r="F18" s="85">
        <f>SUM('ТР2-4'!AN17:AN52)</f>
        <v>84</v>
      </c>
      <c r="G18" s="85">
        <f>SUM('ТР2-4'!AO17:AO52)</f>
        <v>4.5</v>
      </c>
      <c r="H18" s="85">
        <f>SUM('ТР2-4'!AP17:AP52)</f>
        <v>148</v>
      </c>
      <c r="I18" s="85">
        <f>SUM('ТР2-4'!AQ17:AQ52)</f>
        <v>472.4</v>
      </c>
      <c r="J18" s="85">
        <f>SUM('ТР2-4'!AR17:AR52)</f>
        <v>296.20000000000005</v>
      </c>
      <c r="K18" s="85">
        <f>SUM('ТР2-4'!AS17:AS52)</f>
        <v>0</v>
      </c>
      <c r="L18" s="85">
        <f>SUM('ТР2-4'!AT17:AT52)</f>
        <v>0</v>
      </c>
      <c r="M18" s="85">
        <f>SUM('ТР2-4'!AU17:AU52)</f>
        <v>0</v>
      </c>
      <c r="N18" s="85">
        <f>SUM('ТР2-4'!AV17:AV52)</f>
        <v>0</v>
      </c>
      <c r="O18" s="85">
        <f>SUM('ТР2-4'!AW17:AW52)</f>
        <v>0</v>
      </c>
      <c r="P18" s="85">
        <f>SUM('ТР2-4'!AX17:AX52)</f>
        <v>0</v>
      </c>
      <c r="Q18" s="85">
        <f>SUM('ТР2-4'!AY17:AY52)</f>
        <v>8.1999999999999993</v>
      </c>
      <c r="R18" s="85">
        <f>SUM('ТР2-4'!AZ17:AZ52)</f>
        <v>167.99999999999997</v>
      </c>
    </row>
    <row r="19" spans="1:18" ht="20.100000000000001" customHeight="1" x14ac:dyDescent="0.2">
      <c r="A19" s="89" t="s">
        <v>153</v>
      </c>
      <c r="B19" s="85">
        <f>ТР3!AJ175</f>
        <v>1189</v>
      </c>
      <c r="C19" s="35">
        <f>ТР3!AK175</f>
        <v>11885.2</v>
      </c>
      <c r="D19" s="35">
        <f>ТР3!AL175</f>
        <v>0</v>
      </c>
      <c r="E19" s="35">
        <f>ТР3!AM175</f>
        <v>3016</v>
      </c>
      <c r="F19" s="35">
        <f>ТР3!AN175</f>
        <v>1496</v>
      </c>
      <c r="G19" s="35">
        <f>ТР3!AO175</f>
        <v>0</v>
      </c>
      <c r="H19" s="35">
        <f>ТР3!AP175</f>
        <v>930</v>
      </c>
      <c r="I19" s="35">
        <f>ТР3!AQ175</f>
        <v>874.8</v>
      </c>
      <c r="J19" s="35">
        <f>ТР3!AR175</f>
        <v>144.60000000000002</v>
      </c>
      <c r="K19" s="35">
        <f>ТР3!AS175</f>
        <v>0</v>
      </c>
      <c r="L19" s="35">
        <f>ТР3!AT175</f>
        <v>0</v>
      </c>
      <c r="M19" s="35">
        <f>ТР3!AU175</f>
        <v>0</v>
      </c>
      <c r="N19" s="35">
        <f>ТР3!AV175</f>
        <v>0</v>
      </c>
      <c r="O19" s="35">
        <f>ТР3!AW175</f>
        <v>0</v>
      </c>
      <c r="P19" s="35">
        <f>ТР3!AX175</f>
        <v>386</v>
      </c>
      <c r="Q19" s="35">
        <f>ТР3!AY175</f>
        <v>8.1999999999999993</v>
      </c>
      <c r="R19" s="80">
        <f>ТР3!AZ175</f>
        <v>335.99999999999994</v>
      </c>
    </row>
    <row r="20" spans="1:18" ht="33.75" customHeight="1" thickBot="1" x14ac:dyDescent="0.25">
      <c r="A20" s="90" t="s">
        <v>139</v>
      </c>
      <c r="B20" s="86">
        <f>транспорт!AJ63</f>
        <v>405</v>
      </c>
      <c r="C20" s="87">
        <f>транспорт!AK63</f>
        <v>3070.4</v>
      </c>
      <c r="D20" s="87">
        <f>транспорт!AL63</f>
        <v>0</v>
      </c>
      <c r="E20" s="87">
        <f>транспорт!AM63</f>
        <v>248</v>
      </c>
      <c r="F20" s="87">
        <f>транспорт!AN63</f>
        <v>122</v>
      </c>
      <c r="G20" s="87">
        <f>транспорт!AO63</f>
        <v>0</v>
      </c>
      <c r="H20" s="87">
        <f>транспорт!AP63</f>
        <v>195</v>
      </c>
      <c r="I20" s="87">
        <f>транспорт!AQ63</f>
        <v>688.6</v>
      </c>
      <c r="J20" s="87">
        <f>транспорт!AR63</f>
        <v>200.60000000000002</v>
      </c>
      <c r="K20" s="87">
        <f>транспорт!AS63</f>
        <v>0</v>
      </c>
      <c r="L20" s="87">
        <f>транспорт!AT63</f>
        <v>0</v>
      </c>
      <c r="M20" s="87">
        <f>транспорт!AU63</f>
        <v>0</v>
      </c>
      <c r="N20" s="87">
        <f>транспорт!AV63</f>
        <v>0</v>
      </c>
      <c r="O20" s="87">
        <f>транспорт!AW63</f>
        <v>0</v>
      </c>
      <c r="P20" s="87">
        <f>транспорт!AX63</f>
        <v>295.40000000000003</v>
      </c>
      <c r="Q20" s="87">
        <f>транспорт!AY63</f>
        <v>24.599999999999998</v>
      </c>
      <c r="R20" s="88">
        <f>транспорт!AZ63</f>
        <v>167.99999999999997</v>
      </c>
    </row>
    <row r="21" spans="1:18" ht="20.100000000000001" customHeight="1" thickBot="1" x14ac:dyDescent="0.25">
      <c r="A21" s="91" t="s">
        <v>154</v>
      </c>
      <c r="B21" s="92">
        <f>SUM(B6:B20)</f>
        <v>5791</v>
      </c>
      <c r="C21" s="93">
        <f t="shared" ref="C21:R21" si="0">SUM(C6:C20)</f>
        <v>48381.200000000004</v>
      </c>
      <c r="D21" s="93">
        <f t="shared" si="0"/>
        <v>144</v>
      </c>
      <c r="E21" s="93">
        <f t="shared" si="0"/>
        <v>8048</v>
      </c>
      <c r="F21" s="93">
        <f t="shared" si="0"/>
        <v>3972</v>
      </c>
      <c r="G21" s="93">
        <f t="shared" si="0"/>
        <v>37.5</v>
      </c>
      <c r="H21" s="93">
        <f t="shared" si="0"/>
        <v>2954</v>
      </c>
      <c r="I21" s="93">
        <f t="shared" si="0"/>
        <v>5999.4000000000005</v>
      </c>
      <c r="J21" s="93">
        <f t="shared" si="0"/>
        <v>1105.8000000000002</v>
      </c>
      <c r="K21" s="93">
        <f t="shared" si="0"/>
        <v>0</v>
      </c>
      <c r="L21" s="93">
        <f t="shared" si="0"/>
        <v>104.60000000000002</v>
      </c>
      <c r="M21" s="93">
        <f t="shared" si="0"/>
        <v>167.99999999999997</v>
      </c>
      <c r="N21" s="93">
        <f t="shared" si="0"/>
        <v>0</v>
      </c>
      <c r="O21" s="93">
        <f t="shared" si="0"/>
        <v>0</v>
      </c>
      <c r="P21" s="93">
        <f t="shared" si="0"/>
        <v>2755.6000000000004</v>
      </c>
      <c r="Q21" s="93">
        <f t="shared" si="0"/>
        <v>89.2</v>
      </c>
      <c r="R21" s="94">
        <f t="shared" si="0"/>
        <v>1776.1999999999998</v>
      </c>
    </row>
  </sheetData>
  <mergeCells count="20">
    <mergeCell ref="J2:J4"/>
    <mergeCell ref="R2:R4"/>
    <mergeCell ref="C3:C4"/>
    <mergeCell ref="D3:G3"/>
    <mergeCell ref="C5:G5"/>
    <mergeCell ref="A1:A5"/>
    <mergeCell ref="I5:R5"/>
    <mergeCell ref="J1:R1"/>
    <mergeCell ref="K2:K4"/>
    <mergeCell ref="L2:L4"/>
    <mergeCell ref="M2:M4"/>
    <mergeCell ref="N2:N4"/>
    <mergeCell ref="P2:P4"/>
    <mergeCell ref="Q2:Q4"/>
    <mergeCell ref="B1:G1"/>
    <mergeCell ref="H1:H4"/>
    <mergeCell ref="I1:I4"/>
    <mergeCell ref="O2:O4"/>
    <mergeCell ref="B2:B4"/>
    <mergeCell ref="C2:G2"/>
  </mergeCells>
  <printOptions horizontalCentered="1"/>
  <pageMargins left="0.39370078740157483" right="0.39370078740157483" top="0.39370078740157483" bottom="0.39370078740157483" header="3.9370078740157481" footer="0"/>
  <pageSetup paperSize="9" orientation="landscape"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Q7"/>
  <sheetViews>
    <sheetView workbookViewId="0">
      <selection activeCell="B5" sqref="B5"/>
    </sheetView>
  </sheetViews>
  <sheetFormatPr defaultRowHeight="18" x14ac:dyDescent="0.25"/>
  <cols>
    <col min="1" max="1" width="16.5703125" style="132" customWidth="1"/>
    <col min="2" max="2" width="16.42578125" style="132" customWidth="1"/>
    <col min="3" max="3" width="16.7109375" style="132" customWidth="1"/>
    <col min="4" max="4" width="19.42578125" style="132" customWidth="1"/>
    <col min="5" max="16384" width="9.140625" style="132"/>
  </cols>
  <sheetData>
    <row r="1" spans="1:17" ht="18.75" thickBot="1" x14ac:dyDescent="0.3">
      <c r="A1" s="140"/>
      <c r="B1" s="150" t="s">
        <v>317</v>
      </c>
      <c r="C1" s="148" t="s">
        <v>323</v>
      </c>
      <c r="D1" s="149" t="s">
        <v>324</v>
      </c>
      <c r="E1" s="151"/>
      <c r="F1" s="151"/>
      <c r="G1" s="151"/>
      <c r="H1" s="151"/>
      <c r="I1" s="151"/>
      <c r="J1" s="151"/>
      <c r="K1" s="151"/>
      <c r="L1" s="151"/>
      <c r="M1" s="151"/>
      <c r="N1" s="151"/>
      <c r="O1" s="151"/>
      <c r="P1" s="151"/>
      <c r="Q1" s="151"/>
    </row>
    <row r="2" spans="1:17" ht="36" x14ac:dyDescent="0.25">
      <c r="A2" s="143" t="s">
        <v>318</v>
      </c>
      <c r="B2" s="141">
        <f>РАЗОМ!J21</f>
        <v>1105.8000000000002</v>
      </c>
      <c r="C2" s="139">
        <f>SUMIF(АГД!D17:D28,"=Ж",АГД!AR17:AR28)+SUMIF(АДС!D17:D38,"=Ж",АДС!AR17:AR38)+SUMIF(ИТР!D17:D124,"=Ж",ИТР!AR17:AR124)+SUMIF(РБД!D17:D30,"=Ж",РБД!AR17:AR30)+SUMIF(електропостач!D17:D30,"=Ж",електропостач!AR17:AR30)+SUMIF('ТР1-1'!D17:D60,"=Ж",'ТР1-1'!AR17:AR60)+SUMIF('ТР1-2'!D17:D68,"=Ж",'ТР1-2'!AR17:AR68)+SUMIF('ТР1-3'!D17:D70,"=Ж",'ТР1-3'!AR17:AR70)+SUMIF('ТР1-4'!D17:D48,"=Ж",'ТР1-4'!AR17:AR48)+SUMIF('ТР2-1'!D17:D42,"=Ж",'ТР2-1'!AR17:AR42)+SUMIF('ТР2-2'!D17:D32,"=Ж",'ТР2-2'!AR17:AR32)+SUMIF('ТР2-3'!D17:D44,"=Ж",'ТР2-3'!AR17:AR44)+SUMIF('ТР2-4'!D17:D52,"=Ж",'ТР2-4'!AR17:AR52)+SUMIF(ТР3!D17:D174,"=Ж",ТР3!AR17:AR174)+SUMIF(транспорт!D17:D62,"=Ж",транспорт!AR17:AR62)</f>
        <v>161</v>
      </c>
      <c r="D2" s="153">
        <f>SUMIF(АГД!D17:D28,"=Ч",АГД!AR17:AR28)+SUMIF(АДС!D17:D38,"=Ч",АДС!AR17:AR38)+SUMIF(ИТР!D17:D124,"=Ч",ИТР!AR17:AR124)+SUMIF(РБД!D17:D30,"=Ч",РБД!AR17:AR30)+SUMIF(електропостач!D17:D30,"=Ч",електропостач!AR17:AR30)+SUMIF('ТР1-1'!D17:D60,"=Ч",'ТР1-1'!AR17:AR60)+SUMIF('ТР1-2'!D17:D68,"=Ч",'ТР1-2'!AR17:AR68)+SUMIF('ТР1-3'!D17:D70,"=Ч",'ТР1-3'!AR17:AR70)+SUMIF('ТР1-4'!D17:D48,"=Ч",'ТР1-4'!AR17:AR48)+SUMIF('ТР2-1'!D17:D42,"=Ч",'ТР2-1'!AR17:AR42)+SUMIF('ТР2-2'!D17:D32,"=Ч",'ТР2-2'!AR17:AR32)+SUMIF('ТР2-3'!D17:D44,"=Ч",'ТР2-3'!AR17:AR44)+SUMIF('ТР2-4'!D17:D52,"=Ч",'ТР2-4'!AR17:AR52)+SUMIF(ТР3!D17:D174,"=Ч",ТР3!AR17:AR174)+SUMIF(транспорт!D17:D62,"=Ч",транспорт!AR17:AR62)</f>
        <v>944.80000000000018</v>
      </c>
      <c r="E2" s="152"/>
      <c r="F2" s="152"/>
      <c r="G2" s="152"/>
      <c r="H2" s="152"/>
      <c r="I2" s="152"/>
      <c r="J2" s="152"/>
      <c r="K2" s="152"/>
      <c r="L2" s="152"/>
      <c r="M2" s="152"/>
      <c r="N2" s="152"/>
      <c r="O2" s="152"/>
      <c r="P2" s="152"/>
      <c r="Q2" s="152"/>
    </row>
    <row r="3" spans="1:17" ht="36" x14ac:dyDescent="0.25">
      <c r="A3" s="144" t="s">
        <v>319</v>
      </c>
      <c r="B3" s="142">
        <f>РАЗОМ!P21</f>
        <v>2755.6000000000004</v>
      </c>
      <c r="C3" s="138">
        <f>SUMIF(АГД!D17:D28,"=Ж",АГД!AX17:AX28)+SUMIF(АДС!D17:D38,"=Ж",АДС!AX17:AX38)+SUMIF(ИТР!D17:D124,"=Ж",ИТР!AX17:AX124)+SUMIF(РБД!D17:D30,"=Ж",РБД!AX17:AX30)+SUMIF(електропостач!D17:D30,"=Ж",електропостач!AX17:AX30)+SUMIF('ТР1-1'!D17:D60,"=Ж",'ТР1-1'!AX17:AX60)+SUMIF('ТР1-2'!D17:D68,"=Ж",'ТР1-2'!AX17:AX68)+SUMIF('ТР1-3'!D17:D70,"=Ж",'ТР1-3'!AX17:AX70)+SUMIF('ТР1-4'!D17:D48,"=Ж",'ТР1-4'!AX17:AX48)+SUMIF('ТР2-1'!D17:D42,"=Ж",'ТР2-1'!AX17:AX42)+SUMIF('ТР2-2'!D17:D32,"=Ж",'ТР2-2'!AX17:AX32)+SUMIF('ТР2-3'!D17:D44,"=Ж",'ТР2-3'!AX17:AX44)+SUMIF('ТР2-4'!D17:D52,"=Ж",'ТР2-4'!AX17:AX52)+SUMIF(ТР3!D17:D174,"=Ж",ТР3!AX17:AX174)+SUMIF(транспорт!D17:D62,"=Ж",транспорт!AX17:AX62)</f>
        <v>1159.2</v>
      </c>
      <c r="D3" s="154">
        <f>SUMIF(АГД!D17:D28,"=Ч",АГД!AX17:AX28)+SUMIF(АДС!D17:D38,"=Ч",АДС!AX17:AX38)+SUMIF(ИТР!D17:D124,"=Ч",ИТР!AX17:AX124)+SUMIF(РБД!D17:D30,"=Ч",РБД!AX17:AX30)+SUMIF(електропостач!D17:D30,"=Ч",електропостач!AX17:AX30)+SUMIF('ТР1-1'!D17:D60,"=Ч",'ТР1-1'!AX17:AX60)+SUMIF('ТР1-2'!D17:D68,"=Ч",'ТР1-2'!AX17:AX68)+SUMIF('ТР1-3'!D17:D70,"=Ч",'ТР1-3'!AX17:AX70)+SUMIF('ТР1-4'!D17:D48,"=Ч",'ТР1-4'!AX17:AX48)+SUMIF('ТР2-1'!D17:D42,"=Ч",'ТР2-1'!AX17:AX42)+SUMIF('ТР2-2'!D17:D32,"=Ч",'ТР2-2'!AX17:AX32)+SUMIF('ТР2-3'!D17:D44,"=Ч",'ТР2-3'!AX17:AX44)+SUMIF('ТР2-4'!D17:D52,"=Ч",'ТР2-4'!AX17:AX52)+SUMIF(ТР3!D17:D174,"=Ч",ТР3!AX17:AX174)+SUMIF(транспорт!D17:D62,"=Ч",транспорт!AX17:AX62)</f>
        <v>1596.3999999999999</v>
      </c>
      <c r="E3" s="152"/>
      <c r="F3" s="152"/>
      <c r="G3" s="152"/>
      <c r="H3" s="152"/>
      <c r="I3" s="152"/>
      <c r="J3" s="152"/>
      <c r="K3" s="152"/>
      <c r="L3" s="152"/>
      <c r="M3" s="152"/>
      <c r="N3" s="152"/>
      <c r="O3" s="152"/>
      <c r="P3" s="152"/>
      <c r="Q3" s="152"/>
    </row>
    <row r="4" spans="1:17" ht="54" x14ac:dyDescent="0.25">
      <c r="A4" s="144" t="s">
        <v>320</v>
      </c>
      <c r="B4" s="142">
        <f>РАЗОМ!K21</f>
        <v>0</v>
      </c>
      <c r="C4" s="138">
        <f>SUMIF(АГД!D17:D28,"=Ж",АГД!AS17:AS28)+SUMIF(АДС!D17:D38,"=Ж",АДС!AS17:AS38)+SUMIF(ИТР!D17:D124,"=Ж",ИТР!AS17:AS124)+SUMIF(РБД!D17:D30,"=Ж",РБД!AS17:AS30)+SUMIF(електропостач!D17:D30,"=Ж",електропостач!AS17:AS30)+SUMIF('ТР1-1'!D17:D60,"=Ж",'ТР1-1'!AS17:AS60)+SUMIF('ТР1-2'!D17:D68,"=Ж",'ТР1-2'!AS17:AS68)+SUMIF('ТР1-3'!D17:D70,"=Ж",'ТР1-3'!AS17:AS70)+SUMIF('ТР1-4'!D17:D48,"=Ж",'ТР1-4'!AS17:AS48)+SUMIF('ТР2-1'!D17:D42,"=Ж",'ТР2-1'!AS17:AS42)+SUMIF('ТР2-2'!D17:D32,"=Ж",'ТР2-2'!AS17:AS32)+SUMIF('ТР2-3'!D17:D44,"=Ж",'ТР2-3'!AS17:AS44)+SUMIF('ТР2-4'!D17:D52,"=Ж",'ТР2-4'!AS17:AS52)+SUMIF(ТР3!D17:D174,"=Ж",ТР3!AS17:AS174)+SUMIF(транспорт!D17:D62,"=Ж",транспорт!AS17:AS62)</f>
        <v>0</v>
      </c>
      <c r="D4" s="154">
        <f>SUMIF(АГД!D17:D28,"=Ч",АГД!AS17:AS28)+SUMIF(АДС!D17:D38,"=Ч",АДС!AS17:AS38)+SUMIF(ИТР!D17:D124,"=Ч",ИТР!AS17:AS124)+SUMIF(РБД!D17:D30,"=Ч",РБД!AS17:AS30)+SUMIF(електропостач!D17:D30,"=Ч",електропостач!AS17:AS30)+SUMIF('ТР1-1'!D17:D60,"=Ч",'ТР1-1'!AS17:AS60)+SUMIF('ТР1-2'!D17:D68,"=Ч",'ТР1-2'!AS17:AS68)+SUMIF('ТР1-3'!D17:D70,"=Ч",'ТР1-3'!AS17:AS70)+SUMIF('ТР1-4'!D17:D48,"=Ч",'ТР1-4'!AS17:AS48)+SUMIF('ТР2-1'!D17:D42,"=Ч",'ТР2-1'!AS17:AS42)+SUMIF('ТР2-2'!D17:D32,"=Ч",'ТР2-2'!AS17:AS32)+SUMIF('ТР2-3'!D17:D44,"=Ч",'ТР2-3'!AS17:AS44)+SUMIF('ТР2-4'!D17:D52,"=Ч",'ТР2-4'!AS17:AS52)+SUMIF(ТР3!D17:D174,"=Ч",ТР3!AS17:AS174)+SUMIF(транспорт!D17:D62,"=Ч",транспорт!AS17:AS62)</f>
        <v>0</v>
      </c>
      <c r="E4" s="152"/>
      <c r="F4" s="152"/>
      <c r="G4" s="152"/>
      <c r="H4" s="152"/>
      <c r="I4" s="152"/>
      <c r="J4" s="152"/>
      <c r="K4" s="152"/>
      <c r="L4" s="152"/>
      <c r="M4" s="152"/>
      <c r="N4" s="152"/>
      <c r="O4" s="152"/>
      <c r="P4" s="152"/>
      <c r="Q4" s="152"/>
    </row>
    <row r="5" spans="1:17" ht="54" x14ac:dyDescent="0.25">
      <c r="A5" s="144" t="s">
        <v>321</v>
      </c>
      <c r="B5" s="142">
        <f>РАЗОМ!O21</f>
        <v>0</v>
      </c>
      <c r="C5" s="138">
        <f>SUMIF(АГД!D17:D28,"=Ж",АГД!AW17:AW28)+SUMIF(АДС!D17:D38,"=Ж",АДС!AW17:AW38)+SUMIF(ИТР!D17:D124,"=Ж",ИТР!AW17:AW124)+SUMIF(РБД!D17:D30,"=Ж",РБД!AW17:AW30)+SUMIF(електропостач!D17:D30,"=Ж",електропостач!AW17:AW30)+SUMIF('ТР1-1'!D17:D60,"=Ж",'ТР1-1'!AW17:AW60)+SUMIF('ТР1-2'!D17:D68,"=Ж",'ТР1-2'!AW17:AW68)+SUMIF('ТР1-3'!D17:D70,"=Ж",'ТР1-3'!AW17:AW70)+SUMIF('ТР1-4'!D17:D48,"=Ж",'ТР1-4'!AW17:AW48)+SUMIF('ТР2-1'!D17:D42,"=Ж",'ТР2-1'!AW17:AW42)+SUMIF('ТР2-2'!D17:D32,"=Ж",'ТР2-2'!AW17:AW32)+SUMIF('ТР2-3'!D17:D44,"=Ж",'ТР2-3'!AW17:AW44)+SUMIF('ТР2-4'!D17:D52,"=Ж",'ТР2-4'!AW17:AW52)+SUMIF(ТР3!D17:D174,"=Ж",ТР3!AW17:AW174)+SUMIF(транспорт!D17:D62,"=Ж",транспорт!AW17:AW62)</f>
        <v>0</v>
      </c>
      <c r="D5" s="154">
        <f>SUMIF(АГД!D17:D28,"=Ч",АГД!AW17:AW28)+SUMIF(АДС!D17:D38,"=Ч",АДС!AW17:AW38)+SUMIF(ИТР!D17:D124,"=Ч",ИТР!AW17:AW124)+SUMIF(РБД!D17:D30,"=Ч",РБД!AW17:AW30)+SUMIF(електропостач!D17:D30,"=Ч",електропостач!AW17:AW30)+SUMIF('ТР1-1'!D17:D60,"=Ч",'ТР1-1'!AW17:AW60)+SUMIF('ТР1-2'!D17:D68,"=Ч",'ТР1-2'!AW17:AW68)+SUMIF('ТР1-3'!D17:D70,"=Ч",'ТР1-3'!AW17:AW70)+SUMIF('ТР1-4'!D17:D48,"=Ч",'ТР1-4'!AW17:AW48)+SUMIF('ТР2-1'!D17:D42,"=Ч",'ТР2-1'!AW17:AW42)+SUMIF('ТР2-2'!D17:D32,"=Ч",'ТР2-2'!AW17:AW32)+SUMIF('ТР2-3'!D17:D44,"=Ч",'ТР2-3'!AW17:AW44)+SUMIF('ТР2-4'!D17:D52,"=Ч",'ТР2-4'!AW17:AW52)+SUMIF(ТР3!D17:D174,"=Ч",ТР3!AW17:AW174)+SUMIF(транспорт!D17:D62,"=Ч",транспорт!AW17:AW62)</f>
        <v>0</v>
      </c>
      <c r="E5" s="152"/>
      <c r="F5" s="152"/>
      <c r="G5" s="152"/>
      <c r="H5" s="152"/>
      <c r="I5" s="152"/>
      <c r="J5" s="152"/>
      <c r="K5" s="152"/>
      <c r="L5" s="152"/>
      <c r="M5" s="152"/>
      <c r="N5" s="152"/>
      <c r="O5" s="152"/>
      <c r="P5" s="152"/>
      <c r="Q5" s="152"/>
    </row>
    <row r="6" spans="1:17" ht="75.75" customHeight="1" thickBot="1" x14ac:dyDescent="0.3">
      <c r="A6" s="144" t="s">
        <v>322</v>
      </c>
      <c r="B6" s="146">
        <f>РАЗОМ!L21</f>
        <v>104.60000000000002</v>
      </c>
      <c r="C6" s="147">
        <f>SUMIF(АГД!D17:D28,"=Ж",АГД!AT17:AT28)+SUMIF(АДС!D17:D38,"=Ж",АДС!AT17:AT38)+SUMIF(ИТР!D17:D124,"=Ж",ИТР!AT17:AT124)+SUMIF(РБД!D17:D30,"=Ж",РБД!AT17:AT30)+SUMIF(електропостач!D17:D30,"=Ж",електропостач!AT17:AT30)+SUMIF('ТР1-1'!D17:D60,"=Ж",'ТР1-1'!AT17:AT60)+SUMIF('ТР1-2'!D17:D68,"=Ж",'ТР1-2'!AT17:AT68)+SUMIF('ТР1-3'!D17:D70,"=Ж",'ТР1-3'!AT17:AT70)+SUMIF('ТР1-4'!D17:D48,"=Ж",'ТР1-4'!AT17:AT48)+SUMIF('ТР2-1'!D17:D42,"=Ж",'ТР2-1'!AT17:AT42)+SUMIF('ТР2-2'!D17:D32,"=Ж",'ТР2-2'!AT17:AT32)+SUMIF('ТР2-3'!D17:D44,"=Ж",'ТР2-3'!AT17:AT44)+SUMIF('ТР2-4'!D17:D52,"=Ж",'ТР2-4'!AT17:AT52)+SUMIF(ТР3!D17:D174,"=Ж",ТР3!AT17:AT174)+SUMIF(транспорт!D17:D62,"=Ж",транспорт!AT17:AT62)</f>
        <v>0</v>
      </c>
      <c r="D6" s="155">
        <f>SUMIF(АГД!D17:D28,"=Ч",АГД!AT17:AT28)+SUMIF(АДС!D17:D38,"=Ч",АДС!AT17:AT38)+SUMIF(ИТР!D17:D124,"=Ч",ИТР!AT17:AT124)+SUMIF(РБД!D17:D30,"=Ч",РБД!AT17:AT30)+SUMIF(електропостач!D17:D30,"=Ч",електропостач!AT17:AT30)+SUMIF('ТР1-1'!D17:D60,"=Ч",'ТР1-1'!AT17:AT60)+SUMIF('ТР1-2'!D17:D68,"=Ч",'ТР1-2'!AT17:AT68)+SUMIF('ТР1-3'!D17:D70,"=Ч",'ТР1-3'!AT17:AT70)+SUMIF('ТР1-4'!D17:D48,"=Ч",'ТР1-4'!AT17:AT48)+SUMIF('ТР2-1'!D17:D42,"=Ч",'ТР2-1'!AT17:AT42)+SUMIF('ТР2-2'!D17:D32,"=Ч",'ТР2-2'!AT17:AT32)+SUMIF('ТР2-3'!D17:D44,"=Ч",'ТР2-3'!AT17:AT44)+SUMIF('ТР2-4'!D17:D52,"=Ч",'ТР2-4'!AT17:AT52)+SUMIF(ТР3!D17:D174,"=Ч",ТР3!AT17:AT174)+SUMIF(транспорт!D17:D62,"=Ч",транспорт!AT17:AT62)</f>
        <v>104.60000000000002</v>
      </c>
      <c r="E6" s="152"/>
      <c r="F6" s="152"/>
      <c r="G6" s="152"/>
      <c r="H6" s="152"/>
      <c r="I6" s="152"/>
      <c r="J6" s="152"/>
      <c r="K6" s="152"/>
      <c r="L6" s="152"/>
      <c r="M6" s="152"/>
      <c r="N6" s="152"/>
      <c r="O6" s="152"/>
      <c r="P6" s="152"/>
      <c r="Q6" s="152"/>
    </row>
    <row r="7" spans="1:17" ht="18.75" thickBot="1" x14ac:dyDescent="0.3">
      <c r="A7" s="145" t="s">
        <v>74</v>
      </c>
      <c r="B7" s="140">
        <f>SUM(B2:B6)</f>
        <v>3966.0000000000005</v>
      </c>
      <c r="C7" s="140">
        <f>SUM(C2:C6)</f>
        <v>1320.2</v>
      </c>
      <c r="D7" s="156">
        <f>SUM(D2:D6)</f>
        <v>2645.7999999999997</v>
      </c>
      <c r="E7" s="152"/>
      <c r="F7" s="152"/>
      <c r="G7" s="152"/>
      <c r="H7" s="152"/>
      <c r="I7" s="152"/>
      <c r="J7" s="152"/>
      <c r="K7" s="152"/>
      <c r="L7" s="152"/>
      <c r="M7" s="152"/>
      <c r="N7" s="152"/>
      <c r="O7" s="152"/>
      <c r="P7" s="152"/>
      <c r="Q7"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17</vt:i4>
      </vt:variant>
      <vt:variant>
        <vt:lpstr>Именованные диапазоны</vt:lpstr>
      </vt:variant>
      <vt:variant>
        <vt:i4>30</vt:i4>
      </vt:variant>
    </vt:vector>
  </HeadingPairs>
  <TitlesOfParts>
    <vt:vector size="47" baseType="lpstr">
      <vt:lpstr>АГД</vt:lpstr>
      <vt:lpstr>АДС</vt:lpstr>
      <vt:lpstr>ИТР</vt:lpstr>
      <vt:lpstr>РБД</vt:lpstr>
      <vt:lpstr>електропостач</vt:lpstr>
      <vt:lpstr>ТР1-1</vt:lpstr>
      <vt:lpstr>ТР1-2</vt:lpstr>
      <vt:lpstr>ТР1-3</vt:lpstr>
      <vt:lpstr>ТР1-4</vt:lpstr>
      <vt:lpstr>ТР2-1</vt:lpstr>
      <vt:lpstr>ТР2-2</vt:lpstr>
      <vt:lpstr>ТР2-3</vt:lpstr>
      <vt:lpstr>ТР2-4</vt:lpstr>
      <vt:lpstr>ТР3</vt:lpstr>
      <vt:lpstr>транспорт</vt:lpstr>
      <vt:lpstr>РАЗОМ</vt:lpstr>
      <vt:lpstr>ОБУЗА</vt:lpstr>
      <vt:lpstr>АГД!Заголовки_для_печати</vt:lpstr>
      <vt:lpstr>АДС!Заголовки_для_печати</vt:lpstr>
      <vt:lpstr>електропостач!Заголовки_для_печати</vt:lpstr>
      <vt:lpstr>ИТР!Заголовки_для_печати</vt:lpstr>
      <vt:lpstr>РБД!Заголовки_для_печати</vt:lpstr>
      <vt:lpstr>'ТР1-1'!Заголовки_для_печати</vt:lpstr>
      <vt:lpstr>'ТР1-2'!Заголовки_для_печати</vt:lpstr>
      <vt:lpstr>'ТР1-3'!Заголовки_для_печати</vt:lpstr>
      <vt:lpstr>'ТР1-4'!Заголовки_для_печати</vt:lpstr>
      <vt:lpstr>'ТР2-1'!Заголовки_для_печати</vt:lpstr>
      <vt:lpstr>'ТР2-2'!Заголовки_для_печати</vt:lpstr>
      <vt:lpstr>'ТР2-3'!Заголовки_для_печати</vt:lpstr>
      <vt:lpstr>'ТР2-4'!Заголовки_для_печати</vt:lpstr>
      <vt:lpstr>ТР3!Заголовки_для_печати</vt:lpstr>
      <vt:lpstr>транспорт!Заголовки_для_печати</vt:lpstr>
      <vt:lpstr>АГД!Область_печати</vt:lpstr>
      <vt:lpstr>АДС!Область_печати</vt:lpstr>
      <vt:lpstr>електропостач!Область_печати</vt:lpstr>
      <vt:lpstr>ИТР!Область_печати</vt:lpstr>
      <vt:lpstr>РБД!Область_печати</vt:lpstr>
      <vt:lpstr>'ТР1-1'!Область_печати</vt:lpstr>
      <vt:lpstr>'ТР1-2'!Область_печати</vt:lpstr>
      <vt:lpstr>'ТР1-3'!Область_печати</vt:lpstr>
      <vt:lpstr>'ТР1-4'!Область_печати</vt:lpstr>
      <vt:lpstr>'ТР2-1'!Область_печати</vt:lpstr>
      <vt:lpstr>'ТР2-2'!Область_печати</vt:lpstr>
      <vt:lpstr>'ТР2-3'!Область_печати</vt:lpstr>
      <vt:lpstr>'ТР2-4'!Область_печати</vt:lpstr>
      <vt:lpstr>ТР3!Область_печати</vt:lpstr>
      <vt:lpstr>транспорт!Область_печати</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Nicki</dc:creator>
  <cp:lastModifiedBy>Пользователь Windows</cp:lastModifiedBy>
  <cp:lastPrinted>2025-03-31T12:23:02Z</cp:lastPrinted>
  <dcterms:created xsi:type="dcterms:W3CDTF">2007-10-22T10:04:34Z</dcterms:created>
  <dcterms:modified xsi:type="dcterms:W3CDTF">2025-03-31T13:45:15Z</dcterms:modified>
</cp:coreProperties>
</file>